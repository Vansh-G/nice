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trlProps/ctrlProp1.xml" ContentType="application/vnd.ms-excel.controlproperties+xml"/>
  <Override PartName="/xl/drawings/drawing10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UniStuff\SEM6\Quant\"/>
    </mc:Choice>
  </mc:AlternateContent>
  <xr:revisionPtr revIDLastSave="0" documentId="13_ncr:1_{77F20B53-1145-45BE-8E13-85F765A24FE0}" xr6:coauthVersionLast="47" xr6:coauthVersionMax="47" xr10:uidLastSave="{00000000-0000-0000-0000-000000000000}"/>
  <bookViews>
    <workbookView xWindow="-108" yWindow="-108" windowWidth="23256" windowHeight="12576" firstSheet="27" activeTab="27" xr2:uid="{1E5DDB44-7FBD-4A42-B36B-4D8F3EA591EB}"/>
  </bookViews>
  <sheets>
    <sheet name="FV" sheetId="1" state="hidden" r:id="rId1"/>
    <sheet name="PV " sheetId="3" state="hidden" r:id="rId2"/>
    <sheet name="ANNUITIES" sheetId="2" state="hidden" r:id="rId3"/>
    <sheet name="Practice Case1_TVM" sheetId="4" state="hidden" r:id="rId4"/>
    <sheet name="Practice Case2_TVM" sheetId="5" state="hidden" r:id="rId5"/>
    <sheet name="Practice Case3_TVM" sheetId="6" state="hidden" r:id="rId6"/>
    <sheet name="AM GM" sheetId="7" state="hidden" r:id="rId7"/>
    <sheet name="Risk" sheetId="9" state="hidden" r:id="rId8"/>
    <sheet name="M1 Prep" sheetId="10" state="hidden" r:id="rId9"/>
    <sheet name="M1" sheetId="11" state="hidden" r:id="rId10"/>
    <sheet name="Utility" sheetId="12" state="hidden" r:id="rId11"/>
    <sheet name="Risk Minimisation" sheetId="13" state="hidden" r:id="rId12"/>
    <sheet name="Portfolio Optimisation" sheetId="14" state="hidden" r:id="rId13"/>
    <sheet name="3-stk Portfolio" sheetId="15" state="hidden" r:id="rId14"/>
    <sheet name="Multi Asset Portfolio" sheetId="16" state="hidden" r:id="rId15"/>
    <sheet name="M2" sheetId="17" state="hidden" r:id="rId16"/>
    <sheet name="Multi Asset Case" sheetId="18" state="hidden" r:id="rId17"/>
    <sheet name="Black Scholes Model" sheetId="20" state="hidden" r:id="rId18"/>
    <sheet name="BSM_Practice" sheetId="19" state="hidden" r:id="rId19"/>
    <sheet name="VaR" sheetId="21" state="hidden" r:id="rId20"/>
    <sheet name="VaR_Practice" sheetId="22" state="hidden" r:id="rId21"/>
    <sheet name="Credit Risk" sheetId="23" state="hidden" r:id="rId22"/>
    <sheet name="Solvency" sheetId="24" state="hidden" r:id="rId23"/>
    <sheet name="Equity" sheetId="25" state="hidden" r:id="rId24"/>
    <sheet name="Bonds" sheetId="26" state="hidden" r:id="rId25"/>
    <sheet name="Practice Problems_Latest Topics" sheetId="27" state="hidden" r:id="rId26"/>
    <sheet name="Solns_Practice Problems" sheetId="28" state="hidden" r:id="rId27"/>
    <sheet name="Sheet1" sheetId="29" r:id="rId28"/>
  </sheets>
  <definedNames>
    <definedName name="solver_adj" localSheetId="13" hidden="1">'3-stk Portfolio'!$E$25:$E$27</definedName>
    <definedName name="solver_adj" localSheetId="15" hidden="1">'M2'!$N$28:$N$29</definedName>
    <definedName name="solver_adj" localSheetId="12" hidden="1">'Portfolio Optimisation'!$R$20:$R$21</definedName>
    <definedName name="solver_adj" localSheetId="11" hidden="1">'Risk Minimisation'!$K$34:$K$35</definedName>
    <definedName name="solver_adj" localSheetId="10" hidden="1">Utility!$K$157:$K$158</definedName>
    <definedName name="solver_cvg" localSheetId="13" hidden="1">0.0001</definedName>
    <definedName name="solver_cvg" localSheetId="15" hidden="1">0.0001</definedName>
    <definedName name="solver_cvg" localSheetId="12" hidden="1">0.0001</definedName>
    <definedName name="solver_cvg" localSheetId="11" hidden="1">0.0001</definedName>
    <definedName name="solver_cvg" localSheetId="10" hidden="1">0.0001</definedName>
    <definedName name="solver_drv" localSheetId="13" hidden="1">2</definedName>
    <definedName name="solver_drv" localSheetId="15" hidden="1">1</definedName>
    <definedName name="solver_drv" localSheetId="12" hidden="1">1</definedName>
    <definedName name="solver_drv" localSheetId="11" hidden="1">1</definedName>
    <definedName name="solver_drv" localSheetId="10" hidden="1">1</definedName>
    <definedName name="solver_eng" localSheetId="13" hidden="1">1</definedName>
    <definedName name="solver_eng" localSheetId="15" hidden="1">1</definedName>
    <definedName name="solver_eng" localSheetId="12" hidden="1">1</definedName>
    <definedName name="solver_eng" localSheetId="11" hidden="1">1</definedName>
    <definedName name="solver_eng" localSheetId="10" hidden="1">1</definedName>
    <definedName name="solver_est" localSheetId="13" hidden="1">1</definedName>
    <definedName name="solver_est" localSheetId="15" hidden="1">1</definedName>
    <definedName name="solver_est" localSheetId="12" hidden="1">1</definedName>
    <definedName name="solver_est" localSheetId="11" hidden="1">1</definedName>
    <definedName name="solver_est" localSheetId="10" hidden="1">1</definedName>
    <definedName name="solver_itr" localSheetId="13" hidden="1">2147483647</definedName>
    <definedName name="solver_itr" localSheetId="15" hidden="1">2147483647</definedName>
    <definedName name="solver_itr" localSheetId="12" hidden="1">2147483647</definedName>
    <definedName name="solver_itr" localSheetId="11" hidden="1">2147483647</definedName>
    <definedName name="solver_itr" localSheetId="10" hidden="1">2147483647</definedName>
    <definedName name="solver_lhs1" localSheetId="13" hidden="1">'3-stk Portfolio'!$E$28</definedName>
    <definedName name="solver_lhs1" localSheetId="15" hidden="1">'M2'!$N$30</definedName>
    <definedName name="solver_lhs1" localSheetId="12" hidden="1">'Portfolio Optimisation'!$R$23</definedName>
    <definedName name="solver_lhs1" localSheetId="11" hidden="1">'Risk Minimisation'!$K$36</definedName>
    <definedName name="solver_lhs1" localSheetId="10" hidden="1">Utility!$K$157</definedName>
    <definedName name="solver_lhs2" localSheetId="15" hidden="1">'M2'!$M$14</definedName>
    <definedName name="solver_lhs2" localSheetId="10" hidden="1">Utility!$K$158</definedName>
    <definedName name="solver_lhs3" localSheetId="15" hidden="1">'M2'!$M$15</definedName>
    <definedName name="solver_lhs3" localSheetId="10" hidden="1">Utility!$K$159</definedName>
    <definedName name="solver_mip" localSheetId="13" hidden="1">2147483647</definedName>
    <definedName name="solver_mip" localSheetId="15" hidden="1">2147483647</definedName>
    <definedName name="solver_mip" localSheetId="12" hidden="1">2147483647</definedName>
    <definedName name="solver_mip" localSheetId="11" hidden="1">2147483647</definedName>
    <definedName name="solver_mip" localSheetId="10" hidden="1">2147483647</definedName>
    <definedName name="solver_mni" localSheetId="13" hidden="1">30</definedName>
    <definedName name="solver_mni" localSheetId="15" hidden="1">30</definedName>
    <definedName name="solver_mni" localSheetId="12" hidden="1">30</definedName>
    <definedName name="solver_mni" localSheetId="11" hidden="1">30</definedName>
    <definedName name="solver_mni" localSheetId="10" hidden="1">30</definedName>
    <definedName name="solver_mrt" localSheetId="13" hidden="1">0.075</definedName>
    <definedName name="solver_mrt" localSheetId="15" hidden="1">0.075</definedName>
    <definedName name="solver_mrt" localSheetId="12" hidden="1">0.075</definedName>
    <definedName name="solver_mrt" localSheetId="11" hidden="1">0.075</definedName>
    <definedName name="solver_mrt" localSheetId="10" hidden="1">0.075</definedName>
    <definedName name="solver_msl" localSheetId="13" hidden="1">2</definedName>
    <definedName name="solver_msl" localSheetId="15" hidden="1">2</definedName>
    <definedName name="solver_msl" localSheetId="12" hidden="1">2</definedName>
    <definedName name="solver_msl" localSheetId="11" hidden="1">2</definedName>
    <definedName name="solver_msl" localSheetId="10" hidden="1">2</definedName>
    <definedName name="solver_neg" localSheetId="13" hidden="1">1</definedName>
    <definedName name="solver_neg" localSheetId="15" hidden="1">1</definedName>
    <definedName name="solver_neg" localSheetId="12" hidden="1">1</definedName>
    <definedName name="solver_neg" localSheetId="11" hidden="1">1</definedName>
    <definedName name="solver_neg" localSheetId="10" hidden="1">1</definedName>
    <definedName name="solver_nod" localSheetId="13" hidden="1">2147483647</definedName>
    <definedName name="solver_nod" localSheetId="15" hidden="1">2147483647</definedName>
    <definedName name="solver_nod" localSheetId="12" hidden="1">2147483647</definedName>
    <definedName name="solver_nod" localSheetId="11" hidden="1">2147483647</definedName>
    <definedName name="solver_nod" localSheetId="10" hidden="1">2147483647</definedName>
    <definedName name="solver_num" localSheetId="13" hidden="1">1</definedName>
    <definedName name="solver_num" localSheetId="15" hidden="1">1</definedName>
    <definedName name="solver_num" localSheetId="12" hidden="1">1</definedName>
    <definedName name="solver_num" localSheetId="11" hidden="1">1</definedName>
    <definedName name="solver_num" localSheetId="10" hidden="1">3</definedName>
    <definedName name="solver_nwt" localSheetId="13" hidden="1">1</definedName>
    <definedName name="solver_nwt" localSheetId="15" hidden="1">1</definedName>
    <definedName name="solver_nwt" localSheetId="12" hidden="1">1</definedName>
    <definedName name="solver_nwt" localSheetId="11" hidden="1">1</definedName>
    <definedName name="solver_nwt" localSheetId="10" hidden="1">1</definedName>
    <definedName name="solver_opt" localSheetId="13" hidden="1">'3-stk Portfolio'!$H$35</definedName>
    <definedName name="solver_opt" localSheetId="15" hidden="1">'M2'!$N$34</definedName>
    <definedName name="solver_opt" localSheetId="12" hidden="1">'Portfolio Optimisation'!$R$32</definedName>
    <definedName name="solver_opt" localSheetId="11" hidden="1">'Risk Minimisation'!$K$42</definedName>
    <definedName name="solver_opt" localSheetId="10" hidden="1">Utility!$K$167</definedName>
    <definedName name="solver_pre" localSheetId="13" hidden="1">0.000001</definedName>
    <definedName name="solver_pre" localSheetId="15" hidden="1">0.000001</definedName>
    <definedName name="solver_pre" localSheetId="12" hidden="1">0.000001</definedName>
    <definedName name="solver_pre" localSheetId="11" hidden="1">0.000001</definedName>
    <definedName name="solver_pre" localSheetId="10" hidden="1">0.000001</definedName>
    <definedName name="solver_rbv" localSheetId="13" hidden="1">2</definedName>
    <definedName name="solver_rbv" localSheetId="15" hidden="1">1</definedName>
    <definedName name="solver_rbv" localSheetId="12" hidden="1">1</definedName>
    <definedName name="solver_rbv" localSheetId="11" hidden="1">1</definedName>
    <definedName name="solver_rbv" localSheetId="10" hidden="1">1</definedName>
    <definedName name="solver_rel1" localSheetId="13" hidden="1">2</definedName>
    <definedName name="solver_rel1" localSheetId="15" hidden="1">2</definedName>
    <definedName name="solver_rel1" localSheetId="12" hidden="1">2</definedName>
    <definedName name="solver_rel1" localSheetId="11" hidden="1">2</definedName>
    <definedName name="solver_rel1" localSheetId="10" hidden="1">3</definedName>
    <definedName name="solver_rel2" localSheetId="15" hidden="1">3</definedName>
    <definedName name="solver_rel2" localSheetId="10" hidden="1">3</definedName>
    <definedName name="solver_rel3" localSheetId="15" hidden="1">2</definedName>
    <definedName name="solver_rel3" localSheetId="10" hidden="1">2</definedName>
    <definedName name="solver_rhs1" localSheetId="13" hidden="1">1</definedName>
    <definedName name="solver_rhs1" localSheetId="15" hidden="1">1</definedName>
    <definedName name="solver_rhs1" localSheetId="12" hidden="1">1</definedName>
    <definedName name="solver_rhs1" localSheetId="11" hidden="1">1</definedName>
    <definedName name="solver_rhs1" localSheetId="10" hidden="1">0</definedName>
    <definedName name="solver_rhs2" localSheetId="15" hidden="1">0</definedName>
    <definedName name="solver_rhs2" localSheetId="10" hidden="1">0</definedName>
    <definedName name="solver_rhs3" localSheetId="15" hidden="1">1</definedName>
    <definedName name="solver_rhs3" localSheetId="10" hidden="1">1</definedName>
    <definedName name="solver_rlx" localSheetId="13" hidden="1">2</definedName>
    <definedName name="solver_rlx" localSheetId="15" hidden="1">2</definedName>
    <definedName name="solver_rlx" localSheetId="12" hidden="1">2</definedName>
    <definedName name="solver_rlx" localSheetId="11" hidden="1">2</definedName>
    <definedName name="solver_rlx" localSheetId="10" hidden="1">2</definedName>
    <definedName name="solver_rsd" localSheetId="13" hidden="1">0</definedName>
    <definedName name="solver_rsd" localSheetId="15" hidden="1">0</definedName>
    <definedName name="solver_rsd" localSheetId="12" hidden="1">0</definedName>
    <definedName name="solver_rsd" localSheetId="11" hidden="1">0</definedName>
    <definedName name="solver_rsd" localSheetId="10" hidden="1">0</definedName>
    <definedName name="solver_scl" localSheetId="13" hidden="1">2</definedName>
    <definedName name="solver_scl" localSheetId="15" hidden="1">1</definedName>
    <definedName name="solver_scl" localSheetId="12" hidden="1">1</definedName>
    <definedName name="solver_scl" localSheetId="11" hidden="1">1</definedName>
    <definedName name="solver_scl" localSheetId="10" hidden="1">1</definedName>
    <definedName name="solver_sho" localSheetId="13" hidden="1">2</definedName>
    <definedName name="solver_sho" localSheetId="15" hidden="1">2</definedName>
    <definedName name="solver_sho" localSheetId="12" hidden="1">2</definedName>
    <definedName name="solver_sho" localSheetId="11" hidden="1">2</definedName>
    <definedName name="solver_sho" localSheetId="10" hidden="1">2</definedName>
    <definedName name="solver_ssz" localSheetId="13" hidden="1">100</definedName>
    <definedName name="solver_ssz" localSheetId="15" hidden="1">100</definedName>
    <definedName name="solver_ssz" localSheetId="12" hidden="1">100</definedName>
    <definedName name="solver_ssz" localSheetId="11" hidden="1">100</definedName>
    <definedName name="solver_ssz" localSheetId="10" hidden="1">100</definedName>
    <definedName name="solver_tim" localSheetId="13" hidden="1">2147483647</definedName>
    <definedName name="solver_tim" localSheetId="15" hidden="1">2147483647</definedName>
    <definedName name="solver_tim" localSheetId="12" hidden="1">2147483647</definedName>
    <definedName name="solver_tim" localSheetId="11" hidden="1">2147483647</definedName>
    <definedName name="solver_tim" localSheetId="10" hidden="1">2147483647</definedName>
    <definedName name="solver_tol" localSheetId="13" hidden="1">0.01</definedName>
    <definedName name="solver_tol" localSheetId="15" hidden="1">0.01</definedName>
    <definedName name="solver_tol" localSheetId="12" hidden="1">0.01</definedName>
    <definedName name="solver_tol" localSheetId="11" hidden="1">0.01</definedName>
    <definedName name="solver_tol" localSheetId="10" hidden="1">0.01</definedName>
    <definedName name="solver_typ" localSheetId="13" hidden="1">2</definedName>
    <definedName name="solver_typ" localSheetId="15" hidden="1">2</definedName>
    <definedName name="solver_typ" localSheetId="12" hidden="1">1</definedName>
    <definedName name="solver_typ" localSheetId="11" hidden="1">2</definedName>
    <definedName name="solver_typ" localSheetId="10" hidden="1">1</definedName>
    <definedName name="solver_val" localSheetId="13" hidden="1">0</definedName>
    <definedName name="solver_val" localSheetId="15" hidden="1">0</definedName>
    <definedName name="solver_val" localSheetId="12" hidden="1">0</definedName>
    <definedName name="solver_val" localSheetId="11" hidden="1">0</definedName>
    <definedName name="solver_val" localSheetId="10" hidden="1">0</definedName>
    <definedName name="solver_ver" localSheetId="13" hidden="1">3</definedName>
    <definedName name="solver_ver" localSheetId="15" hidden="1">3</definedName>
    <definedName name="solver_ver" localSheetId="12" hidden="1">3</definedName>
    <definedName name="solver_ver" localSheetId="11" hidden="1">3</definedName>
    <definedName name="solver_ver" localSheetId="1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28" l="1"/>
  <c r="E64" i="28" s="1"/>
  <c r="F64" i="28" s="1"/>
  <c r="D69" i="28"/>
  <c r="D63" i="28"/>
  <c r="D64" i="28"/>
  <c r="D65" i="28"/>
  <c r="D66" i="28"/>
  <c r="D67" i="28"/>
  <c r="D68" i="28"/>
  <c r="D62" i="28"/>
  <c r="J31" i="28"/>
  <c r="N49" i="28" s="1"/>
  <c r="D35" i="28"/>
  <c r="D37" i="28" s="1"/>
  <c r="D39" i="28" s="1"/>
  <c r="F20" i="28"/>
  <c r="C20" i="28"/>
  <c r="O112" i="25"/>
  <c r="D8" i="26"/>
  <c r="G16" i="26" s="1"/>
  <c r="H16" i="26" s="1"/>
  <c r="F18" i="26"/>
  <c r="F15" i="26"/>
  <c r="F16" i="26"/>
  <c r="F17" i="26"/>
  <c r="F14" i="26"/>
  <c r="E62" i="28" l="1"/>
  <c r="F62" i="28" s="1"/>
  <c r="E69" i="28"/>
  <c r="F69" i="28" s="1"/>
  <c r="E68" i="28"/>
  <c r="F68" i="28" s="1"/>
  <c r="E67" i="28"/>
  <c r="F67" i="28" s="1"/>
  <c r="E66" i="28"/>
  <c r="F66" i="28" s="1"/>
  <c r="E65" i="28"/>
  <c r="F65" i="28" s="1"/>
  <c r="E63" i="28"/>
  <c r="F63" i="28" s="1"/>
  <c r="F16" i="28"/>
  <c r="F14" i="28" s="1"/>
  <c r="F12" i="28" s="1"/>
  <c r="K15" i="28" s="1"/>
  <c r="F4" i="28"/>
  <c r="J36" i="28"/>
  <c r="J35" i="28"/>
  <c r="J33" i="28"/>
  <c r="J38" i="28"/>
  <c r="J37" i="28"/>
  <c r="J34" i="28"/>
  <c r="D41" i="28"/>
  <c r="D43" i="28" s="1"/>
  <c r="F18" i="28"/>
  <c r="H18" i="28" s="1"/>
  <c r="G14" i="26"/>
  <c r="H14" i="26" s="1"/>
  <c r="G17" i="26"/>
  <c r="H17" i="26" s="1"/>
  <c r="G18" i="26"/>
  <c r="H18" i="26" s="1"/>
  <c r="G15" i="26"/>
  <c r="H15" i="26" s="1"/>
  <c r="Q104" i="25"/>
  <c r="Q102" i="25"/>
  <c r="Q101" i="25"/>
  <c r="Q115" i="25"/>
  <c r="Q112" i="25"/>
  <c r="O113" i="25"/>
  <c r="L99" i="25"/>
  <c r="L100" i="25"/>
  <c r="L101" i="25"/>
  <c r="L102" i="25"/>
  <c r="L98" i="25"/>
  <c r="K99" i="25"/>
  <c r="K100" i="25"/>
  <c r="K101" i="25"/>
  <c r="K102" i="25"/>
  <c r="K98" i="25"/>
  <c r="K95" i="25"/>
  <c r="J100" i="25"/>
  <c r="J101" i="25" s="1"/>
  <c r="J102" i="25" s="1"/>
  <c r="J99" i="25"/>
  <c r="J98" i="25"/>
  <c r="F71" i="28" l="1"/>
  <c r="F10" i="28"/>
  <c r="F6" i="28"/>
  <c r="D45" i="28"/>
  <c r="H14" i="28"/>
  <c r="H20" i="26"/>
  <c r="E121" i="25"/>
  <c r="E119" i="25"/>
  <c r="E117" i="25"/>
  <c r="E113" i="25"/>
  <c r="E111" i="25"/>
  <c r="E109" i="25"/>
  <c r="E107" i="25"/>
  <c r="E105" i="25"/>
  <c r="E103" i="25"/>
  <c r="E101" i="25"/>
  <c r="E99" i="25"/>
  <c r="D66" i="25"/>
  <c r="D64" i="25"/>
  <c r="E50" i="25"/>
  <c r="E59" i="25" s="1"/>
  <c r="H50" i="25"/>
  <c r="D47" i="28" l="1"/>
  <c r="D49" i="28" s="1"/>
  <c r="D53" i="28" s="1"/>
  <c r="D55" i="28" s="1"/>
  <c r="F8" i="28"/>
  <c r="E52" i="25"/>
  <c r="F59" i="25" s="1"/>
  <c r="D57" i="28" l="1"/>
  <c r="I33" i="28" s="1"/>
  <c r="I34" i="28" s="1"/>
  <c r="E30" i="25"/>
  <c r="E28" i="25"/>
  <c r="I35" i="28" l="1"/>
  <c r="K34" i="28"/>
  <c r="K33" i="28"/>
  <c r="H19" i="25"/>
  <c r="H12" i="25"/>
  <c r="H13" i="25"/>
  <c r="H14" i="25"/>
  <c r="H15" i="25"/>
  <c r="H16" i="25"/>
  <c r="H17" i="25"/>
  <c r="G13" i="25"/>
  <c r="G14" i="25"/>
  <c r="G15" i="25"/>
  <c r="G16" i="25"/>
  <c r="G17" i="25"/>
  <c r="G12" i="25"/>
  <c r="F53" i="24"/>
  <c r="C53" i="24"/>
  <c r="C24" i="24"/>
  <c r="F24" i="24"/>
  <c r="I36" i="28" l="1"/>
  <c r="K35" i="28"/>
  <c r="F20" i="24"/>
  <c r="F18" i="24" s="1"/>
  <c r="F16" i="24" s="1"/>
  <c r="F49" i="24"/>
  <c r="F51" i="24" s="1"/>
  <c r="H51" i="24" s="1"/>
  <c r="G101" i="23"/>
  <c r="G99" i="23"/>
  <c r="F92" i="23"/>
  <c r="F90" i="23"/>
  <c r="F89" i="23"/>
  <c r="I37" i="28" l="1"/>
  <c r="K36" i="28"/>
  <c r="F22" i="24"/>
  <c r="H22" i="24" s="1"/>
  <c r="F8" i="24"/>
  <c r="H18" i="24"/>
  <c r="M19" i="24"/>
  <c r="F47" i="24"/>
  <c r="F45" i="24" s="1"/>
  <c r="J54" i="23"/>
  <c r="J52" i="23"/>
  <c r="I38" i="28" l="1"/>
  <c r="K37" i="28"/>
  <c r="F37" i="24"/>
  <c r="M48" i="24"/>
  <c r="F10" i="24"/>
  <c r="F12" i="24" s="1"/>
  <c r="F14" i="24"/>
  <c r="H47" i="24"/>
  <c r="C14" i="23"/>
  <c r="R60" i="22"/>
  <c r="R58" i="22"/>
  <c r="R56" i="22"/>
  <c r="R54" i="22"/>
  <c r="R52" i="22"/>
  <c r="R50" i="22"/>
  <c r="O48" i="22"/>
  <c r="P48" i="22"/>
  <c r="Q48" i="22"/>
  <c r="R48" i="22"/>
  <c r="N48" i="22"/>
  <c r="N42" i="22" a="1"/>
  <c r="N42" i="22" s="1"/>
  <c r="L33" i="22"/>
  <c r="M33" i="22"/>
  <c r="O33" i="22"/>
  <c r="O34" i="22"/>
  <c r="O35" i="22"/>
  <c r="M36" i="22"/>
  <c r="N36" i="22"/>
  <c r="O32" i="22"/>
  <c r="O38" i="22" s="1"/>
  <c r="I42" i="22" s="1"/>
  <c r="L32" i="22"/>
  <c r="I32" i="22"/>
  <c r="I33" i="22" s="1"/>
  <c r="I34" i="22" s="1"/>
  <c r="I35" i="22" s="1"/>
  <c r="I36" i="22" s="1"/>
  <c r="P36" i="22" s="1"/>
  <c r="H32" i="22"/>
  <c r="H33" i="22" s="1"/>
  <c r="H34" i="22" s="1"/>
  <c r="H35" i="22" s="1"/>
  <c r="H36" i="22" s="1"/>
  <c r="O36" i="22" s="1"/>
  <c r="G32" i="22"/>
  <c r="G33" i="22" s="1"/>
  <c r="G34" i="22" s="1"/>
  <c r="G35" i="22" s="1"/>
  <c r="G36" i="22" s="1"/>
  <c r="F32" i="22"/>
  <c r="F33" i="22" s="1"/>
  <c r="F34" i="22" s="1"/>
  <c r="F35" i="22" s="1"/>
  <c r="F36" i="22" s="1"/>
  <c r="E32" i="22"/>
  <c r="E33" i="22" s="1"/>
  <c r="E34" i="22" s="1"/>
  <c r="E35" i="22" s="1"/>
  <c r="E36" i="22" s="1"/>
  <c r="L36" i="22" s="1"/>
  <c r="I21" i="22"/>
  <c r="I22" i="22" s="1"/>
  <c r="I23" i="22" s="1"/>
  <c r="I24" i="22" s="1"/>
  <c r="I25" i="22" s="1"/>
  <c r="H21" i="22"/>
  <c r="H22" i="22" s="1"/>
  <c r="H23" i="22" s="1"/>
  <c r="H24" i="22" s="1"/>
  <c r="H25" i="22" s="1"/>
  <c r="G21" i="22"/>
  <c r="G22" i="22" s="1"/>
  <c r="G23" i="22" s="1"/>
  <c r="G24" i="22" s="1"/>
  <c r="G25" i="22" s="1"/>
  <c r="F21" i="22"/>
  <c r="F22" i="22" s="1"/>
  <c r="F23" i="22" s="1"/>
  <c r="F24" i="22" s="1"/>
  <c r="F25" i="22" s="1"/>
  <c r="E21" i="22"/>
  <c r="E22" i="22" s="1"/>
  <c r="E23" i="22" s="1"/>
  <c r="E24" i="22" s="1"/>
  <c r="E25" i="22" s="1"/>
  <c r="N48" i="28" l="1"/>
  <c r="P48" i="28" s="1"/>
  <c r="K38" i="28"/>
  <c r="P37" i="28" s="1"/>
  <c r="I12" i="24"/>
  <c r="I16" i="24"/>
  <c r="F43" i="24"/>
  <c r="F39" i="24"/>
  <c r="F41" i="24" s="1"/>
  <c r="I45" i="24" s="1"/>
  <c r="I45" i="22"/>
  <c r="I44" i="22"/>
  <c r="I46" i="22"/>
  <c r="I43" i="22"/>
  <c r="P32" i="22"/>
  <c r="N34" i="22"/>
  <c r="P35" i="22"/>
  <c r="M34" i="22"/>
  <c r="P34" i="22"/>
  <c r="N32" i="22"/>
  <c r="L34" i="22"/>
  <c r="M32" i="22"/>
  <c r="N35" i="22"/>
  <c r="P33" i="22"/>
  <c r="M35" i="22"/>
  <c r="L35" i="22"/>
  <c r="L38" i="22" s="1"/>
  <c r="N33" i="22"/>
  <c r="P51" i="28" l="1"/>
  <c r="P38" i="28" s="1"/>
  <c r="P40" i="28" s="1"/>
  <c r="I41" i="24"/>
  <c r="F43" i="22"/>
  <c r="F46" i="22"/>
  <c r="F42" i="22"/>
  <c r="J43" i="22"/>
  <c r="M38" i="22"/>
  <c r="G42" i="22"/>
  <c r="F44" i="22"/>
  <c r="N38" i="22"/>
  <c r="H46" i="22" s="1"/>
  <c r="F45" i="22"/>
  <c r="J42" i="22"/>
  <c r="P38" i="22"/>
  <c r="J46" i="22" s="1"/>
  <c r="J44" i="22"/>
  <c r="H45" i="22" l="1"/>
  <c r="H43" i="22"/>
  <c r="H44" i="22"/>
  <c r="G43" i="22"/>
  <c r="G46" i="22"/>
  <c r="G45" i="22"/>
  <c r="H42" i="22"/>
  <c r="G44" i="22"/>
  <c r="J45" i="22"/>
  <c r="F12" i="22" l="1"/>
  <c r="L11" i="22" s="1"/>
  <c r="L12" i="22" s="1"/>
  <c r="L13" i="22" s="1"/>
  <c r="F5" i="22"/>
  <c r="L5" i="22" s="1"/>
  <c r="L6" i="22" s="1"/>
  <c r="L7" i="22" s="1"/>
  <c r="I115" i="19" l="1"/>
  <c r="I113" i="19"/>
  <c r="I111" i="19"/>
  <c r="I109" i="19"/>
  <c r="I108" i="19"/>
  <c r="P103" i="19"/>
  <c r="M103" i="19"/>
  <c r="P95" i="19"/>
  <c r="M95" i="19"/>
  <c r="P94" i="19"/>
  <c r="M94" i="19"/>
  <c r="P93" i="19"/>
  <c r="M93" i="19"/>
  <c r="J103" i="19"/>
  <c r="J95" i="19"/>
  <c r="J94" i="19"/>
  <c r="J93" i="19"/>
  <c r="G103" i="19"/>
  <c r="G95" i="19"/>
  <c r="G94" i="19"/>
  <c r="G93" i="19"/>
  <c r="G97" i="19" s="1"/>
  <c r="P97" i="19" l="1"/>
  <c r="P98" i="19" s="1"/>
  <c r="P101" i="19" s="1"/>
  <c r="M97" i="19"/>
  <c r="M98" i="19"/>
  <c r="M101" i="19" s="1"/>
  <c r="M100" i="19"/>
  <c r="M105" i="19" s="1"/>
  <c r="G98" i="19"/>
  <c r="G101" i="19" s="1"/>
  <c r="G100" i="19"/>
  <c r="G105" i="19" s="1"/>
  <c r="J97" i="19"/>
  <c r="J98" i="19" s="1"/>
  <c r="J101" i="19" s="1"/>
  <c r="K67" i="19"/>
  <c r="G66" i="19"/>
  <c r="G64" i="19"/>
  <c r="G62" i="19"/>
  <c r="K45" i="19"/>
  <c r="G44" i="19"/>
  <c r="G42" i="19"/>
  <c r="G40" i="19"/>
  <c r="I41" i="19" s="1"/>
  <c r="K41" i="19" s="1"/>
  <c r="P100" i="19" l="1"/>
  <c r="P105" i="19" s="1"/>
  <c r="J100" i="19"/>
  <c r="J105" i="19"/>
  <c r="I63" i="19"/>
  <c r="K63" i="19" s="1"/>
  <c r="I43" i="19"/>
  <c r="K43" i="19" s="1"/>
  <c r="J48" i="19" s="1"/>
  <c r="J50" i="19" s="1"/>
  <c r="I65" i="19" l="1"/>
  <c r="K65" i="19" s="1"/>
  <c r="J70" i="19" s="1"/>
  <c r="L20" i="19" l="1"/>
  <c r="F19" i="19"/>
  <c r="F17" i="19"/>
  <c r="F15" i="19"/>
  <c r="I16" i="19" s="1"/>
  <c r="I18" i="19" l="1"/>
  <c r="L18" i="19" s="1"/>
  <c r="L16" i="19"/>
  <c r="J24" i="19" s="1"/>
  <c r="J26" i="19" s="1"/>
  <c r="AN18" i="18"/>
  <c r="AN16" i="18"/>
  <c r="AN14" i="18"/>
  <c r="AH12" i="18"/>
  <c r="AI12" i="18"/>
  <c r="AJ12" i="18"/>
  <c r="AK12" i="18"/>
  <c r="AL12" i="18"/>
  <c r="AM12" i="18"/>
  <c r="AN12" i="18"/>
  <c r="AG12" i="18"/>
  <c r="AH1" i="18"/>
  <c r="AI1" i="18"/>
  <c r="AJ1" i="18"/>
  <c r="AK1" i="18"/>
  <c r="AL1" i="18"/>
  <c r="AM1" i="18"/>
  <c r="AN1" i="18"/>
  <c r="AG1" i="18"/>
  <c r="AE4" i="18"/>
  <c r="AE5" i="18"/>
  <c r="AE6" i="18"/>
  <c r="AE7" i="18"/>
  <c r="AE8" i="18"/>
  <c r="AE9" i="18"/>
  <c r="AE10" i="18"/>
  <c r="AE3" i="18"/>
  <c r="AG3" i="18" a="1"/>
  <c r="AG3" i="18" s="1"/>
  <c r="U491" i="18"/>
  <c r="V491" i="18"/>
  <c r="W491" i="18"/>
  <c r="X491" i="18"/>
  <c r="Y491" i="18"/>
  <c r="Z491" i="18"/>
  <c r="AA491" i="18"/>
  <c r="AB491" i="18"/>
  <c r="U4" i="18"/>
  <c r="V4" i="18"/>
  <c r="W4" i="18"/>
  <c r="X4" i="18"/>
  <c r="Y4" i="18"/>
  <c r="Z4" i="18"/>
  <c r="AA4" i="18"/>
  <c r="AB4" i="18"/>
  <c r="U5" i="18"/>
  <c r="V5" i="18"/>
  <c r="W5" i="18"/>
  <c r="X5" i="18"/>
  <c r="Y5" i="18"/>
  <c r="Z5" i="18"/>
  <c r="AA5" i="18"/>
  <c r="AB5" i="18"/>
  <c r="U6" i="18"/>
  <c r="V6" i="18"/>
  <c r="W6" i="18"/>
  <c r="X6" i="18"/>
  <c r="Y6" i="18"/>
  <c r="Z6" i="18"/>
  <c r="AA6" i="18"/>
  <c r="AB6" i="18"/>
  <c r="U7" i="18"/>
  <c r="V7" i="18"/>
  <c r="W7" i="18"/>
  <c r="X7" i="18"/>
  <c r="Y7" i="18"/>
  <c r="Z7" i="18"/>
  <c r="AA7" i="18"/>
  <c r="AB7" i="18"/>
  <c r="U8" i="18"/>
  <c r="V8" i="18"/>
  <c r="W8" i="18"/>
  <c r="X8" i="18"/>
  <c r="Y8" i="18"/>
  <c r="Z8" i="18"/>
  <c r="AA8" i="18"/>
  <c r="AB8" i="18"/>
  <c r="U9" i="18"/>
  <c r="V9" i="18"/>
  <c r="W9" i="18"/>
  <c r="X9" i="18"/>
  <c r="Y9" i="18"/>
  <c r="Z9" i="18"/>
  <c r="AA9" i="18"/>
  <c r="AB9" i="18"/>
  <c r="U10" i="18"/>
  <c r="V10" i="18"/>
  <c r="W10" i="18"/>
  <c r="X10" i="18"/>
  <c r="Y10" i="18"/>
  <c r="Z10" i="18"/>
  <c r="AA10" i="18"/>
  <c r="AB10" i="18"/>
  <c r="U11" i="18"/>
  <c r="V11" i="18"/>
  <c r="W11" i="18"/>
  <c r="X11" i="18"/>
  <c r="Y11" i="18"/>
  <c r="Z11" i="18"/>
  <c r="AA11" i="18"/>
  <c r="AB11" i="18"/>
  <c r="U12" i="18"/>
  <c r="V12" i="18"/>
  <c r="W12" i="18"/>
  <c r="X12" i="18"/>
  <c r="Y12" i="18"/>
  <c r="Z12" i="18"/>
  <c r="AA12" i="18"/>
  <c r="AB12" i="18"/>
  <c r="U13" i="18"/>
  <c r="V13" i="18"/>
  <c r="W13" i="18"/>
  <c r="X13" i="18"/>
  <c r="Y13" i="18"/>
  <c r="Z13" i="18"/>
  <c r="AA13" i="18"/>
  <c r="AB13" i="18"/>
  <c r="U14" i="18"/>
  <c r="V14" i="18"/>
  <c r="W14" i="18"/>
  <c r="X14" i="18"/>
  <c r="Y14" i="18"/>
  <c r="Z14" i="18"/>
  <c r="AA14" i="18"/>
  <c r="AB14" i="18"/>
  <c r="U15" i="18"/>
  <c r="V15" i="18"/>
  <c r="W15" i="18"/>
  <c r="X15" i="18"/>
  <c r="Y15" i="18"/>
  <c r="Z15" i="18"/>
  <c r="AA15" i="18"/>
  <c r="AB15" i="18"/>
  <c r="U16" i="18"/>
  <c r="V16" i="18"/>
  <c r="W16" i="18"/>
  <c r="X16" i="18"/>
  <c r="Y16" i="18"/>
  <c r="Z16" i="18"/>
  <c r="AA16" i="18"/>
  <c r="AB16" i="18"/>
  <c r="U17" i="18"/>
  <c r="V17" i="18"/>
  <c r="W17" i="18"/>
  <c r="X17" i="18"/>
  <c r="Y17" i="18"/>
  <c r="Z17" i="18"/>
  <c r="AA17" i="18"/>
  <c r="AB17" i="18"/>
  <c r="U18" i="18"/>
  <c r="V18" i="18"/>
  <c r="W18" i="18"/>
  <c r="X18" i="18"/>
  <c r="Y18" i="18"/>
  <c r="Z18" i="18"/>
  <c r="AA18" i="18"/>
  <c r="AB18" i="18"/>
  <c r="U19" i="18"/>
  <c r="V19" i="18"/>
  <c r="W19" i="18"/>
  <c r="X19" i="18"/>
  <c r="Y19" i="18"/>
  <c r="Z19" i="18"/>
  <c r="AA19" i="18"/>
  <c r="AB19" i="18"/>
  <c r="U20" i="18"/>
  <c r="V20" i="18"/>
  <c r="W20" i="18"/>
  <c r="X20" i="18"/>
  <c r="Y20" i="18"/>
  <c r="Z20" i="18"/>
  <c r="AA20" i="18"/>
  <c r="AB20" i="18"/>
  <c r="U21" i="18"/>
  <c r="V21" i="18"/>
  <c r="W21" i="18"/>
  <c r="X21" i="18"/>
  <c r="Y21" i="18"/>
  <c r="Z21" i="18"/>
  <c r="AA21" i="18"/>
  <c r="AB21" i="18"/>
  <c r="U22" i="18"/>
  <c r="V22" i="18"/>
  <c r="W22" i="18"/>
  <c r="X22" i="18"/>
  <c r="Y22" i="18"/>
  <c r="Z22" i="18"/>
  <c r="AA22" i="18"/>
  <c r="AB22" i="18"/>
  <c r="U23" i="18"/>
  <c r="V23" i="18"/>
  <c r="W23" i="18"/>
  <c r="X23" i="18"/>
  <c r="Y23" i="18"/>
  <c r="Z23" i="18"/>
  <c r="AA23" i="18"/>
  <c r="AB23" i="18"/>
  <c r="U24" i="18"/>
  <c r="V24" i="18"/>
  <c r="W24" i="18"/>
  <c r="X24" i="18"/>
  <c r="Y24" i="18"/>
  <c r="Z24" i="18"/>
  <c r="AA24" i="18"/>
  <c r="AB24" i="18"/>
  <c r="U25" i="18"/>
  <c r="V25" i="18"/>
  <c r="W25" i="18"/>
  <c r="X25" i="18"/>
  <c r="Y25" i="18"/>
  <c r="Z25" i="18"/>
  <c r="AA25" i="18"/>
  <c r="AB25" i="18"/>
  <c r="U26" i="18"/>
  <c r="V26" i="18"/>
  <c r="W26" i="18"/>
  <c r="X26" i="18"/>
  <c r="Y26" i="18"/>
  <c r="Z26" i="18"/>
  <c r="AA26" i="18"/>
  <c r="AB26" i="18"/>
  <c r="U27" i="18"/>
  <c r="V27" i="18"/>
  <c r="W27" i="18"/>
  <c r="X27" i="18"/>
  <c r="Y27" i="18"/>
  <c r="Z27" i="18"/>
  <c r="AA27" i="18"/>
  <c r="AB27" i="18"/>
  <c r="U28" i="18"/>
  <c r="V28" i="18"/>
  <c r="W28" i="18"/>
  <c r="X28" i="18"/>
  <c r="Y28" i="18"/>
  <c r="Z28" i="18"/>
  <c r="AA28" i="18"/>
  <c r="AB28" i="18"/>
  <c r="U29" i="18"/>
  <c r="V29" i="18"/>
  <c r="W29" i="18"/>
  <c r="X29" i="18"/>
  <c r="Y29" i="18"/>
  <c r="Z29" i="18"/>
  <c r="AA29" i="18"/>
  <c r="AB29" i="18"/>
  <c r="U30" i="18"/>
  <c r="V30" i="18"/>
  <c r="W30" i="18"/>
  <c r="X30" i="18"/>
  <c r="Y30" i="18"/>
  <c r="Z30" i="18"/>
  <c r="AA30" i="18"/>
  <c r="AB30" i="18"/>
  <c r="U31" i="18"/>
  <c r="V31" i="18"/>
  <c r="W31" i="18"/>
  <c r="X31" i="18"/>
  <c r="Y31" i="18"/>
  <c r="Z31" i="18"/>
  <c r="AA31" i="18"/>
  <c r="AB31" i="18"/>
  <c r="U32" i="18"/>
  <c r="V32" i="18"/>
  <c r="W32" i="18"/>
  <c r="X32" i="18"/>
  <c r="Y32" i="18"/>
  <c r="Z32" i="18"/>
  <c r="AA32" i="18"/>
  <c r="AB32" i="18"/>
  <c r="U33" i="18"/>
  <c r="V33" i="18"/>
  <c r="W33" i="18"/>
  <c r="X33" i="18"/>
  <c r="Y33" i="18"/>
  <c r="Z33" i="18"/>
  <c r="AA33" i="18"/>
  <c r="AB33" i="18"/>
  <c r="U34" i="18"/>
  <c r="V34" i="18"/>
  <c r="W34" i="18"/>
  <c r="X34" i="18"/>
  <c r="Y34" i="18"/>
  <c r="Z34" i="18"/>
  <c r="AA34" i="18"/>
  <c r="AB34" i="18"/>
  <c r="U35" i="18"/>
  <c r="V35" i="18"/>
  <c r="W35" i="18"/>
  <c r="X35" i="18"/>
  <c r="Y35" i="18"/>
  <c r="Z35" i="18"/>
  <c r="AA35" i="18"/>
  <c r="AB35" i="18"/>
  <c r="U36" i="18"/>
  <c r="V36" i="18"/>
  <c r="W36" i="18"/>
  <c r="X36" i="18"/>
  <c r="Y36" i="18"/>
  <c r="Z36" i="18"/>
  <c r="AA36" i="18"/>
  <c r="AB36" i="18"/>
  <c r="U37" i="18"/>
  <c r="V37" i="18"/>
  <c r="W37" i="18"/>
  <c r="X37" i="18"/>
  <c r="Y37" i="18"/>
  <c r="Z37" i="18"/>
  <c r="AA37" i="18"/>
  <c r="AB37" i="18"/>
  <c r="U38" i="18"/>
  <c r="V38" i="18"/>
  <c r="W38" i="18"/>
  <c r="X38" i="18"/>
  <c r="Y38" i="18"/>
  <c r="Z38" i="18"/>
  <c r="AA38" i="18"/>
  <c r="AB38" i="18"/>
  <c r="U39" i="18"/>
  <c r="V39" i="18"/>
  <c r="W39" i="18"/>
  <c r="X39" i="18"/>
  <c r="Y39" i="18"/>
  <c r="Z39" i="18"/>
  <c r="AA39" i="18"/>
  <c r="AB39" i="18"/>
  <c r="U40" i="18"/>
  <c r="V40" i="18"/>
  <c r="W40" i="18"/>
  <c r="X40" i="18"/>
  <c r="Y40" i="18"/>
  <c r="Z40" i="18"/>
  <c r="AA40" i="18"/>
  <c r="AB40" i="18"/>
  <c r="U41" i="18"/>
  <c r="V41" i="18"/>
  <c r="W41" i="18"/>
  <c r="X41" i="18"/>
  <c r="Y41" i="18"/>
  <c r="Z41" i="18"/>
  <c r="AA41" i="18"/>
  <c r="AB41" i="18"/>
  <c r="U42" i="18"/>
  <c r="V42" i="18"/>
  <c r="W42" i="18"/>
  <c r="X42" i="18"/>
  <c r="Y42" i="18"/>
  <c r="Z42" i="18"/>
  <c r="AA42" i="18"/>
  <c r="AB42" i="18"/>
  <c r="U43" i="18"/>
  <c r="V43" i="18"/>
  <c r="W43" i="18"/>
  <c r="X43" i="18"/>
  <c r="Y43" i="18"/>
  <c r="Z43" i="18"/>
  <c r="AA43" i="18"/>
  <c r="AB43" i="18"/>
  <c r="U44" i="18"/>
  <c r="V44" i="18"/>
  <c r="W44" i="18"/>
  <c r="X44" i="18"/>
  <c r="Y44" i="18"/>
  <c r="Z44" i="18"/>
  <c r="AA44" i="18"/>
  <c r="AB44" i="18"/>
  <c r="U45" i="18"/>
  <c r="V45" i="18"/>
  <c r="W45" i="18"/>
  <c r="X45" i="18"/>
  <c r="Y45" i="18"/>
  <c r="Z45" i="18"/>
  <c r="AA45" i="18"/>
  <c r="AB45" i="18"/>
  <c r="U46" i="18"/>
  <c r="V46" i="18"/>
  <c r="W46" i="18"/>
  <c r="X46" i="18"/>
  <c r="Y46" i="18"/>
  <c r="Z46" i="18"/>
  <c r="AA46" i="18"/>
  <c r="AB46" i="18"/>
  <c r="U47" i="18"/>
  <c r="V47" i="18"/>
  <c r="W47" i="18"/>
  <c r="X47" i="18"/>
  <c r="Y47" i="18"/>
  <c r="Z47" i="18"/>
  <c r="AA47" i="18"/>
  <c r="AB47" i="18"/>
  <c r="U48" i="18"/>
  <c r="V48" i="18"/>
  <c r="W48" i="18"/>
  <c r="X48" i="18"/>
  <c r="Y48" i="18"/>
  <c r="Z48" i="18"/>
  <c r="AA48" i="18"/>
  <c r="AB48" i="18"/>
  <c r="U49" i="18"/>
  <c r="V49" i="18"/>
  <c r="W49" i="18"/>
  <c r="X49" i="18"/>
  <c r="Y49" i="18"/>
  <c r="Z49" i="18"/>
  <c r="AA49" i="18"/>
  <c r="AB49" i="18"/>
  <c r="U50" i="18"/>
  <c r="V50" i="18"/>
  <c r="W50" i="18"/>
  <c r="X50" i="18"/>
  <c r="Y50" i="18"/>
  <c r="Z50" i="18"/>
  <c r="AA50" i="18"/>
  <c r="AB50" i="18"/>
  <c r="U51" i="18"/>
  <c r="V51" i="18"/>
  <c r="W51" i="18"/>
  <c r="X51" i="18"/>
  <c r="Y51" i="18"/>
  <c r="Z51" i="18"/>
  <c r="AA51" i="18"/>
  <c r="AB51" i="18"/>
  <c r="U52" i="18"/>
  <c r="V52" i="18"/>
  <c r="W52" i="18"/>
  <c r="X52" i="18"/>
  <c r="Y52" i="18"/>
  <c r="Z52" i="18"/>
  <c r="AA52" i="18"/>
  <c r="AB52" i="18"/>
  <c r="U53" i="18"/>
  <c r="V53" i="18"/>
  <c r="W53" i="18"/>
  <c r="X53" i="18"/>
  <c r="Y53" i="18"/>
  <c r="Z53" i="18"/>
  <c r="AA53" i="18"/>
  <c r="AB53" i="18"/>
  <c r="U54" i="18"/>
  <c r="V54" i="18"/>
  <c r="W54" i="18"/>
  <c r="X54" i="18"/>
  <c r="Y54" i="18"/>
  <c r="Z54" i="18"/>
  <c r="AA54" i="18"/>
  <c r="AB54" i="18"/>
  <c r="U55" i="18"/>
  <c r="V55" i="18"/>
  <c r="W55" i="18"/>
  <c r="X55" i="18"/>
  <c r="Y55" i="18"/>
  <c r="Z55" i="18"/>
  <c r="AA55" i="18"/>
  <c r="AB55" i="18"/>
  <c r="U56" i="18"/>
  <c r="V56" i="18"/>
  <c r="W56" i="18"/>
  <c r="X56" i="18"/>
  <c r="Y56" i="18"/>
  <c r="Z56" i="18"/>
  <c r="AA56" i="18"/>
  <c r="AB56" i="18"/>
  <c r="U57" i="18"/>
  <c r="V57" i="18"/>
  <c r="W57" i="18"/>
  <c r="X57" i="18"/>
  <c r="Y57" i="18"/>
  <c r="Z57" i="18"/>
  <c r="AA57" i="18"/>
  <c r="AB57" i="18"/>
  <c r="U58" i="18"/>
  <c r="V58" i="18"/>
  <c r="W58" i="18"/>
  <c r="X58" i="18"/>
  <c r="Y58" i="18"/>
  <c r="Z58" i="18"/>
  <c r="AA58" i="18"/>
  <c r="AB58" i="18"/>
  <c r="U59" i="18"/>
  <c r="V59" i="18"/>
  <c r="W59" i="18"/>
  <c r="X59" i="18"/>
  <c r="Y59" i="18"/>
  <c r="Z59" i="18"/>
  <c r="AA59" i="18"/>
  <c r="AB59" i="18"/>
  <c r="U60" i="18"/>
  <c r="V60" i="18"/>
  <c r="W60" i="18"/>
  <c r="X60" i="18"/>
  <c r="Y60" i="18"/>
  <c r="Z60" i="18"/>
  <c r="AA60" i="18"/>
  <c r="AB60" i="18"/>
  <c r="U61" i="18"/>
  <c r="V61" i="18"/>
  <c r="W61" i="18"/>
  <c r="X61" i="18"/>
  <c r="Y61" i="18"/>
  <c r="Z61" i="18"/>
  <c r="AA61" i="18"/>
  <c r="AB61" i="18"/>
  <c r="U62" i="18"/>
  <c r="V62" i="18"/>
  <c r="W62" i="18"/>
  <c r="X62" i="18"/>
  <c r="Y62" i="18"/>
  <c r="Z62" i="18"/>
  <c r="AA62" i="18"/>
  <c r="AB62" i="18"/>
  <c r="U63" i="18"/>
  <c r="V63" i="18"/>
  <c r="W63" i="18"/>
  <c r="X63" i="18"/>
  <c r="Y63" i="18"/>
  <c r="Z63" i="18"/>
  <c r="AA63" i="18"/>
  <c r="AB63" i="18"/>
  <c r="U64" i="18"/>
  <c r="V64" i="18"/>
  <c r="W64" i="18"/>
  <c r="X64" i="18"/>
  <c r="Y64" i="18"/>
  <c r="Z64" i="18"/>
  <c r="AA64" i="18"/>
  <c r="AB64" i="18"/>
  <c r="U65" i="18"/>
  <c r="V65" i="18"/>
  <c r="W65" i="18"/>
  <c r="X65" i="18"/>
  <c r="Y65" i="18"/>
  <c r="Z65" i="18"/>
  <c r="AA65" i="18"/>
  <c r="AB65" i="18"/>
  <c r="U66" i="18"/>
  <c r="V66" i="18"/>
  <c r="W66" i="18"/>
  <c r="X66" i="18"/>
  <c r="Y66" i="18"/>
  <c r="Z66" i="18"/>
  <c r="AA66" i="18"/>
  <c r="AB66" i="18"/>
  <c r="U67" i="18"/>
  <c r="V67" i="18"/>
  <c r="W67" i="18"/>
  <c r="X67" i="18"/>
  <c r="Y67" i="18"/>
  <c r="Z67" i="18"/>
  <c r="AA67" i="18"/>
  <c r="AB67" i="18"/>
  <c r="U68" i="18"/>
  <c r="V68" i="18"/>
  <c r="W68" i="18"/>
  <c r="X68" i="18"/>
  <c r="Y68" i="18"/>
  <c r="Z68" i="18"/>
  <c r="AA68" i="18"/>
  <c r="AB68" i="18"/>
  <c r="U69" i="18"/>
  <c r="V69" i="18"/>
  <c r="W69" i="18"/>
  <c r="X69" i="18"/>
  <c r="Y69" i="18"/>
  <c r="Z69" i="18"/>
  <c r="AA69" i="18"/>
  <c r="AB69" i="18"/>
  <c r="U70" i="18"/>
  <c r="V70" i="18"/>
  <c r="W70" i="18"/>
  <c r="X70" i="18"/>
  <c r="Y70" i="18"/>
  <c r="Z70" i="18"/>
  <c r="AA70" i="18"/>
  <c r="AB70" i="18"/>
  <c r="U71" i="18"/>
  <c r="V71" i="18"/>
  <c r="W71" i="18"/>
  <c r="X71" i="18"/>
  <c r="Y71" i="18"/>
  <c r="Z71" i="18"/>
  <c r="AA71" i="18"/>
  <c r="AB71" i="18"/>
  <c r="U72" i="18"/>
  <c r="V72" i="18"/>
  <c r="W72" i="18"/>
  <c r="X72" i="18"/>
  <c r="Y72" i="18"/>
  <c r="Z72" i="18"/>
  <c r="AA72" i="18"/>
  <c r="AB72" i="18"/>
  <c r="U73" i="18"/>
  <c r="V73" i="18"/>
  <c r="W73" i="18"/>
  <c r="X73" i="18"/>
  <c r="Y73" i="18"/>
  <c r="Z73" i="18"/>
  <c r="AA73" i="18"/>
  <c r="AB73" i="18"/>
  <c r="U74" i="18"/>
  <c r="V74" i="18"/>
  <c r="W74" i="18"/>
  <c r="X74" i="18"/>
  <c r="Y74" i="18"/>
  <c r="Z74" i="18"/>
  <c r="AA74" i="18"/>
  <c r="AB74" i="18"/>
  <c r="U75" i="18"/>
  <c r="V75" i="18"/>
  <c r="W75" i="18"/>
  <c r="X75" i="18"/>
  <c r="Y75" i="18"/>
  <c r="Z75" i="18"/>
  <c r="AA75" i="18"/>
  <c r="AB75" i="18"/>
  <c r="U76" i="18"/>
  <c r="V76" i="18"/>
  <c r="W76" i="18"/>
  <c r="X76" i="18"/>
  <c r="Y76" i="18"/>
  <c r="Z76" i="18"/>
  <c r="AA76" i="18"/>
  <c r="AB76" i="18"/>
  <c r="U77" i="18"/>
  <c r="V77" i="18"/>
  <c r="W77" i="18"/>
  <c r="X77" i="18"/>
  <c r="Y77" i="18"/>
  <c r="Z77" i="18"/>
  <c r="AA77" i="18"/>
  <c r="AB77" i="18"/>
  <c r="U78" i="18"/>
  <c r="V78" i="18"/>
  <c r="W78" i="18"/>
  <c r="X78" i="18"/>
  <c r="Y78" i="18"/>
  <c r="Z78" i="18"/>
  <c r="AA78" i="18"/>
  <c r="AB78" i="18"/>
  <c r="U79" i="18"/>
  <c r="V79" i="18"/>
  <c r="W79" i="18"/>
  <c r="X79" i="18"/>
  <c r="Y79" i="18"/>
  <c r="Z79" i="18"/>
  <c r="AA79" i="18"/>
  <c r="AB79" i="18"/>
  <c r="U80" i="18"/>
  <c r="V80" i="18"/>
  <c r="W80" i="18"/>
  <c r="X80" i="18"/>
  <c r="Y80" i="18"/>
  <c r="Z80" i="18"/>
  <c r="AA80" i="18"/>
  <c r="AB80" i="18"/>
  <c r="U81" i="18"/>
  <c r="V81" i="18"/>
  <c r="W81" i="18"/>
  <c r="X81" i="18"/>
  <c r="Y81" i="18"/>
  <c r="Z81" i="18"/>
  <c r="AA81" i="18"/>
  <c r="AB81" i="18"/>
  <c r="U82" i="18"/>
  <c r="V82" i="18"/>
  <c r="W82" i="18"/>
  <c r="X82" i="18"/>
  <c r="Y82" i="18"/>
  <c r="Z82" i="18"/>
  <c r="AA82" i="18"/>
  <c r="AB82" i="18"/>
  <c r="U83" i="18"/>
  <c r="V83" i="18"/>
  <c r="W83" i="18"/>
  <c r="X83" i="18"/>
  <c r="Y83" i="18"/>
  <c r="Z83" i="18"/>
  <c r="AA83" i="18"/>
  <c r="AB83" i="18"/>
  <c r="U84" i="18"/>
  <c r="V84" i="18"/>
  <c r="W84" i="18"/>
  <c r="X84" i="18"/>
  <c r="Y84" i="18"/>
  <c r="Z84" i="18"/>
  <c r="AA84" i="18"/>
  <c r="AB84" i="18"/>
  <c r="U85" i="18"/>
  <c r="V85" i="18"/>
  <c r="W85" i="18"/>
  <c r="X85" i="18"/>
  <c r="Y85" i="18"/>
  <c r="Z85" i="18"/>
  <c r="AA85" i="18"/>
  <c r="AB85" i="18"/>
  <c r="U86" i="18"/>
  <c r="V86" i="18"/>
  <c r="W86" i="18"/>
  <c r="X86" i="18"/>
  <c r="Y86" i="18"/>
  <c r="Z86" i="18"/>
  <c r="AA86" i="18"/>
  <c r="AB86" i="18"/>
  <c r="U87" i="18"/>
  <c r="V87" i="18"/>
  <c r="W87" i="18"/>
  <c r="X87" i="18"/>
  <c r="Y87" i="18"/>
  <c r="Z87" i="18"/>
  <c r="AA87" i="18"/>
  <c r="AB87" i="18"/>
  <c r="U88" i="18"/>
  <c r="V88" i="18"/>
  <c r="W88" i="18"/>
  <c r="X88" i="18"/>
  <c r="Y88" i="18"/>
  <c r="Z88" i="18"/>
  <c r="AA88" i="18"/>
  <c r="AB88" i="18"/>
  <c r="U89" i="18"/>
  <c r="V89" i="18"/>
  <c r="W89" i="18"/>
  <c r="X89" i="18"/>
  <c r="Y89" i="18"/>
  <c r="Z89" i="18"/>
  <c r="AA89" i="18"/>
  <c r="AB89" i="18"/>
  <c r="U90" i="18"/>
  <c r="V90" i="18"/>
  <c r="W90" i="18"/>
  <c r="X90" i="18"/>
  <c r="Y90" i="18"/>
  <c r="Z90" i="18"/>
  <c r="AA90" i="18"/>
  <c r="AB90" i="18"/>
  <c r="U91" i="18"/>
  <c r="V91" i="18"/>
  <c r="W91" i="18"/>
  <c r="X91" i="18"/>
  <c r="Y91" i="18"/>
  <c r="Z91" i="18"/>
  <c r="AA91" i="18"/>
  <c r="AB91" i="18"/>
  <c r="U92" i="18"/>
  <c r="V92" i="18"/>
  <c r="W92" i="18"/>
  <c r="X92" i="18"/>
  <c r="Y92" i="18"/>
  <c r="Z92" i="18"/>
  <c r="AA92" i="18"/>
  <c r="AB92" i="18"/>
  <c r="U93" i="18"/>
  <c r="V93" i="18"/>
  <c r="W93" i="18"/>
  <c r="X93" i="18"/>
  <c r="Y93" i="18"/>
  <c r="Z93" i="18"/>
  <c r="AA93" i="18"/>
  <c r="AB93" i="18"/>
  <c r="U94" i="18"/>
  <c r="V94" i="18"/>
  <c r="W94" i="18"/>
  <c r="X94" i="18"/>
  <c r="Y94" i="18"/>
  <c r="Z94" i="18"/>
  <c r="AA94" i="18"/>
  <c r="AB94" i="18"/>
  <c r="U95" i="18"/>
  <c r="V95" i="18"/>
  <c r="W95" i="18"/>
  <c r="X95" i="18"/>
  <c r="Y95" i="18"/>
  <c r="Z95" i="18"/>
  <c r="AA95" i="18"/>
  <c r="AB95" i="18"/>
  <c r="U96" i="18"/>
  <c r="V96" i="18"/>
  <c r="W96" i="18"/>
  <c r="X96" i="18"/>
  <c r="Y96" i="18"/>
  <c r="Z96" i="18"/>
  <c r="AA96" i="18"/>
  <c r="AB96" i="18"/>
  <c r="U97" i="18"/>
  <c r="V97" i="18"/>
  <c r="W97" i="18"/>
  <c r="X97" i="18"/>
  <c r="Y97" i="18"/>
  <c r="Z97" i="18"/>
  <c r="AA97" i="18"/>
  <c r="AB97" i="18"/>
  <c r="U98" i="18"/>
  <c r="V98" i="18"/>
  <c r="W98" i="18"/>
  <c r="X98" i="18"/>
  <c r="Y98" i="18"/>
  <c r="Z98" i="18"/>
  <c r="AA98" i="18"/>
  <c r="AB98" i="18"/>
  <c r="U99" i="18"/>
  <c r="V99" i="18"/>
  <c r="W99" i="18"/>
  <c r="X99" i="18"/>
  <c r="Y99" i="18"/>
  <c r="Z99" i="18"/>
  <c r="AA99" i="18"/>
  <c r="AB99" i="18"/>
  <c r="U100" i="18"/>
  <c r="V100" i="18"/>
  <c r="W100" i="18"/>
  <c r="X100" i="18"/>
  <c r="Y100" i="18"/>
  <c r="Z100" i="18"/>
  <c r="AA100" i="18"/>
  <c r="AB100" i="18"/>
  <c r="U101" i="18"/>
  <c r="V101" i="18"/>
  <c r="W101" i="18"/>
  <c r="X101" i="18"/>
  <c r="Y101" i="18"/>
  <c r="Z101" i="18"/>
  <c r="AA101" i="18"/>
  <c r="AB101" i="18"/>
  <c r="U102" i="18"/>
  <c r="V102" i="18"/>
  <c r="W102" i="18"/>
  <c r="X102" i="18"/>
  <c r="Y102" i="18"/>
  <c r="Z102" i="18"/>
  <c r="AA102" i="18"/>
  <c r="AB102" i="18"/>
  <c r="U103" i="18"/>
  <c r="V103" i="18"/>
  <c r="W103" i="18"/>
  <c r="X103" i="18"/>
  <c r="Y103" i="18"/>
  <c r="Z103" i="18"/>
  <c r="AA103" i="18"/>
  <c r="AB103" i="18"/>
  <c r="U104" i="18"/>
  <c r="V104" i="18"/>
  <c r="W104" i="18"/>
  <c r="X104" i="18"/>
  <c r="Y104" i="18"/>
  <c r="Z104" i="18"/>
  <c r="AA104" i="18"/>
  <c r="AB104" i="18"/>
  <c r="U105" i="18"/>
  <c r="V105" i="18"/>
  <c r="W105" i="18"/>
  <c r="X105" i="18"/>
  <c r="Y105" i="18"/>
  <c r="Z105" i="18"/>
  <c r="AA105" i="18"/>
  <c r="AB105" i="18"/>
  <c r="U106" i="18"/>
  <c r="V106" i="18"/>
  <c r="W106" i="18"/>
  <c r="X106" i="18"/>
  <c r="Y106" i="18"/>
  <c r="Z106" i="18"/>
  <c r="AA106" i="18"/>
  <c r="AB106" i="18"/>
  <c r="U107" i="18"/>
  <c r="V107" i="18"/>
  <c r="W107" i="18"/>
  <c r="X107" i="18"/>
  <c r="Y107" i="18"/>
  <c r="Z107" i="18"/>
  <c r="AA107" i="18"/>
  <c r="AB107" i="18"/>
  <c r="U108" i="18"/>
  <c r="V108" i="18"/>
  <c r="W108" i="18"/>
  <c r="X108" i="18"/>
  <c r="Y108" i="18"/>
  <c r="Z108" i="18"/>
  <c r="AA108" i="18"/>
  <c r="AB108" i="18"/>
  <c r="U109" i="18"/>
  <c r="V109" i="18"/>
  <c r="W109" i="18"/>
  <c r="X109" i="18"/>
  <c r="Y109" i="18"/>
  <c r="Z109" i="18"/>
  <c r="AA109" i="18"/>
  <c r="AB109" i="18"/>
  <c r="U110" i="18"/>
  <c r="V110" i="18"/>
  <c r="W110" i="18"/>
  <c r="X110" i="18"/>
  <c r="Y110" i="18"/>
  <c r="Z110" i="18"/>
  <c r="AA110" i="18"/>
  <c r="AB110" i="18"/>
  <c r="U111" i="18"/>
  <c r="V111" i="18"/>
  <c r="W111" i="18"/>
  <c r="X111" i="18"/>
  <c r="Y111" i="18"/>
  <c r="Z111" i="18"/>
  <c r="AA111" i="18"/>
  <c r="AB111" i="18"/>
  <c r="U112" i="18"/>
  <c r="V112" i="18"/>
  <c r="W112" i="18"/>
  <c r="X112" i="18"/>
  <c r="Y112" i="18"/>
  <c r="Z112" i="18"/>
  <c r="AA112" i="18"/>
  <c r="AB112" i="18"/>
  <c r="U113" i="18"/>
  <c r="V113" i="18"/>
  <c r="W113" i="18"/>
  <c r="X113" i="18"/>
  <c r="Y113" i="18"/>
  <c r="Z113" i="18"/>
  <c r="AA113" i="18"/>
  <c r="AB113" i="18"/>
  <c r="U114" i="18"/>
  <c r="V114" i="18"/>
  <c r="W114" i="18"/>
  <c r="X114" i="18"/>
  <c r="Y114" i="18"/>
  <c r="Z114" i="18"/>
  <c r="AA114" i="18"/>
  <c r="AB114" i="18"/>
  <c r="U115" i="18"/>
  <c r="V115" i="18"/>
  <c r="W115" i="18"/>
  <c r="X115" i="18"/>
  <c r="Y115" i="18"/>
  <c r="Z115" i="18"/>
  <c r="AA115" i="18"/>
  <c r="AB115" i="18"/>
  <c r="U116" i="18"/>
  <c r="V116" i="18"/>
  <c r="W116" i="18"/>
  <c r="X116" i="18"/>
  <c r="Y116" i="18"/>
  <c r="Z116" i="18"/>
  <c r="AA116" i="18"/>
  <c r="AB116" i="18"/>
  <c r="U117" i="18"/>
  <c r="V117" i="18"/>
  <c r="W117" i="18"/>
  <c r="X117" i="18"/>
  <c r="Y117" i="18"/>
  <c r="Z117" i="18"/>
  <c r="AA117" i="18"/>
  <c r="AB117" i="18"/>
  <c r="U118" i="18"/>
  <c r="V118" i="18"/>
  <c r="W118" i="18"/>
  <c r="X118" i="18"/>
  <c r="Y118" i="18"/>
  <c r="Z118" i="18"/>
  <c r="AA118" i="18"/>
  <c r="AB118" i="18"/>
  <c r="U119" i="18"/>
  <c r="V119" i="18"/>
  <c r="W119" i="18"/>
  <c r="X119" i="18"/>
  <c r="Y119" i="18"/>
  <c r="Z119" i="18"/>
  <c r="AA119" i="18"/>
  <c r="AB119" i="18"/>
  <c r="U120" i="18"/>
  <c r="V120" i="18"/>
  <c r="W120" i="18"/>
  <c r="X120" i="18"/>
  <c r="Y120" i="18"/>
  <c r="Z120" i="18"/>
  <c r="AA120" i="18"/>
  <c r="AB120" i="18"/>
  <c r="U121" i="18"/>
  <c r="V121" i="18"/>
  <c r="W121" i="18"/>
  <c r="X121" i="18"/>
  <c r="Y121" i="18"/>
  <c r="Z121" i="18"/>
  <c r="AA121" i="18"/>
  <c r="AB121" i="18"/>
  <c r="U122" i="18"/>
  <c r="V122" i="18"/>
  <c r="W122" i="18"/>
  <c r="X122" i="18"/>
  <c r="Y122" i="18"/>
  <c r="Z122" i="18"/>
  <c r="AA122" i="18"/>
  <c r="AB122" i="18"/>
  <c r="U123" i="18"/>
  <c r="V123" i="18"/>
  <c r="W123" i="18"/>
  <c r="X123" i="18"/>
  <c r="Y123" i="18"/>
  <c r="Z123" i="18"/>
  <c r="AA123" i="18"/>
  <c r="AB123" i="18"/>
  <c r="U124" i="18"/>
  <c r="V124" i="18"/>
  <c r="W124" i="18"/>
  <c r="X124" i="18"/>
  <c r="Y124" i="18"/>
  <c r="Z124" i="18"/>
  <c r="AA124" i="18"/>
  <c r="AB124" i="18"/>
  <c r="U125" i="18"/>
  <c r="V125" i="18"/>
  <c r="W125" i="18"/>
  <c r="X125" i="18"/>
  <c r="Y125" i="18"/>
  <c r="Z125" i="18"/>
  <c r="AA125" i="18"/>
  <c r="AB125" i="18"/>
  <c r="U126" i="18"/>
  <c r="V126" i="18"/>
  <c r="W126" i="18"/>
  <c r="X126" i="18"/>
  <c r="Y126" i="18"/>
  <c r="Z126" i="18"/>
  <c r="AA126" i="18"/>
  <c r="AB126" i="18"/>
  <c r="U127" i="18"/>
  <c r="V127" i="18"/>
  <c r="W127" i="18"/>
  <c r="X127" i="18"/>
  <c r="Y127" i="18"/>
  <c r="Z127" i="18"/>
  <c r="AA127" i="18"/>
  <c r="AB127" i="18"/>
  <c r="U128" i="18"/>
  <c r="V128" i="18"/>
  <c r="W128" i="18"/>
  <c r="X128" i="18"/>
  <c r="Y128" i="18"/>
  <c r="Z128" i="18"/>
  <c r="AA128" i="18"/>
  <c r="AB128" i="18"/>
  <c r="U129" i="18"/>
  <c r="V129" i="18"/>
  <c r="W129" i="18"/>
  <c r="X129" i="18"/>
  <c r="Y129" i="18"/>
  <c r="Z129" i="18"/>
  <c r="AA129" i="18"/>
  <c r="AB129" i="18"/>
  <c r="U130" i="18"/>
  <c r="V130" i="18"/>
  <c r="W130" i="18"/>
  <c r="X130" i="18"/>
  <c r="Y130" i="18"/>
  <c r="Z130" i="18"/>
  <c r="AA130" i="18"/>
  <c r="AB130" i="18"/>
  <c r="U131" i="18"/>
  <c r="V131" i="18"/>
  <c r="W131" i="18"/>
  <c r="X131" i="18"/>
  <c r="Y131" i="18"/>
  <c r="Z131" i="18"/>
  <c r="AA131" i="18"/>
  <c r="AB131" i="18"/>
  <c r="U132" i="18"/>
  <c r="V132" i="18"/>
  <c r="W132" i="18"/>
  <c r="X132" i="18"/>
  <c r="Y132" i="18"/>
  <c r="Z132" i="18"/>
  <c r="AA132" i="18"/>
  <c r="AB132" i="18"/>
  <c r="U133" i="18"/>
  <c r="V133" i="18"/>
  <c r="W133" i="18"/>
  <c r="X133" i="18"/>
  <c r="Y133" i="18"/>
  <c r="Z133" i="18"/>
  <c r="AA133" i="18"/>
  <c r="AB133" i="18"/>
  <c r="U134" i="18"/>
  <c r="V134" i="18"/>
  <c r="W134" i="18"/>
  <c r="X134" i="18"/>
  <c r="Y134" i="18"/>
  <c r="Z134" i="18"/>
  <c r="AA134" i="18"/>
  <c r="AB134" i="18"/>
  <c r="U135" i="18"/>
  <c r="V135" i="18"/>
  <c r="W135" i="18"/>
  <c r="X135" i="18"/>
  <c r="Y135" i="18"/>
  <c r="Z135" i="18"/>
  <c r="AA135" i="18"/>
  <c r="AB135" i="18"/>
  <c r="U136" i="18"/>
  <c r="V136" i="18"/>
  <c r="W136" i="18"/>
  <c r="X136" i="18"/>
  <c r="Y136" i="18"/>
  <c r="Z136" i="18"/>
  <c r="AA136" i="18"/>
  <c r="AB136" i="18"/>
  <c r="U137" i="18"/>
  <c r="V137" i="18"/>
  <c r="W137" i="18"/>
  <c r="X137" i="18"/>
  <c r="Y137" i="18"/>
  <c r="Z137" i="18"/>
  <c r="AA137" i="18"/>
  <c r="AB137" i="18"/>
  <c r="U138" i="18"/>
  <c r="V138" i="18"/>
  <c r="W138" i="18"/>
  <c r="X138" i="18"/>
  <c r="Y138" i="18"/>
  <c r="Z138" i="18"/>
  <c r="AA138" i="18"/>
  <c r="AB138" i="18"/>
  <c r="U139" i="18"/>
  <c r="V139" i="18"/>
  <c r="W139" i="18"/>
  <c r="X139" i="18"/>
  <c r="Y139" i="18"/>
  <c r="Z139" i="18"/>
  <c r="AA139" i="18"/>
  <c r="AB139" i="18"/>
  <c r="U140" i="18"/>
  <c r="V140" i="18"/>
  <c r="W140" i="18"/>
  <c r="X140" i="18"/>
  <c r="Y140" i="18"/>
  <c r="Z140" i="18"/>
  <c r="AA140" i="18"/>
  <c r="AB140" i="18"/>
  <c r="U141" i="18"/>
  <c r="V141" i="18"/>
  <c r="W141" i="18"/>
  <c r="X141" i="18"/>
  <c r="Y141" i="18"/>
  <c r="Z141" i="18"/>
  <c r="AA141" i="18"/>
  <c r="AB141" i="18"/>
  <c r="U142" i="18"/>
  <c r="V142" i="18"/>
  <c r="W142" i="18"/>
  <c r="X142" i="18"/>
  <c r="Y142" i="18"/>
  <c r="Z142" i="18"/>
  <c r="AA142" i="18"/>
  <c r="AB142" i="18"/>
  <c r="U143" i="18"/>
  <c r="V143" i="18"/>
  <c r="W143" i="18"/>
  <c r="X143" i="18"/>
  <c r="Y143" i="18"/>
  <c r="Z143" i="18"/>
  <c r="AA143" i="18"/>
  <c r="AB143" i="18"/>
  <c r="U144" i="18"/>
  <c r="V144" i="18"/>
  <c r="W144" i="18"/>
  <c r="X144" i="18"/>
  <c r="Y144" i="18"/>
  <c r="Z144" i="18"/>
  <c r="AA144" i="18"/>
  <c r="AB144" i="18"/>
  <c r="U145" i="18"/>
  <c r="V145" i="18"/>
  <c r="W145" i="18"/>
  <c r="X145" i="18"/>
  <c r="Y145" i="18"/>
  <c r="Z145" i="18"/>
  <c r="AA145" i="18"/>
  <c r="AB145" i="18"/>
  <c r="U146" i="18"/>
  <c r="V146" i="18"/>
  <c r="W146" i="18"/>
  <c r="X146" i="18"/>
  <c r="Y146" i="18"/>
  <c r="Z146" i="18"/>
  <c r="AA146" i="18"/>
  <c r="AB146" i="18"/>
  <c r="U147" i="18"/>
  <c r="V147" i="18"/>
  <c r="W147" i="18"/>
  <c r="X147" i="18"/>
  <c r="Y147" i="18"/>
  <c r="Z147" i="18"/>
  <c r="AA147" i="18"/>
  <c r="AB147" i="18"/>
  <c r="U148" i="18"/>
  <c r="V148" i="18"/>
  <c r="W148" i="18"/>
  <c r="X148" i="18"/>
  <c r="Y148" i="18"/>
  <c r="Z148" i="18"/>
  <c r="AA148" i="18"/>
  <c r="AB148" i="18"/>
  <c r="U149" i="18"/>
  <c r="V149" i="18"/>
  <c r="W149" i="18"/>
  <c r="X149" i="18"/>
  <c r="Y149" i="18"/>
  <c r="Z149" i="18"/>
  <c r="AA149" i="18"/>
  <c r="AB149" i="18"/>
  <c r="U150" i="18"/>
  <c r="V150" i="18"/>
  <c r="W150" i="18"/>
  <c r="X150" i="18"/>
  <c r="Y150" i="18"/>
  <c r="Z150" i="18"/>
  <c r="AA150" i="18"/>
  <c r="AB150" i="18"/>
  <c r="U151" i="18"/>
  <c r="V151" i="18"/>
  <c r="W151" i="18"/>
  <c r="X151" i="18"/>
  <c r="Y151" i="18"/>
  <c r="Z151" i="18"/>
  <c r="AA151" i="18"/>
  <c r="AB151" i="18"/>
  <c r="U152" i="18"/>
  <c r="V152" i="18"/>
  <c r="W152" i="18"/>
  <c r="X152" i="18"/>
  <c r="Y152" i="18"/>
  <c r="Z152" i="18"/>
  <c r="AA152" i="18"/>
  <c r="AB152" i="18"/>
  <c r="U153" i="18"/>
  <c r="V153" i="18"/>
  <c r="W153" i="18"/>
  <c r="X153" i="18"/>
  <c r="Y153" i="18"/>
  <c r="Z153" i="18"/>
  <c r="AA153" i="18"/>
  <c r="AB153" i="18"/>
  <c r="U154" i="18"/>
  <c r="V154" i="18"/>
  <c r="W154" i="18"/>
  <c r="X154" i="18"/>
  <c r="Y154" i="18"/>
  <c r="Z154" i="18"/>
  <c r="AA154" i="18"/>
  <c r="AB154" i="18"/>
  <c r="U155" i="18"/>
  <c r="V155" i="18"/>
  <c r="W155" i="18"/>
  <c r="X155" i="18"/>
  <c r="Y155" i="18"/>
  <c r="Z155" i="18"/>
  <c r="AA155" i="18"/>
  <c r="AB155" i="18"/>
  <c r="U156" i="18"/>
  <c r="V156" i="18"/>
  <c r="W156" i="18"/>
  <c r="X156" i="18"/>
  <c r="Y156" i="18"/>
  <c r="Z156" i="18"/>
  <c r="AA156" i="18"/>
  <c r="AB156" i="18"/>
  <c r="U157" i="18"/>
  <c r="V157" i="18"/>
  <c r="W157" i="18"/>
  <c r="X157" i="18"/>
  <c r="Y157" i="18"/>
  <c r="Z157" i="18"/>
  <c r="AA157" i="18"/>
  <c r="AB157" i="18"/>
  <c r="U158" i="18"/>
  <c r="V158" i="18"/>
  <c r="W158" i="18"/>
  <c r="X158" i="18"/>
  <c r="Y158" i="18"/>
  <c r="Z158" i="18"/>
  <c r="AA158" i="18"/>
  <c r="AB158" i="18"/>
  <c r="U159" i="18"/>
  <c r="V159" i="18"/>
  <c r="W159" i="18"/>
  <c r="X159" i="18"/>
  <c r="Y159" i="18"/>
  <c r="Z159" i="18"/>
  <c r="AA159" i="18"/>
  <c r="AB159" i="18"/>
  <c r="U160" i="18"/>
  <c r="V160" i="18"/>
  <c r="W160" i="18"/>
  <c r="X160" i="18"/>
  <c r="Y160" i="18"/>
  <c r="Z160" i="18"/>
  <c r="AA160" i="18"/>
  <c r="AB160" i="18"/>
  <c r="U161" i="18"/>
  <c r="V161" i="18"/>
  <c r="W161" i="18"/>
  <c r="X161" i="18"/>
  <c r="Y161" i="18"/>
  <c r="Z161" i="18"/>
  <c r="AA161" i="18"/>
  <c r="AB161" i="18"/>
  <c r="U162" i="18"/>
  <c r="V162" i="18"/>
  <c r="W162" i="18"/>
  <c r="X162" i="18"/>
  <c r="Y162" i="18"/>
  <c r="Z162" i="18"/>
  <c r="AA162" i="18"/>
  <c r="AB162" i="18"/>
  <c r="U163" i="18"/>
  <c r="V163" i="18"/>
  <c r="W163" i="18"/>
  <c r="X163" i="18"/>
  <c r="Y163" i="18"/>
  <c r="Z163" i="18"/>
  <c r="AA163" i="18"/>
  <c r="AB163" i="18"/>
  <c r="U164" i="18"/>
  <c r="V164" i="18"/>
  <c r="W164" i="18"/>
  <c r="X164" i="18"/>
  <c r="Y164" i="18"/>
  <c r="Z164" i="18"/>
  <c r="AA164" i="18"/>
  <c r="AB164" i="18"/>
  <c r="U165" i="18"/>
  <c r="V165" i="18"/>
  <c r="W165" i="18"/>
  <c r="X165" i="18"/>
  <c r="Y165" i="18"/>
  <c r="Z165" i="18"/>
  <c r="AA165" i="18"/>
  <c r="AB165" i="18"/>
  <c r="U166" i="18"/>
  <c r="V166" i="18"/>
  <c r="W166" i="18"/>
  <c r="X166" i="18"/>
  <c r="Y166" i="18"/>
  <c r="Z166" i="18"/>
  <c r="AA166" i="18"/>
  <c r="AB166" i="18"/>
  <c r="U167" i="18"/>
  <c r="V167" i="18"/>
  <c r="W167" i="18"/>
  <c r="X167" i="18"/>
  <c r="Y167" i="18"/>
  <c r="Z167" i="18"/>
  <c r="AA167" i="18"/>
  <c r="AB167" i="18"/>
  <c r="U168" i="18"/>
  <c r="V168" i="18"/>
  <c r="W168" i="18"/>
  <c r="X168" i="18"/>
  <c r="Y168" i="18"/>
  <c r="Z168" i="18"/>
  <c r="AA168" i="18"/>
  <c r="AB168" i="18"/>
  <c r="U169" i="18"/>
  <c r="V169" i="18"/>
  <c r="W169" i="18"/>
  <c r="X169" i="18"/>
  <c r="Y169" i="18"/>
  <c r="Z169" i="18"/>
  <c r="AA169" i="18"/>
  <c r="AB169" i="18"/>
  <c r="U170" i="18"/>
  <c r="V170" i="18"/>
  <c r="W170" i="18"/>
  <c r="X170" i="18"/>
  <c r="Y170" i="18"/>
  <c r="Z170" i="18"/>
  <c r="AA170" i="18"/>
  <c r="AB170" i="18"/>
  <c r="U171" i="18"/>
  <c r="V171" i="18"/>
  <c r="W171" i="18"/>
  <c r="X171" i="18"/>
  <c r="Y171" i="18"/>
  <c r="Z171" i="18"/>
  <c r="AA171" i="18"/>
  <c r="AB171" i="18"/>
  <c r="U172" i="18"/>
  <c r="V172" i="18"/>
  <c r="W172" i="18"/>
  <c r="X172" i="18"/>
  <c r="Y172" i="18"/>
  <c r="Z172" i="18"/>
  <c r="AA172" i="18"/>
  <c r="AB172" i="18"/>
  <c r="U173" i="18"/>
  <c r="V173" i="18"/>
  <c r="W173" i="18"/>
  <c r="X173" i="18"/>
  <c r="Y173" i="18"/>
  <c r="Z173" i="18"/>
  <c r="AA173" i="18"/>
  <c r="AB173" i="18"/>
  <c r="U174" i="18"/>
  <c r="V174" i="18"/>
  <c r="W174" i="18"/>
  <c r="X174" i="18"/>
  <c r="Y174" i="18"/>
  <c r="Z174" i="18"/>
  <c r="AA174" i="18"/>
  <c r="AB174" i="18"/>
  <c r="U175" i="18"/>
  <c r="V175" i="18"/>
  <c r="W175" i="18"/>
  <c r="X175" i="18"/>
  <c r="Y175" i="18"/>
  <c r="Z175" i="18"/>
  <c r="AA175" i="18"/>
  <c r="AB175" i="18"/>
  <c r="U176" i="18"/>
  <c r="V176" i="18"/>
  <c r="W176" i="18"/>
  <c r="X176" i="18"/>
  <c r="Y176" i="18"/>
  <c r="Z176" i="18"/>
  <c r="AA176" i="18"/>
  <c r="AB176" i="18"/>
  <c r="U177" i="18"/>
  <c r="V177" i="18"/>
  <c r="W177" i="18"/>
  <c r="X177" i="18"/>
  <c r="Y177" i="18"/>
  <c r="Z177" i="18"/>
  <c r="AA177" i="18"/>
  <c r="AB177" i="18"/>
  <c r="U178" i="18"/>
  <c r="V178" i="18"/>
  <c r="W178" i="18"/>
  <c r="X178" i="18"/>
  <c r="Y178" i="18"/>
  <c r="Z178" i="18"/>
  <c r="AA178" i="18"/>
  <c r="AB178" i="18"/>
  <c r="U179" i="18"/>
  <c r="V179" i="18"/>
  <c r="W179" i="18"/>
  <c r="X179" i="18"/>
  <c r="Y179" i="18"/>
  <c r="Z179" i="18"/>
  <c r="AA179" i="18"/>
  <c r="AB179" i="18"/>
  <c r="U180" i="18"/>
  <c r="V180" i="18"/>
  <c r="W180" i="18"/>
  <c r="X180" i="18"/>
  <c r="Y180" i="18"/>
  <c r="Z180" i="18"/>
  <c r="AA180" i="18"/>
  <c r="AB180" i="18"/>
  <c r="U181" i="18"/>
  <c r="V181" i="18"/>
  <c r="W181" i="18"/>
  <c r="X181" i="18"/>
  <c r="Y181" i="18"/>
  <c r="Z181" i="18"/>
  <c r="AA181" i="18"/>
  <c r="AB181" i="18"/>
  <c r="U182" i="18"/>
  <c r="V182" i="18"/>
  <c r="W182" i="18"/>
  <c r="X182" i="18"/>
  <c r="Y182" i="18"/>
  <c r="Z182" i="18"/>
  <c r="AA182" i="18"/>
  <c r="AB182" i="18"/>
  <c r="U183" i="18"/>
  <c r="V183" i="18"/>
  <c r="W183" i="18"/>
  <c r="X183" i="18"/>
  <c r="Y183" i="18"/>
  <c r="Z183" i="18"/>
  <c r="AA183" i="18"/>
  <c r="AB183" i="18"/>
  <c r="U184" i="18"/>
  <c r="V184" i="18"/>
  <c r="W184" i="18"/>
  <c r="X184" i="18"/>
  <c r="Y184" i="18"/>
  <c r="Z184" i="18"/>
  <c r="AA184" i="18"/>
  <c r="AB184" i="18"/>
  <c r="U185" i="18"/>
  <c r="V185" i="18"/>
  <c r="W185" i="18"/>
  <c r="X185" i="18"/>
  <c r="Y185" i="18"/>
  <c r="Z185" i="18"/>
  <c r="AA185" i="18"/>
  <c r="AB185" i="18"/>
  <c r="U186" i="18"/>
  <c r="V186" i="18"/>
  <c r="W186" i="18"/>
  <c r="X186" i="18"/>
  <c r="Y186" i="18"/>
  <c r="Z186" i="18"/>
  <c r="AA186" i="18"/>
  <c r="AB186" i="18"/>
  <c r="U187" i="18"/>
  <c r="V187" i="18"/>
  <c r="W187" i="18"/>
  <c r="X187" i="18"/>
  <c r="Y187" i="18"/>
  <c r="Z187" i="18"/>
  <c r="AA187" i="18"/>
  <c r="AB187" i="18"/>
  <c r="U188" i="18"/>
  <c r="V188" i="18"/>
  <c r="W188" i="18"/>
  <c r="X188" i="18"/>
  <c r="Y188" i="18"/>
  <c r="Z188" i="18"/>
  <c r="AA188" i="18"/>
  <c r="AB188" i="18"/>
  <c r="U189" i="18"/>
  <c r="V189" i="18"/>
  <c r="W189" i="18"/>
  <c r="X189" i="18"/>
  <c r="Y189" i="18"/>
  <c r="Z189" i="18"/>
  <c r="AA189" i="18"/>
  <c r="AB189" i="18"/>
  <c r="U190" i="18"/>
  <c r="V190" i="18"/>
  <c r="W190" i="18"/>
  <c r="X190" i="18"/>
  <c r="Y190" i="18"/>
  <c r="Z190" i="18"/>
  <c r="AA190" i="18"/>
  <c r="AB190" i="18"/>
  <c r="U191" i="18"/>
  <c r="V191" i="18"/>
  <c r="W191" i="18"/>
  <c r="X191" i="18"/>
  <c r="Y191" i="18"/>
  <c r="Z191" i="18"/>
  <c r="AA191" i="18"/>
  <c r="AB191" i="18"/>
  <c r="U192" i="18"/>
  <c r="V192" i="18"/>
  <c r="W192" i="18"/>
  <c r="X192" i="18"/>
  <c r="Y192" i="18"/>
  <c r="Z192" i="18"/>
  <c r="AA192" i="18"/>
  <c r="AB192" i="18"/>
  <c r="U193" i="18"/>
  <c r="V193" i="18"/>
  <c r="W193" i="18"/>
  <c r="X193" i="18"/>
  <c r="Y193" i="18"/>
  <c r="Z193" i="18"/>
  <c r="AA193" i="18"/>
  <c r="AB193" i="18"/>
  <c r="U194" i="18"/>
  <c r="V194" i="18"/>
  <c r="W194" i="18"/>
  <c r="X194" i="18"/>
  <c r="Y194" i="18"/>
  <c r="Z194" i="18"/>
  <c r="AA194" i="18"/>
  <c r="AB194" i="18"/>
  <c r="U195" i="18"/>
  <c r="V195" i="18"/>
  <c r="W195" i="18"/>
  <c r="X195" i="18"/>
  <c r="Y195" i="18"/>
  <c r="Z195" i="18"/>
  <c r="AA195" i="18"/>
  <c r="AB195" i="18"/>
  <c r="U196" i="18"/>
  <c r="V196" i="18"/>
  <c r="W196" i="18"/>
  <c r="X196" i="18"/>
  <c r="Y196" i="18"/>
  <c r="Z196" i="18"/>
  <c r="AA196" i="18"/>
  <c r="AB196" i="18"/>
  <c r="U197" i="18"/>
  <c r="V197" i="18"/>
  <c r="W197" i="18"/>
  <c r="X197" i="18"/>
  <c r="Y197" i="18"/>
  <c r="Z197" i="18"/>
  <c r="AA197" i="18"/>
  <c r="AB197" i="18"/>
  <c r="U198" i="18"/>
  <c r="V198" i="18"/>
  <c r="W198" i="18"/>
  <c r="X198" i="18"/>
  <c r="Y198" i="18"/>
  <c r="Z198" i="18"/>
  <c r="AA198" i="18"/>
  <c r="AB198" i="18"/>
  <c r="U199" i="18"/>
  <c r="V199" i="18"/>
  <c r="W199" i="18"/>
  <c r="X199" i="18"/>
  <c r="Y199" i="18"/>
  <c r="Z199" i="18"/>
  <c r="AA199" i="18"/>
  <c r="AB199" i="18"/>
  <c r="U200" i="18"/>
  <c r="V200" i="18"/>
  <c r="W200" i="18"/>
  <c r="X200" i="18"/>
  <c r="Y200" i="18"/>
  <c r="Z200" i="18"/>
  <c r="AA200" i="18"/>
  <c r="AB200" i="18"/>
  <c r="U201" i="18"/>
  <c r="V201" i="18"/>
  <c r="W201" i="18"/>
  <c r="X201" i="18"/>
  <c r="Y201" i="18"/>
  <c r="Z201" i="18"/>
  <c r="AA201" i="18"/>
  <c r="AB201" i="18"/>
  <c r="U202" i="18"/>
  <c r="V202" i="18"/>
  <c r="W202" i="18"/>
  <c r="X202" i="18"/>
  <c r="Y202" i="18"/>
  <c r="Z202" i="18"/>
  <c r="AA202" i="18"/>
  <c r="AB202" i="18"/>
  <c r="U203" i="18"/>
  <c r="V203" i="18"/>
  <c r="W203" i="18"/>
  <c r="X203" i="18"/>
  <c r="Y203" i="18"/>
  <c r="Z203" i="18"/>
  <c r="AA203" i="18"/>
  <c r="AB203" i="18"/>
  <c r="U204" i="18"/>
  <c r="V204" i="18"/>
  <c r="W204" i="18"/>
  <c r="X204" i="18"/>
  <c r="Y204" i="18"/>
  <c r="Z204" i="18"/>
  <c r="AA204" i="18"/>
  <c r="AB204" i="18"/>
  <c r="U205" i="18"/>
  <c r="V205" i="18"/>
  <c r="W205" i="18"/>
  <c r="X205" i="18"/>
  <c r="Y205" i="18"/>
  <c r="Z205" i="18"/>
  <c r="AA205" i="18"/>
  <c r="AB205" i="18"/>
  <c r="U206" i="18"/>
  <c r="V206" i="18"/>
  <c r="W206" i="18"/>
  <c r="X206" i="18"/>
  <c r="Y206" i="18"/>
  <c r="Z206" i="18"/>
  <c r="AA206" i="18"/>
  <c r="AB206" i="18"/>
  <c r="U207" i="18"/>
  <c r="V207" i="18"/>
  <c r="W207" i="18"/>
  <c r="X207" i="18"/>
  <c r="Y207" i="18"/>
  <c r="Z207" i="18"/>
  <c r="AA207" i="18"/>
  <c r="AB207" i="18"/>
  <c r="U208" i="18"/>
  <c r="V208" i="18"/>
  <c r="W208" i="18"/>
  <c r="X208" i="18"/>
  <c r="Y208" i="18"/>
  <c r="Z208" i="18"/>
  <c r="AA208" i="18"/>
  <c r="AB208" i="18"/>
  <c r="U209" i="18"/>
  <c r="V209" i="18"/>
  <c r="W209" i="18"/>
  <c r="X209" i="18"/>
  <c r="Y209" i="18"/>
  <c r="Z209" i="18"/>
  <c r="AA209" i="18"/>
  <c r="AB209" i="18"/>
  <c r="U210" i="18"/>
  <c r="V210" i="18"/>
  <c r="W210" i="18"/>
  <c r="X210" i="18"/>
  <c r="Y210" i="18"/>
  <c r="Z210" i="18"/>
  <c r="AA210" i="18"/>
  <c r="AB210" i="18"/>
  <c r="U211" i="18"/>
  <c r="V211" i="18"/>
  <c r="W211" i="18"/>
  <c r="X211" i="18"/>
  <c r="Y211" i="18"/>
  <c r="Z211" i="18"/>
  <c r="AA211" i="18"/>
  <c r="AB211" i="18"/>
  <c r="U212" i="18"/>
  <c r="V212" i="18"/>
  <c r="W212" i="18"/>
  <c r="X212" i="18"/>
  <c r="Y212" i="18"/>
  <c r="Z212" i="18"/>
  <c r="AA212" i="18"/>
  <c r="AB212" i="18"/>
  <c r="U213" i="18"/>
  <c r="V213" i="18"/>
  <c r="W213" i="18"/>
  <c r="X213" i="18"/>
  <c r="Y213" i="18"/>
  <c r="Z213" i="18"/>
  <c r="AA213" i="18"/>
  <c r="AB213" i="18"/>
  <c r="U214" i="18"/>
  <c r="V214" i="18"/>
  <c r="W214" i="18"/>
  <c r="X214" i="18"/>
  <c r="Y214" i="18"/>
  <c r="Z214" i="18"/>
  <c r="AA214" i="18"/>
  <c r="AB214" i="18"/>
  <c r="U215" i="18"/>
  <c r="V215" i="18"/>
  <c r="W215" i="18"/>
  <c r="X215" i="18"/>
  <c r="Y215" i="18"/>
  <c r="Z215" i="18"/>
  <c r="AA215" i="18"/>
  <c r="AB215" i="18"/>
  <c r="U216" i="18"/>
  <c r="V216" i="18"/>
  <c r="W216" i="18"/>
  <c r="X216" i="18"/>
  <c r="Y216" i="18"/>
  <c r="Z216" i="18"/>
  <c r="AA216" i="18"/>
  <c r="AB216" i="18"/>
  <c r="U217" i="18"/>
  <c r="V217" i="18"/>
  <c r="W217" i="18"/>
  <c r="X217" i="18"/>
  <c r="Y217" i="18"/>
  <c r="Z217" i="18"/>
  <c r="AA217" i="18"/>
  <c r="AB217" i="18"/>
  <c r="U218" i="18"/>
  <c r="V218" i="18"/>
  <c r="W218" i="18"/>
  <c r="X218" i="18"/>
  <c r="Y218" i="18"/>
  <c r="Z218" i="18"/>
  <c r="AA218" i="18"/>
  <c r="AB218" i="18"/>
  <c r="U219" i="18"/>
  <c r="V219" i="18"/>
  <c r="W219" i="18"/>
  <c r="X219" i="18"/>
  <c r="Y219" i="18"/>
  <c r="Z219" i="18"/>
  <c r="AA219" i="18"/>
  <c r="AB219" i="18"/>
  <c r="U220" i="18"/>
  <c r="V220" i="18"/>
  <c r="W220" i="18"/>
  <c r="X220" i="18"/>
  <c r="Y220" i="18"/>
  <c r="Z220" i="18"/>
  <c r="AA220" i="18"/>
  <c r="AB220" i="18"/>
  <c r="U221" i="18"/>
  <c r="V221" i="18"/>
  <c r="W221" i="18"/>
  <c r="X221" i="18"/>
  <c r="Y221" i="18"/>
  <c r="Z221" i="18"/>
  <c r="AA221" i="18"/>
  <c r="AB221" i="18"/>
  <c r="U222" i="18"/>
  <c r="V222" i="18"/>
  <c r="W222" i="18"/>
  <c r="X222" i="18"/>
  <c r="Y222" i="18"/>
  <c r="Z222" i="18"/>
  <c r="AA222" i="18"/>
  <c r="AB222" i="18"/>
  <c r="U223" i="18"/>
  <c r="V223" i="18"/>
  <c r="W223" i="18"/>
  <c r="X223" i="18"/>
  <c r="Y223" i="18"/>
  <c r="Z223" i="18"/>
  <c r="AA223" i="18"/>
  <c r="AB223" i="18"/>
  <c r="U224" i="18"/>
  <c r="V224" i="18"/>
  <c r="W224" i="18"/>
  <c r="X224" i="18"/>
  <c r="Y224" i="18"/>
  <c r="Z224" i="18"/>
  <c r="AA224" i="18"/>
  <c r="AB224" i="18"/>
  <c r="U225" i="18"/>
  <c r="V225" i="18"/>
  <c r="W225" i="18"/>
  <c r="X225" i="18"/>
  <c r="Y225" i="18"/>
  <c r="Z225" i="18"/>
  <c r="AA225" i="18"/>
  <c r="AB225" i="18"/>
  <c r="U226" i="18"/>
  <c r="V226" i="18"/>
  <c r="W226" i="18"/>
  <c r="X226" i="18"/>
  <c r="Y226" i="18"/>
  <c r="Z226" i="18"/>
  <c r="AA226" i="18"/>
  <c r="AB226" i="18"/>
  <c r="U227" i="18"/>
  <c r="V227" i="18"/>
  <c r="W227" i="18"/>
  <c r="X227" i="18"/>
  <c r="Y227" i="18"/>
  <c r="Z227" i="18"/>
  <c r="AA227" i="18"/>
  <c r="AB227" i="18"/>
  <c r="U228" i="18"/>
  <c r="V228" i="18"/>
  <c r="W228" i="18"/>
  <c r="X228" i="18"/>
  <c r="Y228" i="18"/>
  <c r="Z228" i="18"/>
  <c r="AA228" i="18"/>
  <c r="AB228" i="18"/>
  <c r="U229" i="18"/>
  <c r="V229" i="18"/>
  <c r="W229" i="18"/>
  <c r="X229" i="18"/>
  <c r="Y229" i="18"/>
  <c r="Z229" i="18"/>
  <c r="AA229" i="18"/>
  <c r="AB229" i="18"/>
  <c r="U230" i="18"/>
  <c r="V230" i="18"/>
  <c r="W230" i="18"/>
  <c r="X230" i="18"/>
  <c r="Y230" i="18"/>
  <c r="Z230" i="18"/>
  <c r="AA230" i="18"/>
  <c r="AB230" i="18"/>
  <c r="U231" i="18"/>
  <c r="V231" i="18"/>
  <c r="W231" i="18"/>
  <c r="X231" i="18"/>
  <c r="Y231" i="18"/>
  <c r="Z231" i="18"/>
  <c r="AA231" i="18"/>
  <c r="AB231" i="18"/>
  <c r="U232" i="18"/>
  <c r="V232" i="18"/>
  <c r="W232" i="18"/>
  <c r="X232" i="18"/>
  <c r="Y232" i="18"/>
  <c r="Z232" i="18"/>
  <c r="AA232" i="18"/>
  <c r="AB232" i="18"/>
  <c r="U233" i="18"/>
  <c r="V233" i="18"/>
  <c r="W233" i="18"/>
  <c r="X233" i="18"/>
  <c r="Y233" i="18"/>
  <c r="Z233" i="18"/>
  <c r="AA233" i="18"/>
  <c r="AB233" i="18"/>
  <c r="U234" i="18"/>
  <c r="V234" i="18"/>
  <c r="W234" i="18"/>
  <c r="X234" i="18"/>
  <c r="Y234" i="18"/>
  <c r="Z234" i="18"/>
  <c r="AA234" i="18"/>
  <c r="AB234" i="18"/>
  <c r="U235" i="18"/>
  <c r="V235" i="18"/>
  <c r="W235" i="18"/>
  <c r="X235" i="18"/>
  <c r="Y235" i="18"/>
  <c r="Z235" i="18"/>
  <c r="AA235" i="18"/>
  <c r="AB235" i="18"/>
  <c r="U236" i="18"/>
  <c r="V236" i="18"/>
  <c r="W236" i="18"/>
  <c r="X236" i="18"/>
  <c r="Y236" i="18"/>
  <c r="Z236" i="18"/>
  <c r="AA236" i="18"/>
  <c r="AB236" i="18"/>
  <c r="U237" i="18"/>
  <c r="V237" i="18"/>
  <c r="W237" i="18"/>
  <c r="X237" i="18"/>
  <c r="Y237" i="18"/>
  <c r="Z237" i="18"/>
  <c r="AA237" i="18"/>
  <c r="AB237" i="18"/>
  <c r="U238" i="18"/>
  <c r="V238" i="18"/>
  <c r="W238" i="18"/>
  <c r="X238" i="18"/>
  <c r="Y238" i="18"/>
  <c r="Z238" i="18"/>
  <c r="AA238" i="18"/>
  <c r="AB238" i="18"/>
  <c r="U239" i="18"/>
  <c r="V239" i="18"/>
  <c r="W239" i="18"/>
  <c r="X239" i="18"/>
  <c r="Y239" i="18"/>
  <c r="Z239" i="18"/>
  <c r="AA239" i="18"/>
  <c r="AB239" i="18"/>
  <c r="U240" i="18"/>
  <c r="V240" i="18"/>
  <c r="W240" i="18"/>
  <c r="X240" i="18"/>
  <c r="Y240" i="18"/>
  <c r="Z240" i="18"/>
  <c r="AA240" i="18"/>
  <c r="AB240" i="18"/>
  <c r="U241" i="18"/>
  <c r="V241" i="18"/>
  <c r="W241" i="18"/>
  <c r="X241" i="18"/>
  <c r="Y241" i="18"/>
  <c r="Z241" i="18"/>
  <c r="AA241" i="18"/>
  <c r="AB241" i="18"/>
  <c r="U242" i="18"/>
  <c r="V242" i="18"/>
  <c r="W242" i="18"/>
  <c r="X242" i="18"/>
  <c r="Y242" i="18"/>
  <c r="Z242" i="18"/>
  <c r="AA242" i="18"/>
  <c r="AB242" i="18"/>
  <c r="U243" i="18"/>
  <c r="V243" i="18"/>
  <c r="W243" i="18"/>
  <c r="X243" i="18"/>
  <c r="Y243" i="18"/>
  <c r="Z243" i="18"/>
  <c r="AA243" i="18"/>
  <c r="AB243" i="18"/>
  <c r="U244" i="18"/>
  <c r="V244" i="18"/>
  <c r="W244" i="18"/>
  <c r="X244" i="18"/>
  <c r="Y244" i="18"/>
  <c r="Z244" i="18"/>
  <c r="AA244" i="18"/>
  <c r="AB244" i="18"/>
  <c r="U245" i="18"/>
  <c r="V245" i="18"/>
  <c r="W245" i="18"/>
  <c r="X245" i="18"/>
  <c r="Y245" i="18"/>
  <c r="Z245" i="18"/>
  <c r="AA245" i="18"/>
  <c r="AB245" i="18"/>
  <c r="U246" i="18"/>
  <c r="V246" i="18"/>
  <c r="W246" i="18"/>
  <c r="X246" i="18"/>
  <c r="Y246" i="18"/>
  <c r="Z246" i="18"/>
  <c r="AA246" i="18"/>
  <c r="AB246" i="18"/>
  <c r="U247" i="18"/>
  <c r="V247" i="18"/>
  <c r="W247" i="18"/>
  <c r="X247" i="18"/>
  <c r="Y247" i="18"/>
  <c r="Z247" i="18"/>
  <c r="AA247" i="18"/>
  <c r="AB247" i="18"/>
  <c r="U248" i="18"/>
  <c r="V248" i="18"/>
  <c r="W248" i="18"/>
  <c r="X248" i="18"/>
  <c r="Y248" i="18"/>
  <c r="Z248" i="18"/>
  <c r="AA248" i="18"/>
  <c r="AB248" i="18"/>
  <c r="U249" i="18"/>
  <c r="V249" i="18"/>
  <c r="W249" i="18"/>
  <c r="X249" i="18"/>
  <c r="Y249" i="18"/>
  <c r="Z249" i="18"/>
  <c r="AA249" i="18"/>
  <c r="AB249" i="18"/>
  <c r="U250" i="18"/>
  <c r="V250" i="18"/>
  <c r="W250" i="18"/>
  <c r="X250" i="18"/>
  <c r="Y250" i="18"/>
  <c r="Z250" i="18"/>
  <c r="AA250" i="18"/>
  <c r="AB250" i="18"/>
  <c r="U251" i="18"/>
  <c r="V251" i="18"/>
  <c r="W251" i="18"/>
  <c r="X251" i="18"/>
  <c r="Y251" i="18"/>
  <c r="Z251" i="18"/>
  <c r="AA251" i="18"/>
  <c r="AB251" i="18"/>
  <c r="U252" i="18"/>
  <c r="V252" i="18"/>
  <c r="W252" i="18"/>
  <c r="X252" i="18"/>
  <c r="Y252" i="18"/>
  <c r="Z252" i="18"/>
  <c r="AA252" i="18"/>
  <c r="AB252" i="18"/>
  <c r="U253" i="18"/>
  <c r="V253" i="18"/>
  <c r="W253" i="18"/>
  <c r="X253" i="18"/>
  <c r="Y253" i="18"/>
  <c r="Z253" i="18"/>
  <c r="AA253" i="18"/>
  <c r="AB253" i="18"/>
  <c r="U254" i="18"/>
  <c r="V254" i="18"/>
  <c r="W254" i="18"/>
  <c r="X254" i="18"/>
  <c r="Y254" i="18"/>
  <c r="Z254" i="18"/>
  <c r="AA254" i="18"/>
  <c r="AB254" i="18"/>
  <c r="U255" i="18"/>
  <c r="V255" i="18"/>
  <c r="W255" i="18"/>
  <c r="X255" i="18"/>
  <c r="Y255" i="18"/>
  <c r="Z255" i="18"/>
  <c r="AA255" i="18"/>
  <c r="AB255" i="18"/>
  <c r="U256" i="18"/>
  <c r="V256" i="18"/>
  <c r="W256" i="18"/>
  <c r="X256" i="18"/>
  <c r="Y256" i="18"/>
  <c r="Z256" i="18"/>
  <c r="AA256" i="18"/>
  <c r="AB256" i="18"/>
  <c r="U257" i="18"/>
  <c r="V257" i="18"/>
  <c r="W257" i="18"/>
  <c r="X257" i="18"/>
  <c r="Y257" i="18"/>
  <c r="Z257" i="18"/>
  <c r="AA257" i="18"/>
  <c r="AB257" i="18"/>
  <c r="U258" i="18"/>
  <c r="V258" i="18"/>
  <c r="W258" i="18"/>
  <c r="X258" i="18"/>
  <c r="Y258" i="18"/>
  <c r="Z258" i="18"/>
  <c r="AA258" i="18"/>
  <c r="AB258" i="18"/>
  <c r="U259" i="18"/>
  <c r="V259" i="18"/>
  <c r="W259" i="18"/>
  <c r="X259" i="18"/>
  <c r="Y259" i="18"/>
  <c r="Z259" i="18"/>
  <c r="AA259" i="18"/>
  <c r="AB259" i="18"/>
  <c r="U260" i="18"/>
  <c r="V260" i="18"/>
  <c r="W260" i="18"/>
  <c r="X260" i="18"/>
  <c r="Y260" i="18"/>
  <c r="Z260" i="18"/>
  <c r="AA260" i="18"/>
  <c r="AB260" i="18"/>
  <c r="U261" i="18"/>
  <c r="V261" i="18"/>
  <c r="W261" i="18"/>
  <c r="X261" i="18"/>
  <c r="Y261" i="18"/>
  <c r="Z261" i="18"/>
  <c r="AA261" i="18"/>
  <c r="AB261" i="18"/>
  <c r="U262" i="18"/>
  <c r="V262" i="18"/>
  <c r="W262" i="18"/>
  <c r="X262" i="18"/>
  <c r="Y262" i="18"/>
  <c r="Z262" i="18"/>
  <c r="AA262" i="18"/>
  <c r="AB262" i="18"/>
  <c r="U263" i="18"/>
  <c r="V263" i="18"/>
  <c r="W263" i="18"/>
  <c r="X263" i="18"/>
  <c r="Y263" i="18"/>
  <c r="Z263" i="18"/>
  <c r="AA263" i="18"/>
  <c r="AB263" i="18"/>
  <c r="U264" i="18"/>
  <c r="V264" i="18"/>
  <c r="W264" i="18"/>
  <c r="X264" i="18"/>
  <c r="Y264" i="18"/>
  <c r="Z264" i="18"/>
  <c r="AA264" i="18"/>
  <c r="AB264" i="18"/>
  <c r="U265" i="18"/>
  <c r="V265" i="18"/>
  <c r="W265" i="18"/>
  <c r="X265" i="18"/>
  <c r="Y265" i="18"/>
  <c r="Z265" i="18"/>
  <c r="AA265" i="18"/>
  <c r="AB265" i="18"/>
  <c r="U266" i="18"/>
  <c r="V266" i="18"/>
  <c r="W266" i="18"/>
  <c r="X266" i="18"/>
  <c r="Y266" i="18"/>
  <c r="Z266" i="18"/>
  <c r="AA266" i="18"/>
  <c r="AB266" i="18"/>
  <c r="U267" i="18"/>
  <c r="V267" i="18"/>
  <c r="W267" i="18"/>
  <c r="X267" i="18"/>
  <c r="Y267" i="18"/>
  <c r="Z267" i="18"/>
  <c r="AA267" i="18"/>
  <c r="AB267" i="18"/>
  <c r="U268" i="18"/>
  <c r="V268" i="18"/>
  <c r="W268" i="18"/>
  <c r="X268" i="18"/>
  <c r="Y268" i="18"/>
  <c r="Z268" i="18"/>
  <c r="AA268" i="18"/>
  <c r="AB268" i="18"/>
  <c r="U269" i="18"/>
  <c r="V269" i="18"/>
  <c r="W269" i="18"/>
  <c r="X269" i="18"/>
  <c r="Y269" i="18"/>
  <c r="Z269" i="18"/>
  <c r="AA269" i="18"/>
  <c r="AB269" i="18"/>
  <c r="U270" i="18"/>
  <c r="V270" i="18"/>
  <c r="W270" i="18"/>
  <c r="X270" i="18"/>
  <c r="Y270" i="18"/>
  <c r="Z270" i="18"/>
  <c r="AA270" i="18"/>
  <c r="AB270" i="18"/>
  <c r="U271" i="18"/>
  <c r="V271" i="18"/>
  <c r="W271" i="18"/>
  <c r="X271" i="18"/>
  <c r="Y271" i="18"/>
  <c r="Z271" i="18"/>
  <c r="AA271" i="18"/>
  <c r="AB271" i="18"/>
  <c r="U272" i="18"/>
  <c r="V272" i="18"/>
  <c r="W272" i="18"/>
  <c r="X272" i="18"/>
  <c r="Y272" i="18"/>
  <c r="Z272" i="18"/>
  <c r="AA272" i="18"/>
  <c r="AB272" i="18"/>
  <c r="U273" i="18"/>
  <c r="V273" i="18"/>
  <c r="W273" i="18"/>
  <c r="X273" i="18"/>
  <c r="Y273" i="18"/>
  <c r="Z273" i="18"/>
  <c r="AA273" i="18"/>
  <c r="AB273" i="18"/>
  <c r="U274" i="18"/>
  <c r="V274" i="18"/>
  <c r="W274" i="18"/>
  <c r="X274" i="18"/>
  <c r="Y274" i="18"/>
  <c r="Z274" i="18"/>
  <c r="AA274" i="18"/>
  <c r="AB274" i="18"/>
  <c r="U275" i="18"/>
  <c r="V275" i="18"/>
  <c r="W275" i="18"/>
  <c r="X275" i="18"/>
  <c r="Y275" i="18"/>
  <c r="Z275" i="18"/>
  <c r="AA275" i="18"/>
  <c r="AB275" i="18"/>
  <c r="U276" i="18"/>
  <c r="V276" i="18"/>
  <c r="W276" i="18"/>
  <c r="X276" i="18"/>
  <c r="Y276" i="18"/>
  <c r="Z276" i="18"/>
  <c r="AA276" i="18"/>
  <c r="AB276" i="18"/>
  <c r="U277" i="18"/>
  <c r="V277" i="18"/>
  <c r="W277" i="18"/>
  <c r="X277" i="18"/>
  <c r="Y277" i="18"/>
  <c r="Z277" i="18"/>
  <c r="AA277" i="18"/>
  <c r="AB277" i="18"/>
  <c r="U278" i="18"/>
  <c r="V278" i="18"/>
  <c r="W278" i="18"/>
  <c r="X278" i="18"/>
  <c r="Y278" i="18"/>
  <c r="Z278" i="18"/>
  <c r="AA278" i="18"/>
  <c r="AB278" i="18"/>
  <c r="U279" i="18"/>
  <c r="V279" i="18"/>
  <c r="W279" i="18"/>
  <c r="X279" i="18"/>
  <c r="Y279" i="18"/>
  <c r="Z279" i="18"/>
  <c r="AA279" i="18"/>
  <c r="AB279" i="18"/>
  <c r="U280" i="18"/>
  <c r="V280" i="18"/>
  <c r="W280" i="18"/>
  <c r="X280" i="18"/>
  <c r="Y280" i="18"/>
  <c r="Z280" i="18"/>
  <c r="AA280" i="18"/>
  <c r="AB280" i="18"/>
  <c r="U281" i="18"/>
  <c r="V281" i="18"/>
  <c r="W281" i="18"/>
  <c r="X281" i="18"/>
  <c r="Y281" i="18"/>
  <c r="Z281" i="18"/>
  <c r="AA281" i="18"/>
  <c r="AB281" i="18"/>
  <c r="U282" i="18"/>
  <c r="V282" i="18"/>
  <c r="W282" i="18"/>
  <c r="X282" i="18"/>
  <c r="Y282" i="18"/>
  <c r="Z282" i="18"/>
  <c r="AA282" i="18"/>
  <c r="AB282" i="18"/>
  <c r="U283" i="18"/>
  <c r="V283" i="18"/>
  <c r="W283" i="18"/>
  <c r="X283" i="18"/>
  <c r="Y283" i="18"/>
  <c r="Z283" i="18"/>
  <c r="AA283" i="18"/>
  <c r="AB283" i="18"/>
  <c r="U284" i="18"/>
  <c r="V284" i="18"/>
  <c r="W284" i="18"/>
  <c r="X284" i="18"/>
  <c r="Y284" i="18"/>
  <c r="Z284" i="18"/>
  <c r="AA284" i="18"/>
  <c r="AB284" i="18"/>
  <c r="U285" i="18"/>
  <c r="V285" i="18"/>
  <c r="W285" i="18"/>
  <c r="X285" i="18"/>
  <c r="Y285" i="18"/>
  <c r="Z285" i="18"/>
  <c r="AA285" i="18"/>
  <c r="AB285" i="18"/>
  <c r="U286" i="18"/>
  <c r="V286" i="18"/>
  <c r="W286" i="18"/>
  <c r="X286" i="18"/>
  <c r="Y286" i="18"/>
  <c r="Z286" i="18"/>
  <c r="AA286" i="18"/>
  <c r="AB286" i="18"/>
  <c r="U287" i="18"/>
  <c r="V287" i="18"/>
  <c r="W287" i="18"/>
  <c r="X287" i="18"/>
  <c r="Y287" i="18"/>
  <c r="Z287" i="18"/>
  <c r="AA287" i="18"/>
  <c r="AB287" i="18"/>
  <c r="U288" i="18"/>
  <c r="V288" i="18"/>
  <c r="W288" i="18"/>
  <c r="X288" i="18"/>
  <c r="Y288" i="18"/>
  <c r="Z288" i="18"/>
  <c r="AA288" i="18"/>
  <c r="AB288" i="18"/>
  <c r="U289" i="18"/>
  <c r="V289" i="18"/>
  <c r="W289" i="18"/>
  <c r="X289" i="18"/>
  <c r="Y289" i="18"/>
  <c r="Z289" i="18"/>
  <c r="AA289" i="18"/>
  <c r="AB289" i="18"/>
  <c r="U290" i="18"/>
  <c r="V290" i="18"/>
  <c r="W290" i="18"/>
  <c r="X290" i="18"/>
  <c r="Y290" i="18"/>
  <c r="Z290" i="18"/>
  <c r="AA290" i="18"/>
  <c r="AB290" i="18"/>
  <c r="U291" i="18"/>
  <c r="V291" i="18"/>
  <c r="W291" i="18"/>
  <c r="X291" i="18"/>
  <c r="Y291" i="18"/>
  <c r="Z291" i="18"/>
  <c r="AA291" i="18"/>
  <c r="AB291" i="18"/>
  <c r="U292" i="18"/>
  <c r="V292" i="18"/>
  <c r="W292" i="18"/>
  <c r="X292" i="18"/>
  <c r="Y292" i="18"/>
  <c r="Z292" i="18"/>
  <c r="AA292" i="18"/>
  <c r="AB292" i="18"/>
  <c r="U293" i="18"/>
  <c r="V293" i="18"/>
  <c r="W293" i="18"/>
  <c r="X293" i="18"/>
  <c r="Y293" i="18"/>
  <c r="Z293" i="18"/>
  <c r="AA293" i="18"/>
  <c r="AB293" i="18"/>
  <c r="U294" i="18"/>
  <c r="V294" i="18"/>
  <c r="W294" i="18"/>
  <c r="X294" i="18"/>
  <c r="Y294" i="18"/>
  <c r="Z294" i="18"/>
  <c r="AA294" i="18"/>
  <c r="AB294" i="18"/>
  <c r="U295" i="18"/>
  <c r="V295" i="18"/>
  <c r="W295" i="18"/>
  <c r="X295" i="18"/>
  <c r="Y295" i="18"/>
  <c r="Z295" i="18"/>
  <c r="AA295" i="18"/>
  <c r="AB295" i="18"/>
  <c r="U296" i="18"/>
  <c r="V296" i="18"/>
  <c r="W296" i="18"/>
  <c r="X296" i="18"/>
  <c r="Y296" i="18"/>
  <c r="Z296" i="18"/>
  <c r="AA296" i="18"/>
  <c r="AB296" i="18"/>
  <c r="U297" i="18"/>
  <c r="V297" i="18"/>
  <c r="W297" i="18"/>
  <c r="X297" i="18"/>
  <c r="Y297" i="18"/>
  <c r="Z297" i="18"/>
  <c r="AA297" i="18"/>
  <c r="AB297" i="18"/>
  <c r="U298" i="18"/>
  <c r="V298" i="18"/>
  <c r="W298" i="18"/>
  <c r="X298" i="18"/>
  <c r="Y298" i="18"/>
  <c r="Z298" i="18"/>
  <c r="AA298" i="18"/>
  <c r="AB298" i="18"/>
  <c r="U299" i="18"/>
  <c r="V299" i="18"/>
  <c r="W299" i="18"/>
  <c r="X299" i="18"/>
  <c r="Y299" i="18"/>
  <c r="Z299" i="18"/>
  <c r="AA299" i="18"/>
  <c r="AB299" i="18"/>
  <c r="U300" i="18"/>
  <c r="V300" i="18"/>
  <c r="W300" i="18"/>
  <c r="X300" i="18"/>
  <c r="Y300" i="18"/>
  <c r="Z300" i="18"/>
  <c r="AA300" i="18"/>
  <c r="AB300" i="18"/>
  <c r="U301" i="18"/>
  <c r="V301" i="18"/>
  <c r="W301" i="18"/>
  <c r="X301" i="18"/>
  <c r="Y301" i="18"/>
  <c r="Z301" i="18"/>
  <c r="AA301" i="18"/>
  <c r="AB301" i="18"/>
  <c r="U302" i="18"/>
  <c r="V302" i="18"/>
  <c r="W302" i="18"/>
  <c r="X302" i="18"/>
  <c r="Y302" i="18"/>
  <c r="Z302" i="18"/>
  <c r="AA302" i="18"/>
  <c r="AB302" i="18"/>
  <c r="U303" i="18"/>
  <c r="V303" i="18"/>
  <c r="W303" i="18"/>
  <c r="X303" i="18"/>
  <c r="Y303" i="18"/>
  <c r="Z303" i="18"/>
  <c r="AA303" i="18"/>
  <c r="AB303" i="18"/>
  <c r="U304" i="18"/>
  <c r="V304" i="18"/>
  <c r="W304" i="18"/>
  <c r="X304" i="18"/>
  <c r="Y304" i="18"/>
  <c r="Z304" i="18"/>
  <c r="AA304" i="18"/>
  <c r="AB304" i="18"/>
  <c r="U305" i="18"/>
  <c r="V305" i="18"/>
  <c r="W305" i="18"/>
  <c r="X305" i="18"/>
  <c r="Y305" i="18"/>
  <c r="Z305" i="18"/>
  <c r="AA305" i="18"/>
  <c r="AB305" i="18"/>
  <c r="U306" i="18"/>
  <c r="V306" i="18"/>
  <c r="W306" i="18"/>
  <c r="X306" i="18"/>
  <c r="Y306" i="18"/>
  <c r="Z306" i="18"/>
  <c r="AA306" i="18"/>
  <c r="AB306" i="18"/>
  <c r="U307" i="18"/>
  <c r="V307" i="18"/>
  <c r="W307" i="18"/>
  <c r="X307" i="18"/>
  <c r="Y307" i="18"/>
  <c r="Z307" i="18"/>
  <c r="AA307" i="18"/>
  <c r="AB307" i="18"/>
  <c r="U308" i="18"/>
  <c r="V308" i="18"/>
  <c r="W308" i="18"/>
  <c r="X308" i="18"/>
  <c r="Y308" i="18"/>
  <c r="Z308" i="18"/>
  <c r="AA308" i="18"/>
  <c r="AB308" i="18"/>
  <c r="U309" i="18"/>
  <c r="V309" i="18"/>
  <c r="W309" i="18"/>
  <c r="X309" i="18"/>
  <c r="Y309" i="18"/>
  <c r="Z309" i="18"/>
  <c r="AA309" i="18"/>
  <c r="AB309" i="18"/>
  <c r="U310" i="18"/>
  <c r="V310" i="18"/>
  <c r="W310" i="18"/>
  <c r="X310" i="18"/>
  <c r="Y310" i="18"/>
  <c r="Z310" i="18"/>
  <c r="AA310" i="18"/>
  <c r="AB310" i="18"/>
  <c r="U311" i="18"/>
  <c r="V311" i="18"/>
  <c r="W311" i="18"/>
  <c r="X311" i="18"/>
  <c r="Y311" i="18"/>
  <c r="Z311" i="18"/>
  <c r="AA311" i="18"/>
  <c r="AB311" i="18"/>
  <c r="U312" i="18"/>
  <c r="V312" i="18"/>
  <c r="W312" i="18"/>
  <c r="X312" i="18"/>
  <c r="Y312" i="18"/>
  <c r="Z312" i="18"/>
  <c r="AA312" i="18"/>
  <c r="AB312" i="18"/>
  <c r="U313" i="18"/>
  <c r="V313" i="18"/>
  <c r="W313" i="18"/>
  <c r="X313" i="18"/>
  <c r="Y313" i="18"/>
  <c r="Z313" i="18"/>
  <c r="AA313" i="18"/>
  <c r="AB313" i="18"/>
  <c r="U314" i="18"/>
  <c r="V314" i="18"/>
  <c r="W314" i="18"/>
  <c r="X314" i="18"/>
  <c r="Y314" i="18"/>
  <c r="Z314" i="18"/>
  <c r="AA314" i="18"/>
  <c r="AB314" i="18"/>
  <c r="U315" i="18"/>
  <c r="V315" i="18"/>
  <c r="W315" i="18"/>
  <c r="X315" i="18"/>
  <c r="Y315" i="18"/>
  <c r="Z315" i="18"/>
  <c r="AA315" i="18"/>
  <c r="AB315" i="18"/>
  <c r="U316" i="18"/>
  <c r="V316" i="18"/>
  <c r="W316" i="18"/>
  <c r="X316" i="18"/>
  <c r="Y316" i="18"/>
  <c r="Z316" i="18"/>
  <c r="AA316" i="18"/>
  <c r="AB316" i="18"/>
  <c r="U317" i="18"/>
  <c r="V317" i="18"/>
  <c r="W317" i="18"/>
  <c r="X317" i="18"/>
  <c r="Y317" i="18"/>
  <c r="Z317" i="18"/>
  <c r="AA317" i="18"/>
  <c r="AB317" i="18"/>
  <c r="U318" i="18"/>
  <c r="V318" i="18"/>
  <c r="W318" i="18"/>
  <c r="X318" i="18"/>
  <c r="Y318" i="18"/>
  <c r="Z318" i="18"/>
  <c r="AA318" i="18"/>
  <c r="AB318" i="18"/>
  <c r="U319" i="18"/>
  <c r="V319" i="18"/>
  <c r="W319" i="18"/>
  <c r="X319" i="18"/>
  <c r="Y319" i="18"/>
  <c r="Z319" i="18"/>
  <c r="AA319" i="18"/>
  <c r="AB319" i="18"/>
  <c r="U320" i="18"/>
  <c r="V320" i="18"/>
  <c r="W320" i="18"/>
  <c r="X320" i="18"/>
  <c r="Y320" i="18"/>
  <c r="Z320" i="18"/>
  <c r="AA320" i="18"/>
  <c r="AB320" i="18"/>
  <c r="U321" i="18"/>
  <c r="V321" i="18"/>
  <c r="W321" i="18"/>
  <c r="X321" i="18"/>
  <c r="Y321" i="18"/>
  <c r="Z321" i="18"/>
  <c r="AA321" i="18"/>
  <c r="AB321" i="18"/>
  <c r="U322" i="18"/>
  <c r="V322" i="18"/>
  <c r="W322" i="18"/>
  <c r="X322" i="18"/>
  <c r="Y322" i="18"/>
  <c r="Z322" i="18"/>
  <c r="AA322" i="18"/>
  <c r="AB322" i="18"/>
  <c r="U323" i="18"/>
  <c r="V323" i="18"/>
  <c r="W323" i="18"/>
  <c r="X323" i="18"/>
  <c r="Y323" i="18"/>
  <c r="Z323" i="18"/>
  <c r="AA323" i="18"/>
  <c r="AB323" i="18"/>
  <c r="U324" i="18"/>
  <c r="V324" i="18"/>
  <c r="W324" i="18"/>
  <c r="X324" i="18"/>
  <c r="Y324" i="18"/>
  <c r="Z324" i="18"/>
  <c r="AA324" i="18"/>
  <c r="AB324" i="18"/>
  <c r="U325" i="18"/>
  <c r="V325" i="18"/>
  <c r="W325" i="18"/>
  <c r="X325" i="18"/>
  <c r="Y325" i="18"/>
  <c r="Z325" i="18"/>
  <c r="AA325" i="18"/>
  <c r="AB325" i="18"/>
  <c r="U326" i="18"/>
  <c r="V326" i="18"/>
  <c r="W326" i="18"/>
  <c r="X326" i="18"/>
  <c r="Y326" i="18"/>
  <c r="Z326" i="18"/>
  <c r="AA326" i="18"/>
  <c r="AB326" i="18"/>
  <c r="U327" i="18"/>
  <c r="V327" i="18"/>
  <c r="W327" i="18"/>
  <c r="X327" i="18"/>
  <c r="Y327" i="18"/>
  <c r="Z327" i="18"/>
  <c r="AA327" i="18"/>
  <c r="AB327" i="18"/>
  <c r="U328" i="18"/>
  <c r="V328" i="18"/>
  <c r="W328" i="18"/>
  <c r="X328" i="18"/>
  <c r="Y328" i="18"/>
  <c r="Z328" i="18"/>
  <c r="AA328" i="18"/>
  <c r="AB328" i="18"/>
  <c r="U329" i="18"/>
  <c r="V329" i="18"/>
  <c r="W329" i="18"/>
  <c r="X329" i="18"/>
  <c r="Y329" i="18"/>
  <c r="Z329" i="18"/>
  <c r="AA329" i="18"/>
  <c r="AB329" i="18"/>
  <c r="U330" i="18"/>
  <c r="V330" i="18"/>
  <c r="W330" i="18"/>
  <c r="X330" i="18"/>
  <c r="Y330" i="18"/>
  <c r="Z330" i="18"/>
  <c r="AA330" i="18"/>
  <c r="AB330" i="18"/>
  <c r="U331" i="18"/>
  <c r="V331" i="18"/>
  <c r="W331" i="18"/>
  <c r="X331" i="18"/>
  <c r="Y331" i="18"/>
  <c r="Z331" i="18"/>
  <c r="AA331" i="18"/>
  <c r="AB331" i="18"/>
  <c r="U332" i="18"/>
  <c r="V332" i="18"/>
  <c r="W332" i="18"/>
  <c r="X332" i="18"/>
  <c r="Y332" i="18"/>
  <c r="Z332" i="18"/>
  <c r="AA332" i="18"/>
  <c r="AB332" i="18"/>
  <c r="U333" i="18"/>
  <c r="V333" i="18"/>
  <c r="W333" i="18"/>
  <c r="X333" i="18"/>
  <c r="Y333" i="18"/>
  <c r="Z333" i="18"/>
  <c r="AA333" i="18"/>
  <c r="AB333" i="18"/>
  <c r="U334" i="18"/>
  <c r="V334" i="18"/>
  <c r="W334" i="18"/>
  <c r="X334" i="18"/>
  <c r="Y334" i="18"/>
  <c r="Z334" i="18"/>
  <c r="AA334" i="18"/>
  <c r="AB334" i="18"/>
  <c r="U335" i="18"/>
  <c r="V335" i="18"/>
  <c r="W335" i="18"/>
  <c r="X335" i="18"/>
  <c r="Y335" i="18"/>
  <c r="Z335" i="18"/>
  <c r="AA335" i="18"/>
  <c r="AB335" i="18"/>
  <c r="U336" i="18"/>
  <c r="V336" i="18"/>
  <c r="W336" i="18"/>
  <c r="X336" i="18"/>
  <c r="Y336" i="18"/>
  <c r="Z336" i="18"/>
  <c r="AA336" i="18"/>
  <c r="AB336" i="18"/>
  <c r="U337" i="18"/>
  <c r="V337" i="18"/>
  <c r="W337" i="18"/>
  <c r="X337" i="18"/>
  <c r="Y337" i="18"/>
  <c r="Z337" i="18"/>
  <c r="AA337" i="18"/>
  <c r="AB337" i="18"/>
  <c r="U338" i="18"/>
  <c r="V338" i="18"/>
  <c r="W338" i="18"/>
  <c r="X338" i="18"/>
  <c r="Y338" i="18"/>
  <c r="Z338" i="18"/>
  <c r="AA338" i="18"/>
  <c r="AB338" i="18"/>
  <c r="U339" i="18"/>
  <c r="V339" i="18"/>
  <c r="W339" i="18"/>
  <c r="X339" i="18"/>
  <c r="Y339" i="18"/>
  <c r="Z339" i="18"/>
  <c r="AA339" i="18"/>
  <c r="AB339" i="18"/>
  <c r="U340" i="18"/>
  <c r="V340" i="18"/>
  <c r="W340" i="18"/>
  <c r="X340" i="18"/>
  <c r="Y340" i="18"/>
  <c r="Z340" i="18"/>
  <c r="AA340" i="18"/>
  <c r="AB340" i="18"/>
  <c r="U341" i="18"/>
  <c r="V341" i="18"/>
  <c r="W341" i="18"/>
  <c r="X341" i="18"/>
  <c r="Y341" i="18"/>
  <c r="Z341" i="18"/>
  <c r="AA341" i="18"/>
  <c r="AB341" i="18"/>
  <c r="U342" i="18"/>
  <c r="V342" i="18"/>
  <c r="W342" i="18"/>
  <c r="X342" i="18"/>
  <c r="Y342" i="18"/>
  <c r="Z342" i="18"/>
  <c r="AA342" i="18"/>
  <c r="AB342" i="18"/>
  <c r="U343" i="18"/>
  <c r="V343" i="18"/>
  <c r="W343" i="18"/>
  <c r="X343" i="18"/>
  <c r="Y343" i="18"/>
  <c r="Z343" i="18"/>
  <c r="AA343" i="18"/>
  <c r="AB343" i="18"/>
  <c r="U344" i="18"/>
  <c r="V344" i="18"/>
  <c r="W344" i="18"/>
  <c r="X344" i="18"/>
  <c r="Y344" i="18"/>
  <c r="Z344" i="18"/>
  <c r="AA344" i="18"/>
  <c r="AB344" i="18"/>
  <c r="U345" i="18"/>
  <c r="V345" i="18"/>
  <c r="W345" i="18"/>
  <c r="X345" i="18"/>
  <c r="Y345" i="18"/>
  <c r="Z345" i="18"/>
  <c r="AA345" i="18"/>
  <c r="AB345" i="18"/>
  <c r="U346" i="18"/>
  <c r="V346" i="18"/>
  <c r="W346" i="18"/>
  <c r="X346" i="18"/>
  <c r="Y346" i="18"/>
  <c r="Z346" i="18"/>
  <c r="AA346" i="18"/>
  <c r="AB346" i="18"/>
  <c r="U347" i="18"/>
  <c r="V347" i="18"/>
  <c r="W347" i="18"/>
  <c r="X347" i="18"/>
  <c r="Y347" i="18"/>
  <c r="Z347" i="18"/>
  <c r="AA347" i="18"/>
  <c r="AB347" i="18"/>
  <c r="U348" i="18"/>
  <c r="V348" i="18"/>
  <c r="W348" i="18"/>
  <c r="X348" i="18"/>
  <c r="Y348" i="18"/>
  <c r="Z348" i="18"/>
  <c r="AA348" i="18"/>
  <c r="AB348" i="18"/>
  <c r="U349" i="18"/>
  <c r="V349" i="18"/>
  <c r="W349" i="18"/>
  <c r="X349" i="18"/>
  <c r="Y349" i="18"/>
  <c r="Z349" i="18"/>
  <c r="AA349" i="18"/>
  <c r="AB349" i="18"/>
  <c r="U350" i="18"/>
  <c r="V350" i="18"/>
  <c r="W350" i="18"/>
  <c r="X350" i="18"/>
  <c r="Y350" i="18"/>
  <c r="Z350" i="18"/>
  <c r="AA350" i="18"/>
  <c r="AB350" i="18"/>
  <c r="U351" i="18"/>
  <c r="V351" i="18"/>
  <c r="W351" i="18"/>
  <c r="X351" i="18"/>
  <c r="Y351" i="18"/>
  <c r="Z351" i="18"/>
  <c r="AA351" i="18"/>
  <c r="AB351" i="18"/>
  <c r="U352" i="18"/>
  <c r="V352" i="18"/>
  <c r="W352" i="18"/>
  <c r="X352" i="18"/>
  <c r="Y352" i="18"/>
  <c r="Z352" i="18"/>
  <c r="AA352" i="18"/>
  <c r="AB352" i="18"/>
  <c r="U353" i="18"/>
  <c r="V353" i="18"/>
  <c r="W353" i="18"/>
  <c r="X353" i="18"/>
  <c r="Y353" i="18"/>
  <c r="Z353" i="18"/>
  <c r="AA353" i="18"/>
  <c r="AB353" i="18"/>
  <c r="U354" i="18"/>
  <c r="V354" i="18"/>
  <c r="W354" i="18"/>
  <c r="X354" i="18"/>
  <c r="Y354" i="18"/>
  <c r="Z354" i="18"/>
  <c r="AA354" i="18"/>
  <c r="AB354" i="18"/>
  <c r="U355" i="18"/>
  <c r="V355" i="18"/>
  <c r="W355" i="18"/>
  <c r="X355" i="18"/>
  <c r="Y355" i="18"/>
  <c r="Z355" i="18"/>
  <c r="AA355" i="18"/>
  <c r="AB355" i="18"/>
  <c r="U356" i="18"/>
  <c r="V356" i="18"/>
  <c r="W356" i="18"/>
  <c r="X356" i="18"/>
  <c r="Y356" i="18"/>
  <c r="Z356" i="18"/>
  <c r="AA356" i="18"/>
  <c r="AB356" i="18"/>
  <c r="U357" i="18"/>
  <c r="V357" i="18"/>
  <c r="W357" i="18"/>
  <c r="X357" i="18"/>
  <c r="Y357" i="18"/>
  <c r="Z357" i="18"/>
  <c r="AA357" i="18"/>
  <c r="AB357" i="18"/>
  <c r="U358" i="18"/>
  <c r="V358" i="18"/>
  <c r="W358" i="18"/>
  <c r="X358" i="18"/>
  <c r="Y358" i="18"/>
  <c r="Z358" i="18"/>
  <c r="AA358" i="18"/>
  <c r="AB358" i="18"/>
  <c r="U359" i="18"/>
  <c r="V359" i="18"/>
  <c r="W359" i="18"/>
  <c r="X359" i="18"/>
  <c r="Y359" i="18"/>
  <c r="Z359" i="18"/>
  <c r="AA359" i="18"/>
  <c r="AB359" i="18"/>
  <c r="U360" i="18"/>
  <c r="V360" i="18"/>
  <c r="W360" i="18"/>
  <c r="X360" i="18"/>
  <c r="Y360" i="18"/>
  <c r="Z360" i="18"/>
  <c r="AA360" i="18"/>
  <c r="AB360" i="18"/>
  <c r="U361" i="18"/>
  <c r="V361" i="18"/>
  <c r="W361" i="18"/>
  <c r="X361" i="18"/>
  <c r="Y361" i="18"/>
  <c r="Z361" i="18"/>
  <c r="AA361" i="18"/>
  <c r="AB361" i="18"/>
  <c r="U362" i="18"/>
  <c r="V362" i="18"/>
  <c r="W362" i="18"/>
  <c r="X362" i="18"/>
  <c r="Y362" i="18"/>
  <c r="Z362" i="18"/>
  <c r="AA362" i="18"/>
  <c r="AB362" i="18"/>
  <c r="U363" i="18"/>
  <c r="V363" i="18"/>
  <c r="W363" i="18"/>
  <c r="X363" i="18"/>
  <c r="Y363" i="18"/>
  <c r="Z363" i="18"/>
  <c r="AA363" i="18"/>
  <c r="AB363" i="18"/>
  <c r="U364" i="18"/>
  <c r="V364" i="18"/>
  <c r="W364" i="18"/>
  <c r="X364" i="18"/>
  <c r="Y364" i="18"/>
  <c r="Z364" i="18"/>
  <c r="AA364" i="18"/>
  <c r="AB364" i="18"/>
  <c r="U365" i="18"/>
  <c r="V365" i="18"/>
  <c r="W365" i="18"/>
  <c r="X365" i="18"/>
  <c r="Y365" i="18"/>
  <c r="Z365" i="18"/>
  <c r="AA365" i="18"/>
  <c r="AB365" i="18"/>
  <c r="U366" i="18"/>
  <c r="V366" i="18"/>
  <c r="W366" i="18"/>
  <c r="X366" i="18"/>
  <c r="Y366" i="18"/>
  <c r="Z366" i="18"/>
  <c r="AA366" i="18"/>
  <c r="AB366" i="18"/>
  <c r="U367" i="18"/>
  <c r="V367" i="18"/>
  <c r="W367" i="18"/>
  <c r="X367" i="18"/>
  <c r="Y367" i="18"/>
  <c r="Z367" i="18"/>
  <c r="AA367" i="18"/>
  <c r="AB367" i="18"/>
  <c r="U368" i="18"/>
  <c r="V368" i="18"/>
  <c r="W368" i="18"/>
  <c r="X368" i="18"/>
  <c r="Y368" i="18"/>
  <c r="Z368" i="18"/>
  <c r="AA368" i="18"/>
  <c r="AB368" i="18"/>
  <c r="U369" i="18"/>
  <c r="V369" i="18"/>
  <c r="W369" i="18"/>
  <c r="X369" i="18"/>
  <c r="Y369" i="18"/>
  <c r="Z369" i="18"/>
  <c r="AA369" i="18"/>
  <c r="AB369" i="18"/>
  <c r="U370" i="18"/>
  <c r="V370" i="18"/>
  <c r="W370" i="18"/>
  <c r="X370" i="18"/>
  <c r="Y370" i="18"/>
  <c r="Z370" i="18"/>
  <c r="AA370" i="18"/>
  <c r="AB370" i="18"/>
  <c r="U371" i="18"/>
  <c r="V371" i="18"/>
  <c r="W371" i="18"/>
  <c r="X371" i="18"/>
  <c r="Y371" i="18"/>
  <c r="Z371" i="18"/>
  <c r="AA371" i="18"/>
  <c r="AB371" i="18"/>
  <c r="U372" i="18"/>
  <c r="V372" i="18"/>
  <c r="W372" i="18"/>
  <c r="X372" i="18"/>
  <c r="Y372" i="18"/>
  <c r="Z372" i="18"/>
  <c r="AA372" i="18"/>
  <c r="AB372" i="18"/>
  <c r="U373" i="18"/>
  <c r="V373" i="18"/>
  <c r="W373" i="18"/>
  <c r="X373" i="18"/>
  <c r="Y373" i="18"/>
  <c r="Z373" i="18"/>
  <c r="AA373" i="18"/>
  <c r="AB373" i="18"/>
  <c r="U374" i="18"/>
  <c r="V374" i="18"/>
  <c r="W374" i="18"/>
  <c r="X374" i="18"/>
  <c r="Y374" i="18"/>
  <c r="Z374" i="18"/>
  <c r="AA374" i="18"/>
  <c r="AB374" i="18"/>
  <c r="U375" i="18"/>
  <c r="V375" i="18"/>
  <c r="W375" i="18"/>
  <c r="X375" i="18"/>
  <c r="Y375" i="18"/>
  <c r="Z375" i="18"/>
  <c r="AA375" i="18"/>
  <c r="AB375" i="18"/>
  <c r="U376" i="18"/>
  <c r="V376" i="18"/>
  <c r="W376" i="18"/>
  <c r="X376" i="18"/>
  <c r="Y376" i="18"/>
  <c r="Z376" i="18"/>
  <c r="AA376" i="18"/>
  <c r="AB376" i="18"/>
  <c r="U377" i="18"/>
  <c r="V377" i="18"/>
  <c r="W377" i="18"/>
  <c r="X377" i="18"/>
  <c r="Y377" i="18"/>
  <c r="Z377" i="18"/>
  <c r="AA377" i="18"/>
  <c r="AB377" i="18"/>
  <c r="U378" i="18"/>
  <c r="V378" i="18"/>
  <c r="W378" i="18"/>
  <c r="X378" i="18"/>
  <c r="Y378" i="18"/>
  <c r="Z378" i="18"/>
  <c r="AA378" i="18"/>
  <c r="AB378" i="18"/>
  <c r="U379" i="18"/>
  <c r="V379" i="18"/>
  <c r="W379" i="18"/>
  <c r="X379" i="18"/>
  <c r="Y379" i="18"/>
  <c r="Z379" i="18"/>
  <c r="AA379" i="18"/>
  <c r="AB379" i="18"/>
  <c r="U380" i="18"/>
  <c r="V380" i="18"/>
  <c r="W380" i="18"/>
  <c r="X380" i="18"/>
  <c r="Y380" i="18"/>
  <c r="Z380" i="18"/>
  <c r="AA380" i="18"/>
  <c r="AB380" i="18"/>
  <c r="U381" i="18"/>
  <c r="V381" i="18"/>
  <c r="W381" i="18"/>
  <c r="X381" i="18"/>
  <c r="Y381" i="18"/>
  <c r="Z381" i="18"/>
  <c r="AA381" i="18"/>
  <c r="AB381" i="18"/>
  <c r="U382" i="18"/>
  <c r="V382" i="18"/>
  <c r="W382" i="18"/>
  <c r="X382" i="18"/>
  <c r="Y382" i="18"/>
  <c r="Z382" i="18"/>
  <c r="AA382" i="18"/>
  <c r="AB382" i="18"/>
  <c r="U383" i="18"/>
  <c r="V383" i="18"/>
  <c r="W383" i="18"/>
  <c r="X383" i="18"/>
  <c r="Y383" i="18"/>
  <c r="Z383" i="18"/>
  <c r="AA383" i="18"/>
  <c r="AB383" i="18"/>
  <c r="U384" i="18"/>
  <c r="V384" i="18"/>
  <c r="W384" i="18"/>
  <c r="X384" i="18"/>
  <c r="Y384" i="18"/>
  <c r="Z384" i="18"/>
  <c r="AA384" i="18"/>
  <c r="AB384" i="18"/>
  <c r="U385" i="18"/>
  <c r="V385" i="18"/>
  <c r="W385" i="18"/>
  <c r="X385" i="18"/>
  <c r="Y385" i="18"/>
  <c r="Z385" i="18"/>
  <c r="AA385" i="18"/>
  <c r="AB385" i="18"/>
  <c r="U386" i="18"/>
  <c r="V386" i="18"/>
  <c r="W386" i="18"/>
  <c r="X386" i="18"/>
  <c r="Y386" i="18"/>
  <c r="Z386" i="18"/>
  <c r="AA386" i="18"/>
  <c r="AB386" i="18"/>
  <c r="U387" i="18"/>
  <c r="V387" i="18"/>
  <c r="W387" i="18"/>
  <c r="X387" i="18"/>
  <c r="Y387" i="18"/>
  <c r="Z387" i="18"/>
  <c r="AA387" i="18"/>
  <c r="AB387" i="18"/>
  <c r="U388" i="18"/>
  <c r="V388" i="18"/>
  <c r="W388" i="18"/>
  <c r="X388" i="18"/>
  <c r="Y388" i="18"/>
  <c r="Z388" i="18"/>
  <c r="AA388" i="18"/>
  <c r="AB388" i="18"/>
  <c r="U389" i="18"/>
  <c r="V389" i="18"/>
  <c r="W389" i="18"/>
  <c r="X389" i="18"/>
  <c r="Y389" i="18"/>
  <c r="Z389" i="18"/>
  <c r="AA389" i="18"/>
  <c r="AB389" i="18"/>
  <c r="U390" i="18"/>
  <c r="V390" i="18"/>
  <c r="W390" i="18"/>
  <c r="X390" i="18"/>
  <c r="Y390" i="18"/>
  <c r="Z390" i="18"/>
  <c r="AA390" i="18"/>
  <c r="AB390" i="18"/>
  <c r="U391" i="18"/>
  <c r="V391" i="18"/>
  <c r="W391" i="18"/>
  <c r="X391" i="18"/>
  <c r="Y391" i="18"/>
  <c r="Z391" i="18"/>
  <c r="AA391" i="18"/>
  <c r="AB391" i="18"/>
  <c r="U392" i="18"/>
  <c r="V392" i="18"/>
  <c r="W392" i="18"/>
  <c r="X392" i="18"/>
  <c r="Y392" i="18"/>
  <c r="Z392" i="18"/>
  <c r="AA392" i="18"/>
  <c r="AB392" i="18"/>
  <c r="U393" i="18"/>
  <c r="V393" i="18"/>
  <c r="W393" i="18"/>
  <c r="X393" i="18"/>
  <c r="Y393" i="18"/>
  <c r="Z393" i="18"/>
  <c r="AA393" i="18"/>
  <c r="AB393" i="18"/>
  <c r="U394" i="18"/>
  <c r="V394" i="18"/>
  <c r="W394" i="18"/>
  <c r="X394" i="18"/>
  <c r="Y394" i="18"/>
  <c r="Z394" i="18"/>
  <c r="AA394" i="18"/>
  <c r="AB394" i="18"/>
  <c r="U395" i="18"/>
  <c r="V395" i="18"/>
  <c r="W395" i="18"/>
  <c r="X395" i="18"/>
  <c r="Y395" i="18"/>
  <c r="Z395" i="18"/>
  <c r="AA395" i="18"/>
  <c r="AB395" i="18"/>
  <c r="U396" i="18"/>
  <c r="V396" i="18"/>
  <c r="W396" i="18"/>
  <c r="X396" i="18"/>
  <c r="Y396" i="18"/>
  <c r="Z396" i="18"/>
  <c r="AA396" i="18"/>
  <c r="AB396" i="18"/>
  <c r="U397" i="18"/>
  <c r="V397" i="18"/>
  <c r="W397" i="18"/>
  <c r="X397" i="18"/>
  <c r="Y397" i="18"/>
  <c r="Z397" i="18"/>
  <c r="AA397" i="18"/>
  <c r="AB397" i="18"/>
  <c r="U398" i="18"/>
  <c r="V398" i="18"/>
  <c r="W398" i="18"/>
  <c r="X398" i="18"/>
  <c r="Y398" i="18"/>
  <c r="Z398" i="18"/>
  <c r="AA398" i="18"/>
  <c r="AB398" i="18"/>
  <c r="U399" i="18"/>
  <c r="V399" i="18"/>
  <c r="W399" i="18"/>
  <c r="X399" i="18"/>
  <c r="Y399" i="18"/>
  <c r="Z399" i="18"/>
  <c r="AA399" i="18"/>
  <c r="AB399" i="18"/>
  <c r="U400" i="18"/>
  <c r="V400" i="18"/>
  <c r="W400" i="18"/>
  <c r="X400" i="18"/>
  <c r="Y400" i="18"/>
  <c r="Z400" i="18"/>
  <c r="AA400" i="18"/>
  <c r="AB400" i="18"/>
  <c r="U401" i="18"/>
  <c r="V401" i="18"/>
  <c r="W401" i="18"/>
  <c r="X401" i="18"/>
  <c r="Y401" i="18"/>
  <c r="Z401" i="18"/>
  <c r="AA401" i="18"/>
  <c r="AB401" i="18"/>
  <c r="U402" i="18"/>
  <c r="V402" i="18"/>
  <c r="W402" i="18"/>
  <c r="X402" i="18"/>
  <c r="Y402" i="18"/>
  <c r="Z402" i="18"/>
  <c r="AA402" i="18"/>
  <c r="AB402" i="18"/>
  <c r="U403" i="18"/>
  <c r="V403" i="18"/>
  <c r="W403" i="18"/>
  <c r="X403" i="18"/>
  <c r="Y403" i="18"/>
  <c r="Z403" i="18"/>
  <c r="AA403" i="18"/>
  <c r="AB403" i="18"/>
  <c r="U404" i="18"/>
  <c r="V404" i="18"/>
  <c r="W404" i="18"/>
  <c r="X404" i="18"/>
  <c r="Y404" i="18"/>
  <c r="Z404" i="18"/>
  <c r="AA404" i="18"/>
  <c r="AB404" i="18"/>
  <c r="U405" i="18"/>
  <c r="V405" i="18"/>
  <c r="W405" i="18"/>
  <c r="X405" i="18"/>
  <c r="Y405" i="18"/>
  <c r="Z405" i="18"/>
  <c r="AA405" i="18"/>
  <c r="AB405" i="18"/>
  <c r="U406" i="18"/>
  <c r="V406" i="18"/>
  <c r="W406" i="18"/>
  <c r="X406" i="18"/>
  <c r="Y406" i="18"/>
  <c r="Z406" i="18"/>
  <c r="AA406" i="18"/>
  <c r="AB406" i="18"/>
  <c r="U407" i="18"/>
  <c r="V407" i="18"/>
  <c r="W407" i="18"/>
  <c r="X407" i="18"/>
  <c r="Y407" i="18"/>
  <c r="Z407" i="18"/>
  <c r="AA407" i="18"/>
  <c r="AB407" i="18"/>
  <c r="U408" i="18"/>
  <c r="V408" i="18"/>
  <c r="W408" i="18"/>
  <c r="X408" i="18"/>
  <c r="Y408" i="18"/>
  <c r="Z408" i="18"/>
  <c r="AA408" i="18"/>
  <c r="AB408" i="18"/>
  <c r="U409" i="18"/>
  <c r="V409" i="18"/>
  <c r="W409" i="18"/>
  <c r="X409" i="18"/>
  <c r="Y409" i="18"/>
  <c r="Z409" i="18"/>
  <c r="AA409" i="18"/>
  <c r="AB409" i="18"/>
  <c r="U410" i="18"/>
  <c r="V410" i="18"/>
  <c r="W410" i="18"/>
  <c r="X410" i="18"/>
  <c r="Y410" i="18"/>
  <c r="Z410" i="18"/>
  <c r="AA410" i="18"/>
  <c r="AB410" i="18"/>
  <c r="U411" i="18"/>
  <c r="V411" i="18"/>
  <c r="W411" i="18"/>
  <c r="X411" i="18"/>
  <c r="Y411" i="18"/>
  <c r="Z411" i="18"/>
  <c r="AA411" i="18"/>
  <c r="AB411" i="18"/>
  <c r="U412" i="18"/>
  <c r="V412" i="18"/>
  <c r="W412" i="18"/>
  <c r="X412" i="18"/>
  <c r="Y412" i="18"/>
  <c r="Z412" i="18"/>
  <c r="AA412" i="18"/>
  <c r="AB412" i="18"/>
  <c r="U413" i="18"/>
  <c r="V413" i="18"/>
  <c r="W413" i="18"/>
  <c r="X413" i="18"/>
  <c r="Y413" i="18"/>
  <c r="Z413" i="18"/>
  <c r="AA413" i="18"/>
  <c r="AB413" i="18"/>
  <c r="U414" i="18"/>
  <c r="V414" i="18"/>
  <c r="W414" i="18"/>
  <c r="X414" i="18"/>
  <c r="Y414" i="18"/>
  <c r="Z414" i="18"/>
  <c r="AA414" i="18"/>
  <c r="AB414" i="18"/>
  <c r="U415" i="18"/>
  <c r="V415" i="18"/>
  <c r="W415" i="18"/>
  <c r="X415" i="18"/>
  <c r="Y415" i="18"/>
  <c r="Z415" i="18"/>
  <c r="AA415" i="18"/>
  <c r="AB415" i="18"/>
  <c r="U416" i="18"/>
  <c r="V416" i="18"/>
  <c r="W416" i="18"/>
  <c r="X416" i="18"/>
  <c r="Y416" i="18"/>
  <c r="Z416" i="18"/>
  <c r="AA416" i="18"/>
  <c r="AB416" i="18"/>
  <c r="U417" i="18"/>
  <c r="V417" i="18"/>
  <c r="W417" i="18"/>
  <c r="X417" i="18"/>
  <c r="Y417" i="18"/>
  <c r="Z417" i="18"/>
  <c r="AA417" i="18"/>
  <c r="AB417" i="18"/>
  <c r="U418" i="18"/>
  <c r="V418" i="18"/>
  <c r="W418" i="18"/>
  <c r="X418" i="18"/>
  <c r="Y418" i="18"/>
  <c r="Z418" i="18"/>
  <c r="AA418" i="18"/>
  <c r="AB418" i="18"/>
  <c r="U419" i="18"/>
  <c r="V419" i="18"/>
  <c r="W419" i="18"/>
  <c r="X419" i="18"/>
  <c r="Y419" i="18"/>
  <c r="Z419" i="18"/>
  <c r="AA419" i="18"/>
  <c r="AB419" i="18"/>
  <c r="U420" i="18"/>
  <c r="V420" i="18"/>
  <c r="W420" i="18"/>
  <c r="X420" i="18"/>
  <c r="Y420" i="18"/>
  <c r="Z420" i="18"/>
  <c r="AA420" i="18"/>
  <c r="AB420" i="18"/>
  <c r="U421" i="18"/>
  <c r="V421" i="18"/>
  <c r="W421" i="18"/>
  <c r="X421" i="18"/>
  <c r="Y421" i="18"/>
  <c r="Z421" i="18"/>
  <c r="AA421" i="18"/>
  <c r="AB421" i="18"/>
  <c r="U422" i="18"/>
  <c r="V422" i="18"/>
  <c r="W422" i="18"/>
  <c r="X422" i="18"/>
  <c r="Y422" i="18"/>
  <c r="Z422" i="18"/>
  <c r="AA422" i="18"/>
  <c r="AB422" i="18"/>
  <c r="U423" i="18"/>
  <c r="V423" i="18"/>
  <c r="W423" i="18"/>
  <c r="X423" i="18"/>
  <c r="Y423" i="18"/>
  <c r="Z423" i="18"/>
  <c r="AA423" i="18"/>
  <c r="AB423" i="18"/>
  <c r="U424" i="18"/>
  <c r="V424" i="18"/>
  <c r="W424" i="18"/>
  <c r="X424" i="18"/>
  <c r="Y424" i="18"/>
  <c r="Z424" i="18"/>
  <c r="AA424" i="18"/>
  <c r="AB424" i="18"/>
  <c r="U425" i="18"/>
  <c r="V425" i="18"/>
  <c r="W425" i="18"/>
  <c r="X425" i="18"/>
  <c r="Y425" i="18"/>
  <c r="Z425" i="18"/>
  <c r="AA425" i="18"/>
  <c r="AB425" i="18"/>
  <c r="U426" i="18"/>
  <c r="V426" i="18"/>
  <c r="W426" i="18"/>
  <c r="X426" i="18"/>
  <c r="Y426" i="18"/>
  <c r="Z426" i="18"/>
  <c r="AA426" i="18"/>
  <c r="AB426" i="18"/>
  <c r="U427" i="18"/>
  <c r="V427" i="18"/>
  <c r="W427" i="18"/>
  <c r="X427" i="18"/>
  <c r="Y427" i="18"/>
  <c r="Z427" i="18"/>
  <c r="AA427" i="18"/>
  <c r="AB427" i="18"/>
  <c r="U428" i="18"/>
  <c r="V428" i="18"/>
  <c r="W428" i="18"/>
  <c r="X428" i="18"/>
  <c r="Y428" i="18"/>
  <c r="Z428" i="18"/>
  <c r="AA428" i="18"/>
  <c r="AB428" i="18"/>
  <c r="U429" i="18"/>
  <c r="V429" i="18"/>
  <c r="W429" i="18"/>
  <c r="X429" i="18"/>
  <c r="Y429" i="18"/>
  <c r="Z429" i="18"/>
  <c r="AA429" i="18"/>
  <c r="AB429" i="18"/>
  <c r="U430" i="18"/>
  <c r="V430" i="18"/>
  <c r="W430" i="18"/>
  <c r="X430" i="18"/>
  <c r="Y430" i="18"/>
  <c r="Z430" i="18"/>
  <c r="AA430" i="18"/>
  <c r="AB430" i="18"/>
  <c r="U431" i="18"/>
  <c r="V431" i="18"/>
  <c r="W431" i="18"/>
  <c r="X431" i="18"/>
  <c r="Y431" i="18"/>
  <c r="Z431" i="18"/>
  <c r="AA431" i="18"/>
  <c r="AB431" i="18"/>
  <c r="U432" i="18"/>
  <c r="V432" i="18"/>
  <c r="W432" i="18"/>
  <c r="X432" i="18"/>
  <c r="Y432" i="18"/>
  <c r="Z432" i="18"/>
  <c r="AA432" i="18"/>
  <c r="AB432" i="18"/>
  <c r="U433" i="18"/>
  <c r="V433" i="18"/>
  <c r="W433" i="18"/>
  <c r="X433" i="18"/>
  <c r="Y433" i="18"/>
  <c r="Z433" i="18"/>
  <c r="AA433" i="18"/>
  <c r="AB433" i="18"/>
  <c r="U434" i="18"/>
  <c r="V434" i="18"/>
  <c r="W434" i="18"/>
  <c r="X434" i="18"/>
  <c r="Y434" i="18"/>
  <c r="Z434" i="18"/>
  <c r="AA434" i="18"/>
  <c r="AB434" i="18"/>
  <c r="U435" i="18"/>
  <c r="V435" i="18"/>
  <c r="W435" i="18"/>
  <c r="X435" i="18"/>
  <c r="Y435" i="18"/>
  <c r="Z435" i="18"/>
  <c r="AA435" i="18"/>
  <c r="AB435" i="18"/>
  <c r="U436" i="18"/>
  <c r="V436" i="18"/>
  <c r="W436" i="18"/>
  <c r="X436" i="18"/>
  <c r="Y436" i="18"/>
  <c r="Z436" i="18"/>
  <c r="AA436" i="18"/>
  <c r="AB436" i="18"/>
  <c r="U437" i="18"/>
  <c r="V437" i="18"/>
  <c r="W437" i="18"/>
  <c r="X437" i="18"/>
  <c r="Y437" i="18"/>
  <c r="Z437" i="18"/>
  <c r="AA437" i="18"/>
  <c r="AB437" i="18"/>
  <c r="U438" i="18"/>
  <c r="V438" i="18"/>
  <c r="W438" i="18"/>
  <c r="X438" i="18"/>
  <c r="Y438" i="18"/>
  <c r="Z438" i="18"/>
  <c r="AA438" i="18"/>
  <c r="AB438" i="18"/>
  <c r="U439" i="18"/>
  <c r="V439" i="18"/>
  <c r="W439" i="18"/>
  <c r="X439" i="18"/>
  <c r="Y439" i="18"/>
  <c r="Z439" i="18"/>
  <c r="AA439" i="18"/>
  <c r="AB439" i="18"/>
  <c r="U440" i="18"/>
  <c r="V440" i="18"/>
  <c r="W440" i="18"/>
  <c r="X440" i="18"/>
  <c r="Y440" i="18"/>
  <c r="Z440" i="18"/>
  <c r="AA440" i="18"/>
  <c r="AB440" i="18"/>
  <c r="U441" i="18"/>
  <c r="V441" i="18"/>
  <c r="W441" i="18"/>
  <c r="X441" i="18"/>
  <c r="Y441" i="18"/>
  <c r="Z441" i="18"/>
  <c r="AA441" i="18"/>
  <c r="AB441" i="18"/>
  <c r="U442" i="18"/>
  <c r="V442" i="18"/>
  <c r="W442" i="18"/>
  <c r="X442" i="18"/>
  <c r="Y442" i="18"/>
  <c r="Z442" i="18"/>
  <c r="AA442" i="18"/>
  <c r="AB442" i="18"/>
  <c r="U443" i="18"/>
  <c r="V443" i="18"/>
  <c r="W443" i="18"/>
  <c r="X443" i="18"/>
  <c r="Y443" i="18"/>
  <c r="Z443" i="18"/>
  <c r="AA443" i="18"/>
  <c r="AB443" i="18"/>
  <c r="U444" i="18"/>
  <c r="V444" i="18"/>
  <c r="W444" i="18"/>
  <c r="X444" i="18"/>
  <c r="Y444" i="18"/>
  <c r="Z444" i="18"/>
  <c r="AA444" i="18"/>
  <c r="AB444" i="18"/>
  <c r="U445" i="18"/>
  <c r="V445" i="18"/>
  <c r="W445" i="18"/>
  <c r="X445" i="18"/>
  <c r="Y445" i="18"/>
  <c r="Z445" i="18"/>
  <c r="AA445" i="18"/>
  <c r="AB445" i="18"/>
  <c r="U446" i="18"/>
  <c r="V446" i="18"/>
  <c r="W446" i="18"/>
  <c r="X446" i="18"/>
  <c r="Y446" i="18"/>
  <c r="Z446" i="18"/>
  <c r="AA446" i="18"/>
  <c r="AB446" i="18"/>
  <c r="U447" i="18"/>
  <c r="V447" i="18"/>
  <c r="W447" i="18"/>
  <c r="X447" i="18"/>
  <c r="Y447" i="18"/>
  <c r="Z447" i="18"/>
  <c r="AA447" i="18"/>
  <c r="AB447" i="18"/>
  <c r="U448" i="18"/>
  <c r="V448" i="18"/>
  <c r="W448" i="18"/>
  <c r="X448" i="18"/>
  <c r="Y448" i="18"/>
  <c r="Z448" i="18"/>
  <c r="AA448" i="18"/>
  <c r="AB448" i="18"/>
  <c r="U449" i="18"/>
  <c r="V449" i="18"/>
  <c r="W449" i="18"/>
  <c r="X449" i="18"/>
  <c r="Y449" i="18"/>
  <c r="Z449" i="18"/>
  <c r="AA449" i="18"/>
  <c r="AB449" i="18"/>
  <c r="U450" i="18"/>
  <c r="V450" i="18"/>
  <c r="W450" i="18"/>
  <c r="X450" i="18"/>
  <c r="Y450" i="18"/>
  <c r="Z450" i="18"/>
  <c r="AA450" i="18"/>
  <c r="AB450" i="18"/>
  <c r="U451" i="18"/>
  <c r="V451" i="18"/>
  <c r="W451" i="18"/>
  <c r="X451" i="18"/>
  <c r="Y451" i="18"/>
  <c r="Z451" i="18"/>
  <c r="AA451" i="18"/>
  <c r="AB451" i="18"/>
  <c r="U452" i="18"/>
  <c r="V452" i="18"/>
  <c r="W452" i="18"/>
  <c r="X452" i="18"/>
  <c r="Y452" i="18"/>
  <c r="Z452" i="18"/>
  <c r="AA452" i="18"/>
  <c r="AB452" i="18"/>
  <c r="U453" i="18"/>
  <c r="V453" i="18"/>
  <c r="W453" i="18"/>
  <c r="X453" i="18"/>
  <c r="Y453" i="18"/>
  <c r="Z453" i="18"/>
  <c r="AA453" i="18"/>
  <c r="AB453" i="18"/>
  <c r="U454" i="18"/>
  <c r="V454" i="18"/>
  <c r="W454" i="18"/>
  <c r="X454" i="18"/>
  <c r="Y454" i="18"/>
  <c r="Z454" i="18"/>
  <c r="AA454" i="18"/>
  <c r="AB454" i="18"/>
  <c r="U455" i="18"/>
  <c r="V455" i="18"/>
  <c r="W455" i="18"/>
  <c r="X455" i="18"/>
  <c r="Y455" i="18"/>
  <c r="Z455" i="18"/>
  <c r="AA455" i="18"/>
  <c r="AB455" i="18"/>
  <c r="U456" i="18"/>
  <c r="V456" i="18"/>
  <c r="W456" i="18"/>
  <c r="X456" i="18"/>
  <c r="Y456" i="18"/>
  <c r="Z456" i="18"/>
  <c r="AA456" i="18"/>
  <c r="AB456" i="18"/>
  <c r="U457" i="18"/>
  <c r="V457" i="18"/>
  <c r="W457" i="18"/>
  <c r="X457" i="18"/>
  <c r="Y457" i="18"/>
  <c r="Z457" i="18"/>
  <c r="AA457" i="18"/>
  <c r="AB457" i="18"/>
  <c r="U458" i="18"/>
  <c r="V458" i="18"/>
  <c r="W458" i="18"/>
  <c r="X458" i="18"/>
  <c r="Y458" i="18"/>
  <c r="Z458" i="18"/>
  <c r="AA458" i="18"/>
  <c r="AB458" i="18"/>
  <c r="U459" i="18"/>
  <c r="V459" i="18"/>
  <c r="W459" i="18"/>
  <c r="X459" i="18"/>
  <c r="Y459" i="18"/>
  <c r="Z459" i="18"/>
  <c r="AA459" i="18"/>
  <c r="AB459" i="18"/>
  <c r="U460" i="18"/>
  <c r="V460" i="18"/>
  <c r="W460" i="18"/>
  <c r="X460" i="18"/>
  <c r="Y460" i="18"/>
  <c r="Z460" i="18"/>
  <c r="AA460" i="18"/>
  <c r="AB460" i="18"/>
  <c r="U461" i="18"/>
  <c r="V461" i="18"/>
  <c r="W461" i="18"/>
  <c r="X461" i="18"/>
  <c r="Y461" i="18"/>
  <c r="Z461" i="18"/>
  <c r="AA461" i="18"/>
  <c r="AB461" i="18"/>
  <c r="U462" i="18"/>
  <c r="V462" i="18"/>
  <c r="W462" i="18"/>
  <c r="X462" i="18"/>
  <c r="Y462" i="18"/>
  <c r="Z462" i="18"/>
  <c r="AA462" i="18"/>
  <c r="AB462" i="18"/>
  <c r="U463" i="18"/>
  <c r="V463" i="18"/>
  <c r="W463" i="18"/>
  <c r="X463" i="18"/>
  <c r="Y463" i="18"/>
  <c r="Z463" i="18"/>
  <c r="AA463" i="18"/>
  <c r="AB463" i="18"/>
  <c r="U464" i="18"/>
  <c r="V464" i="18"/>
  <c r="W464" i="18"/>
  <c r="X464" i="18"/>
  <c r="Y464" i="18"/>
  <c r="Z464" i="18"/>
  <c r="AA464" i="18"/>
  <c r="AB464" i="18"/>
  <c r="U465" i="18"/>
  <c r="V465" i="18"/>
  <c r="W465" i="18"/>
  <c r="X465" i="18"/>
  <c r="Y465" i="18"/>
  <c r="Z465" i="18"/>
  <c r="AA465" i="18"/>
  <c r="AB465" i="18"/>
  <c r="U466" i="18"/>
  <c r="V466" i="18"/>
  <c r="W466" i="18"/>
  <c r="X466" i="18"/>
  <c r="Y466" i="18"/>
  <c r="Z466" i="18"/>
  <c r="AA466" i="18"/>
  <c r="AB466" i="18"/>
  <c r="U467" i="18"/>
  <c r="V467" i="18"/>
  <c r="W467" i="18"/>
  <c r="X467" i="18"/>
  <c r="Y467" i="18"/>
  <c r="Z467" i="18"/>
  <c r="AA467" i="18"/>
  <c r="AB467" i="18"/>
  <c r="U468" i="18"/>
  <c r="V468" i="18"/>
  <c r="W468" i="18"/>
  <c r="X468" i="18"/>
  <c r="Y468" i="18"/>
  <c r="Z468" i="18"/>
  <c r="AA468" i="18"/>
  <c r="AB468" i="18"/>
  <c r="U469" i="18"/>
  <c r="V469" i="18"/>
  <c r="W469" i="18"/>
  <c r="X469" i="18"/>
  <c r="Y469" i="18"/>
  <c r="Z469" i="18"/>
  <c r="AA469" i="18"/>
  <c r="AB469" i="18"/>
  <c r="U470" i="18"/>
  <c r="V470" i="18"/>
  <c r="W470" i="18"/>
  <c r="X470" i="18"/>
  <c r="Y470" i="18"/>
  <c r="Z470" i="18"/>
  <c r="AA470" i="18"/>
  <c r="AB470" i="18"/>
  <c r="U471" i="18"/>
  <c r="V471" i="18"/>
  <c r="W471" i="18"/>
  <c r="X471" i="18"/>
  <c r="Y471" i="18"/>
  <c r="Z471" i="18"/>
  <c r="AA471" i="18"/>
  <c r="AB471" i="18"/>
  <c r="U472" i="18"/>
  <c r="V472" i="18"/>
  <c r="W472" i="18"/>
  <c r="X472" i="18"/>
  <c r="Y472" i="18"/>
  <c r="Z472" i="18"/>
  <c r="AA472" i="18"/>
  <c r="AB472" i="18"/>
  <c r="U473" i="18"/>
  <c r="V473" i="18"/>
  <c r="W473" i="18"/>
  <c r="X473" i="18"/>
  <c r="Y473" i="18"/>
  <c r="Z473" i="18"/>
  <c r="AA473" i="18"/>
  <c r="AB473" i="18"/>
  <c r="U474" i="18"/>
  <c r="V474" i="18"/>
  <c r="W474" i="18"/>
  <c r="X474" i="18"/>
  <c r="Y474" i="18"/>
  <c r="Z474" i="18"/>
  <c r="AA474" i="18"/>
  <c r="AB474" i="18"/>
  <c r="U475" i="18"/>
  <c r="V475" i="18"/>
  <c r="W475" i="18"/>
  <c r="X475" i="18"/>
  <c r="Y475" i="18"/>
  <c r="Z475" i="18"/>
  <c r="AA475" i="18"/>
  <c r="AB475" i="18"/>
  <c r="U476" i="18"/>
  <c r="V476" i="18"/>
  <c r="W476" i="18"/>
  <c r="X476" i="18"/>
  <c r="Y476" i="18"/>
  <c r="Z476" i="18"/>
  <c r="AA476" i="18"/>
  <c r="AB476" i="18"/>
  <c r="U477" i="18"/>
  <c r="V477" i="18"/>
  <c r="W477" i="18"/>
  <c r="X477" i="18"/>
  <c r="Y477" i="18"/>
  <c r="Z477" i="18"/>
  <c r="AA477" i="18"/>
  <c r="AB477" i="18"/>
  <c r="U478" i="18"/>
  <c r="V478" i="18"/>
  <c r="W478" i="18"/>
  <c r="X478" i="18"/>
  <c r="Y478" i="18"/>
  <c r="Z478" i="18"/>
  <c r="AA478" i="18"/>
  <c r="AB478" i="18"/>
  <c r="U479" i="18"/>
  <c r="V479" i="18"/>
  <c r="W479" i="18"/>
  <c r="X479" i="18"/>
  <c r="Y479" i="18"/>
  <c r="Z479" i="18"/>
  <c r="AA479" i="18"/>
  <c r="AB479" i="18"/>
  <c r="U480" i="18"/>
  <c r="V480" i="18"/>
  <c r="W480" i="18"/>
  <c r="X480" i="18"/>
  <c r="Y480" i="18"/>
  <c r="Z480" i="18"/>
  <c r="AA480" i="18"/>
  <c r="AB480" i="18"/>
  <c r="U481" i="18"/>
  <c r="V481" i="18"/>
  <c r="W481" i="18"/>
  <c r="X481" i="18"/>
  <c r="Y481" i="18"/>
  <c r="Z481" i="18"/>
  <c r="AA481" i="18"/>
  <c r="AB481" i="18"/>
  <c r="U482" i="18"/>
  <c r="V482" i="18"/>
  <c r="W482" i="18"/>
  <c r="X482" i="18"/>
  <c r="Y482" i="18"/>
  <c r="Z482" i="18"/>
  <c r="AA482" i="18"/>
  <c r="AB482" i="18"/>
  <c r="U483" i="18"/>
  <c r="V483" i="18"/>
  <c r="W483" i="18"/>
  <c r="X483" i="18"/>
  <c r="Y483" i="18"/>
  <c r="Z483" i="18"/>
  <c r="AA483" i="18"/>
  <c r="AB483" i="18"/>
  <c r="U484" i="18"/>
  <c r="V484" i="18"/>
  <c r="W484" i="18"/>
  <c r="X484" i="18"/>
  <c r="Y484" i="18"/>
  <c r="Z484" i="18"/>
  <c r="AA484" i="18"/>
  <c r="AB484" i="18"/>
  <c r="U485" i="18"/>
  <c r="V485" i="18"/>
  <c r="W485" i="18"/>
  <c r="X485" i="18"/>
  <c r="Y485" i="18"/>
  <c r="Z485" i="18"/>
  <c r="AA485" i="18"/>
  <c r="AB485" i="18"/>
  <c r="U486" i="18"/>
  <c r="V486" i="18"/>
  <c r="W486" i="18"/>
  <c r="X486" i="18"/>
  <c r="Y486" i="18"/>
  <c r="Z486" i="18"/>
  <c r="AA486" i="18"/>
  <c r="AB486" i="18"/>
  <c r="U487" i="18"/>
  <c r="V487" i="18"/>
  <c r="W487" i="18"/>
  <c r="X487" i="18"/>
  <c r="Y487" i="18"/>
  <c r="Z487" i="18"/>
  <c r="AA487" i="18"/>
  <c r="AB487" i="18"/>
  <c r="U488" i="18"/>
  <c r="V488" i="18"/>
  <c r="W488" i="18"/>
  <c r="X488" i="18"/>
  <c r="Y488" i="18"/>
  <c r="Z488" i="18"/>
  <c r="AA488" i="18"/>
  <c r="AB488" i="18"/>
  <c r="U489" i="18"/>
  <c r="V489" i="18"/>
  <c r="W489" i="18"/>
  <c r="X489" i="18"/>
  <c r="Y489" i="18"/>
  <c r="Z489" i="18"/>
  <c r="AA489" i="18"/>
  <c r="AB489" i="18"/>
  <c r="U490" i="18"/>
  <c r="V490" i="18"/>
  <c r="W490" i="18"/>
  <c r="X490" i="18"/>
  <c r="Y490" i="18"/>
  <c r="Z490" i="18"/>
  <c r="AA490" i="18"/>
  <c r="AB490" i="18"/>
  <c r="V3" i="18"/>
  <c r="W3" i="18"/>
  <c r="X3" i="18"/>
  <c r="Y3" i="18"/>
  <c r="Z3" i="18"/>
  <c r="AA3" i="18"/>
  <c r="AB3" i="18"/>
  <c r="U3" i="18"/>
  <c r="M494" i="18"/>
  <c r="N494" i="18"/>
  <c r="O494" i="18"/>
  <c r="P494" i="18"/>
  <c r="Q494" i="18"/>
  <c r="R494" i="18"/>
  <c r="S494" i="18"/>
  <c r="L494" i="18"/>
  <c r="L4" i="18"/>
  <c r="M4" i="18"/>
  <c r="N4" i="18"/>
  <c r="O4" i="18"/>
  <c r="P4" i="18"/>
  <c r="Q4" i="18"/>
  <c r="R4" i="18"/>
  <c r="S4" i="18"/>
  <c r="L5" i="18"/>
  <c r="M5" i="18"/>
  <c r="N5" i="18"/>
  <c r="O5" i="18"/>
  <c r="P5" i="18"/>
  <c r="Q5" i="18"/>
  <c r="R5" i="18"/>
  <c r="S5" i="18"/>
  <c r="L6" i="18"/>
  <c r="M6" i="18"/>
  <c r="N6" i="18"/>
  <c r="O6" i="18"/>
  <c r="P6" i="18"/>
  <c r="Q6" i="18"/>
  <c r="R6" i="18"/>
  <c r="S6" i="18"/>
  <c r="L7" i="18"/>
  <c r="M7" i="18"/>
  <c r="N7" i="18"/>
  <c r="O7" i="18"/>
  <c r="P7" i="18"/>
  <c r="Q7" i="18"/>
  <c r="R7" i="18"/>
  <c r="S7" i="18"/>
  <c r="L8" i="18"/>
  <c r="M8" i="18"/>
  <c r="N8" i="18"/>
  <c r="O8" i="18"/>
  <c r="P8" i="18"/>
  <c r="Q8" i="18"/>
  <c r="R8" i="18"/>
  <c r="S8" i="18"/>
  <c r="L9" i="18"/>
  <c r="M9" i="18"/>
  <c r="N9" i="18"/>
  <c r="O9" i="18"/>
  <c r="P9" i="18"/>
  <c r="Q9" i="18"/>
  <c r="R9" i="18"/>
  <c r="S9" i="18"/>
  <c r="L10" i="18"/>
  <c r="M10" i="18"/>
  <c r="N10" i="18"/>
  <c r="O10" i="18"/>
  <c r="P10" i="18"/>
  <c r="Q10" i="18"/>
  <c r="R10" i="18"/>
  <c r="S10" i="18"/>
  <c r="L11" i="18"/>
  <c r="M11" i="18"/>
  <c r="N11" i="18"/>
  <c r="O11" i="18"/>
  <c r="P11" i="18"/>
  <c r="Q11" i="18"/>
  <c r="R11" i="18"/>
  <c r="S11" i="18"/>
  <c r="L12" i="18"/>
  <c r="M12" i="18"/>
  <c r="N12" i="18"/>
  <c r="O12" i="18"/>
  <c r="P12" i="18"/>
  <c r="Q12" i="18"/>
  <c r="R12" i="18"/>
  <c r="S12" i="18"/>
  <c r="L13" i="18"/>
  <c r="M13" i="18"/>
  <c r="N13" i="18"/>
  <c r="O13" i="18"/>
  <c r="P13" i="18"/>
  <c r="Q13" i="18"/>
  <c r="R13" i="18"/>
  <c r="S13" i="18"/>
  <c r="L14" i="18"/>
  <c r="M14" i="18"/>
  <c r="N14" i="18"/>
  <c r="O14" i="18"/>
  <c r="P14" i="18"/>
  <c r="Q14" i="18"/>
  <c r="R14" i="18"/>
  <c r="S14" i="18"/>
  <c r="L15" i="18"/>
  <c r="M15" i="18"/>
  <c r="N15" i="18"/>
  <c r="O15" i="18"/>
  <c r="P15" i="18"/>
  <c r="Q15" i="18"/>
  <c r="R15" i="18"/>
  <c r="S15" i="18"/>
  <c r="L16" i="18"/>
  <c r="M16" i="18"/>
  <c r="N16" i="18"/>
  <c r="O16" i="18"/>
  <c r="P16" i="18"/>
  <c r="Q16" i="18"/>
  <c r="R16" i="18"/>
  <c r="S16" i="18"/>
  <c r="L17" i="18"/>
  <c r="M17" i="18"/>
  <c r="N17" i="18"/>
  <c r="O17" i="18"/>
  <c r="P17" i="18"/>
  <c r="Q17" i="18"/>
  <c r="R17" i="18"/>
  <c r="S17" i="18"/>
  <c r="L18" i="18"/>
  <c r="M18" i="18"/>
  <c r="N18" i="18"/>
  <c r="O18" i="18"/>
  <c r="P18" i="18"/>
  <c r="Q18" i="18"/>
  <c r="R18" i="18"/>
  <c r="S18" i="18"/>
  <c r="L19" i="18"/>
  <c r="M19" i="18"/>
  <c r="N19" i="18"/>
  <c r="O19" i="18"/>
  <c r="P19" i="18"/>
  <c r="Q19" i="18"/>
  <c r="R19" i="18"/>
  <c r="S19" i="18"/>
  <c r="L20" i="18"/>
  <c r="M20" i="18"/>
  <c r="N20" i="18"/>
  <c r="O20" i="18"/>
  <c r="P20" i="18"/>
  <c r="Q20" i="18"/>
  <c r="R20" i="18"/>
  <c r="S20" i="18"/>
  <c r="L21" i="18"/>
  <c r="M21" i="18"/>
  <c r="N21" i="18"/>
  <c r="O21" i="18"/>
  <c r="P21" i="18"/>
  <c r="Q21" i="18"/>
  <c r="R21" i="18"/>
  <c r="S21" i="18"/>
  <c r="L22" i="18"/>
  <c r="M22" i="18"/>
  <c r="N22" i="18"/>
  <c r="O22" i="18"/>
  <c r="P22" i="18"/>
  <c r="Q22" i="18"/>
  <c r="R22" i="18"/>
  <c r="S22" i="18"/>
  <c r="L23" i="18"/>
  <c r="M23" i="18"/>
  <c r="N23" i="18"/>
  <c r="O23" i="18"/>
  <c r="P23" i="18"/>
  <c r="Q23" i="18"/>
  <c r="R23" i="18"/>
  <c r="S23" i="18"/>
  <c r="L24" i="18"/>
  <c r="M24" i="18"/>
  <c r="N24" i="18"/>
  <c r="O24" i="18"/>
  <c r="P24" i="18"/>
  <c r="Q24" i="18"/>
  <c r="R24" i="18"/>
  <c r="S24" i="18"/>
  <c r="L25" i="18"/>
  <c r="M25" i="18"/>
  <c r="N25" i="18"/>
  <c r="O25" i="18"/>
  <c r="P25" i="18"/>
  <c r="Q25" i="18"/>
  <c r="R25" i="18"/>
  <c r="S25" i="18"/>
  <c r="L26" i="18"/>
  <c r="M26" i="18"/>
  <c r="N26" i="18"/>
  <c r="O26" i="18"/>
  <c r="P26" i="18"/>
  <c r="Q26" i="18"/>
  <c r="R26" i="18"/>
  <c r="S26" i="18"/>
  <c r="L27" i="18"/>
  <c r="M27" i="18"/>
  <c r="N27" i="18"/>
  <c r="O27" i="18"/>
  <c r="P27" i="18"/>
  <c r="Q27" i="18"/>
  <c r="R27" i="18"/>
  <c r="S27" i="18"/>
  <c r="L28" i="18"/>
  <c r="M28" i="18"/>
  <c r="N28" i="18"/>
  <c r="O28" i="18"/>
  <c r="P28" i="18"/>
  <c r="Q28" i="18"/>
  <c r="R28" i="18"/>
  <c r="S28" i="18"/>
  <c r="L29" i="18"/>
  <c r="M29" i="18"/>
  <c r="N29" i="18"/>
  <c r="O29" i="18"/>
  <c r="P29" i="18"/>
  <c r="Q29" i="18"/>
  <c r="R29" i="18"/>
  <c r="S29" i="18"/>
  <c r="L30" i="18"/>
  <c r="M30" i="18"/>
  <c r="N30" i="18"/>
  <c r="O30" i="18"/>
  <c r="P30" i="18"/>
  <c r="Q30" i="18"/>
  <c r="R30" i="18"/>
  <c r="S30" i="18"/>
  <c r="L31" i="18"/>
  <c r="M31" i="18"/>
  <c r="N31" i="18"/>
  <c r="O31" i="18"/>
  <c r="P31" i="18"/>
  <c r="Q31" i="18"/>
  <c r="R31" i="18"/>
  <c r="S31" i="18"/>
  <c r="L32" i="18"/>
  <c r="M32" i="18"/>
  <c r="N32" i="18"/>
  <c r="O32" i="18"/>
  <c r="P32" i="18"/>
  <c r="Q32" i="18"/>
  <c r="R32" i="18"/>
  <c r="S32" i="18"/>
  <c r="L33" i="18"/>
  <c r="M33" i="18"/>
  <c r="N33" i="18"/>
  <c r="O33" i="18"/>
  <c r="P33" i="18"/>
  <c r="Q33" i="18"/>
  <c r="R33" i="18"/>
  <c r="S33" i="18"/>
  <c r="L34" i="18"/>
  <c r="M34" i="18"/>
  <c r="N34" i="18"/>
  <c r="O34" i="18"/>
  <c r="P34" i="18"/>
  <c r="Q34" i="18"/>
  <c r="R34" i="18"/>
  <c r="S34" i="18"/>
  <c r="L35" i="18"/>
  <c r="M35" i="18"/>
  <c r="N35" i="18"/>
  <c r="O35" i="18"/>
  <c r="P35" i="18"/>
  <c r="Q35" i="18"/>
  <c r="R35" i="18"/>
  <c r="S35" i="18"/>
  <c r="L36" i="18"/>
  <c r="M36" i="18"/>
  <c r="N36" i="18"/>
  <c r="O36" i="18"/>
  <c r="P36" i="18"/>
  <c r="Q36" i="18"/>
  <c r="R36" i="18"/>
  <c r="S36" i="18"/>
  <c r="L37" i="18"/>
  <c r="M37" i="18"/>
  <c r="N37" i="18"/>
  <c r="O37" i="18"/>
  <c r="P37" i="18"/>
  <c r="Q37" i="18"/>
  <c r="R37" i="18"/>
  <c r="S37" i="18"/>
  <c r="L38" i="18"/>
  <c r="M38" i="18"/>
  <c r="N38" i="18"/>
  <c r="O38" i="18"/>
  <c r="P38" i="18"/>
  <c r="Q38" i="18"/>
  <c r="R38" i="18"/>
  <c r="S38" i="18"/>
  <c r="L39" i="18"/>
  <c r="M39" i="18"/>
  <c r="N39" i="18"/>
  <c r="O39" i="18"/>
  <c r="P39" i="18"/>
  <c r="Q39" i="18"/>
  <c r="R39" i="18"/>
  <c r="S39" i="18"/>
  <c r="L40" i="18"/>
  <c r="M40" i="18"/>
  <c r="N40" i="18"/>
  <c r="O40" i="18"/>
  <c r="P40" i="18"/>
  <c r="Q40" i="18"/>
  <c r="R40" i="18"/>
  <c r="S40" i="18"/>
  <c r="L41" i="18"/>
  <c r="M41" i="18"/>
  <c r="N41" i="18"/>
  <c r="O41" i="18"/>
  <c r="P41" i="18"/>
  <c r="Q41" i="18"/>
  <c r="R41" i="18"/>
  <c r="S41" i="18"/>
  <c r="L42" i="18"/>
  <c r="M42" i="18"/>
  <c r="N42" i="18"/>
  <c r="O42" i="18"/>
  <c r="P42" i="18"/>
  <c r="Q42" i="18"/>
  <c r="R42" i="18"/>
  <c r="S42" i="18"/>
  <c r="L43" i="18"/>
  <c r="M43" i="18"/>
  <c r="N43" i="18"/>
  <c r="O43" i="18"/>
  <c r="P43" i="18"/>
  <c r="Q43" i="18"/>
  <c r="R43" i="18"/>
  <c r="S43" i="18"/>
  <c r="L44" i="18"/>
  <c r="M44" i="18"/>
  <c r="N44" i="18"/>
  <c r="O44" i="18"/>
  <c r="P44" i="18"/>
  <c r="Q44" i="18"/>
  <c r="R44" i="18"/>
  <c r="S44" i="18"/>
  <c r="L45" i="18"/>
  <c r="M45" i="18"/>
  <c r="N45" i="18"/>
  <c r="O45" i="18"/>
  <c r="P45" i="18"/>
  <c r="Q45" i="18"/>
  <c r="R45" i="18"/>
  <c r="S45" i="18"/>
  <c r="L46" i="18"/>
  <c r="M46" i="18"/>
  <c r="N46" i="18"/>
  <c r="O46" i="18"/>
  <c r="P46" i="18"/>
  <c r="Q46" i="18"/>
  <c r="R46" i="18"/>
  <c r="S46" i="18"/>
  <c r="L47" i="18"/>
  <c r="M47" i="18"/>
  <c r="N47" i="18"/>
  <c r="O47" i="18"/>
  <c r="P47" i="18"/>
  <c r="Q47" i="18"/>
  <c r="R47" i="18"/>
  <c r="S47" i="18"/>
  <c r="L48" i="18"/>
  <c r="M48" i="18"/>
  <c r="N48" i="18"/>
  <c r="O48" i="18"/>
  <c r="P48" i="18"/>
  <c r="Q48" i="18"/>
  <c r="R48" i="18"/>
  <c r="S48" i="18"/>
  <c r="L49" i="18"/>
  <c r="M49" i="18"/>
  <c r="N49" i="18"/>
  <c r="O49" i="18"/>
  <c r="P49" i="18"/>
  <c r="Q49" i="18"/>
  <c r="R49" i="18"/>
  <c r="S49" i="18"/>
  <c r="L50" i="18"/>
  <c r="M50" i="18"/>
  <c r="N50" i="18"/>
  <c r="O50" i="18"/>
  <c r="P50" i="18"/>
  <c r="Q50" i="18"/>
  <c r="R50" i="18"/>
  <c r="S50" i="18"/>
  <c r="L51" i="18"/>
  <c r="M51" i="18"/>
  <c r="N51" i="18"/>
  <c r="O51" i="18"/>
  <c r="P51" i="18"/>
  <c r="Q51" i="18"/>
  <c r="R51" i="18"/>
  <c r="S51" i="18"/>
  <c r="L52" i="18"/>
  <c r="M52" i="18"/>
  <c r="N52" i="18"/>
  <c r="O52" i="18"/>
  <c r="P52" i="18"/>
  <c r="Q52" i="18"/>
  <c r="R52" i="18"/>
  <c r="S52" i="18"/>
  <c r="L53" i="18"/>
  <c r="M53" i="18"/>
  <c r="N53" i="18"/>
  <c r="O53" i="18"/>
  <c r="P53" i="18"/>
  <c r="Q53" i="18"/>
  <c r="R53" i="18"/>
  <c r="S53" i="18"/>
  <c r="L54" i="18"/>
  <c r="M54" i="18"/>
  <c r="N54" i="18"/>
  <c r="O54" i="18"/>
  <c r="P54" i="18"/>
  <c r="Q54" i="18"/>
  <c r="R54" i="18"/>
  <c r="S54" i="18"/>
  <c r="L55" i="18"/>
  <c r="M55" i="18"/>
  <c r="N55" i="18"/>
  <c r="O55" i="18"/>
  <c r="P55" i="18"/>
  <c r="Q55" i="18"/>
  <c r="R55" i="18"/>
  <c r="S55" i="18"/>
  <c r="L56" i="18"/>
  <c r="M56" i="18"/>
  <c r="N56" i="18"/>
  <c r="O56" i="18"/>
  <c r="P56" i="18"/>
  <c r="Q56" i="18"/>
  <c r="R56" i="18"/>
  <c r="S56" i="18"/>
  <c r="L57" i="18"/>
  <c r="M57" i="18"/>
  <c r="N57" i="18"/>
  <c r="O57" i="18"/>
  <c r="P57" i="18"/>
  <c r="Q57" i="18"/>
  <c r="R57" i="18"/>
  <c r="S57" i="18"/>
  <c r="L58" i="18"/>
  <c r="M58" i="18"/>
  <c r="N58" i="18"/>
  <c r="O58" i="18"/>
  <c r="P58" i="18"/>
  <c r="Q58" i="18"/>
  <c r="R58" i="18"/>
  <c r="S58" i="18"/>
  <c r="L59" i="18"/>
  <c r="M59" i="18"/>
  <c r="N59" i="18"/>
  <c r="O59" i="18"/>
  <c r="P59" i="18"/>
  <c r="Q59" i="18"/>
  <c r="R59" i="18"/>
  <c r="S59" i="18"/>
  <c r="L60" i="18"/>
  <c r="M60" i="18"/>
  <c r="N60" i="18"/>
  <c r="O60" i="18"/>
  <c r="P60" i="18"/>
  <c r="Q60" i="18"/>
  <c r="R60" i="18"/>
  <c r="S60" i="18"/>
  <c r="L61" i="18"/>
  <c r="M61" i="18"/>
  <c r="N61" i="18"/>
  <c r="O61" i="18"/>
  <c r="P61" i="18"/>
  <c r="Q61" i="18"/>
  <c r="R61" i="18"/>
  <c r="S61" i="18"/>
  <c r="L62" i="18"/>
  <c r="M62" i="18"/>
  <c r="N62" i="18"/>
  <c r="O62" i="18"/>
  <c r="P62" i="18"/>
  <c r="Q62" i="18"/>
  <c r="R62" i="18"/>
  <c r="S62" i="18"/>
  <c r="L63" i="18"/>
  <c r="M63" i="18"/>
  <c r="N63" i="18"/>
  <c r="O63" i="18"/>
  <c r="P63" i="18"/>
  <c r="Q63" i="18"/>
  <c r="R63" i="18"/>
  <c r="S63" i="18"/>
  <c r="L64" i="18"/>
  <c r="M64" i="18"/>
  <c r="N64" i="18"/>
  <c r="O64" i="18"/>
  <c r="P64" i="18"/>
  <c r="Q64" i="18"/>
  <c r="R64" i="18"/>
  <c r="S64" i="18"/>
  <c r="L65" i="18"/>
  <c r="M65" i="18"/>
  <c r="N65" i="18"/>
  <c r="O65" i="18"/>
  <c r="P65" i="18"/>
  <c r="Q65" i="18"/>
  <c r="R65" i="18"/>
  <c r="S65" i="18"/>
  <c r="L66" i="18"/>
  <c r="M66" i="18"/>
  <c r="N66" i="18"/>
  <c r="O66" i="18"/>
  <c r="P66" i="18"/>
  <c r="Q66" i="18"/>
  <c r="R66" i="18"/>
  <c r="S66" i="18"/>
  <c r="L67" i="18"/>
  <c r="M67" i="18"/>
  <c r="N67" i="18"/>
  <c r="O67" i="18"/>
  <c r="P67" i="18"/>
  <c r="Q67" i="18"/>
  <c r="R67" i="18"/>
  <c r="S67" i="18"/>
  <c r="L68" i="18"/>
  <c r="M68" i="18"/>
  <c r="N68" i="18"/>
  <c r="O68" i="18"/>
  <c r="P68" i="18"/>
  <c r="Q68" i="18"/>
  <c r="R68" i="18"/>
  <c r="S68" i="18"/>
  <c r="L69" i="18"/>
  <c r="M69" i="18"/>
  <c r="N69" i="18"/>
  <c r="O69" i="18"/>
  <c r="P69" i="18"/>
  <c r="Q69" i="18"/>
  <c r="R69" i="18"/>
  <c r="S69" i="18"/>
  <c r="L70" i="18"/>
  <c r="M70" i="18"/>
  <c r="N70" i="18"/>
  <c r="O70" i="18"/>
  <c r="P70" i="18"/>
  <c r="Q70" i="18"/>
  <c r="R70" i="18"/>
  <c r="S70" i="18"/>
  <c r="L71" i="18"/>
  <c r="M71" i="18"/>
  <c r="N71" i="18"/>
  <c r="O71" i="18"/>
  <c r="P71" i="18"/>
  <c r="Q71" i="18"/>
  <c r="R71" i="18"/>
  <c r="S71" i="18"/>
  <c r="L72" i="18"/>
  <c r="M72" i="18"/>
  <c r="N72" i="18"/>
  <c r="O72" i="18"/>
  <c r="P72" i="18"/>
  <c r="Q72" i="18"/>
  <c r="R72" i="18"/>
  <c r="S72" i="18"/>
  <c r="L73" i="18"/>
  <c r="M73" i="18"/>
  <c r="N73" i="18"/>
  <c r="O73" i="18"/>
  <c r="P73" i="18"/>
  <c r="Q73" i="18"/>
  <c r="R73" i="18"/>
  <c r="S73" i="18"/>
  <c r="L74" i="18"/>
  <c r="M74" i="18"/>
  <c r="N74" i="18"/>
  <c r="O74" i="18"/>
  <c r="P74" i="18"/>
  <c r="Q74" i="18"/>
  <c r="R74" i="18"/>
  <c r="S74" i="18"/>
  <c r="L75" i="18"/>
  <c r="M75" i="18"/>
  <c r="N75" i="18"/>
  <c r="O75" i="18"/>
  <c r="P75" i="18"/>
  <c r="Q75" i="18"/>
  <c r="R75" i="18"/>
  <c r="S75" i="18"/>
  <c r="L76" i="18"/>
  <c r="M76" i="18"/>
  <c r="N76" i="18"/>
  <c r="O76" i="18"/>
  <c r="P76" i="18"/>
  <c r="Q76" i="18"/>
  <c r="R76" i="18"/>
  <c r="S76" i="18"/>
  <c r="L77" i="18"/>
  <c r="M77" i="18"/>
  <c r="N77" i="18"/>
  <c r="O77" i="18"/>
  <c r="P77" i="18"/>
  <c r="Q77" i="18"/>
  <c r="R77" i="18"/>
  <c r="S77" i="18"/>
  <c r="L78" i="18"/>
  <c r="M78" i="18"/>
  <c r="N78" i="18"/>
  <c r="O78" i="18"/>
  <c r="P78" i="18"/>
  <c r="Q78" i="18"/>
  <c r="R78" i="18"/>
  <c r="S78" i="18"/>
  <c r="L79" i="18"/>
  <c r="M79" i="18"/>
  <c r="N79" i="18"/>
  <c r="O79" i="18"/>
  <c r="P79" i="18"/>
  <c r="Q79" i="18"/>
  <c r="R79" i="18"/>
  <c r="S79" i="18"/>
  <c r="L80" i="18"/>
  <c r="M80" i="18"/>
  <c r="N80" i="18"/>
  <c r="O80" i="18"/>
  <c r="P80" i="18"/>
  <c r="Q80" i="18"/>
  <c r="R80" i="18"/>
  <c r="S80" i="18"/>
  <c r="L81" i="18"/>
  <c r="M81" i="18"/>
  <c r="N81" i="18"/>
  <c r="O81" i="18"/>
  <c r="P81" i="18"/>
  <c r="Q81" i="18"/>
  <c r="R81" i="18"/>
  <c r="S81" i="18"/>
  <c r="L82" i="18"/>
  <c r="M82" i="18"/>
  <c r="N82" i="18"/>
  <c r="O82" i="18"/>
  <c r="P82" i="18"/>
  <c r="Q82" i="18"/>
  <c r="R82" i="18"/>
  <c r="S82" i="18"/>
  <c r="L83" i="18"/>
  <c r="M83" i="18"/>
  <c r="N83" i="18"/>
  <c r="O83" i="18"/>
  <c r="P83" i="18"/>
  <c r="Q83" i="18"/>
  <c r="R83" i="18"/>
  <c r="S83" i="18"/>
  <c r="L84" i="18"/>
  <c r="M84" i="18"/>
  <c r="N84" i="18"/>
  <c r="O84" i="18"/>
  <c r="P84" i="18"/>
  <c r="Q84" i="18"/>
  <c r="R84" i="18"/>
  <c r="S84" i="18"/>
  <c r="L85" i="18"/>
  <c r="M85" i="18"/>
  <c r="N85" i="18"/>
  <c r="O85" i="18"/>
  <c r="P85" i="18"/>
  <c r="Q85" i="18"/>
  <c r="R85" i="18"/>
  <c r="S85" i="18"/>
  <c r="L86" i="18"/>
  <c r="M86" i="18"/>
  <c r="N86" i="18"/>
  <c r="O86" i="18"/>
  <c r="P86" i="18"/>
  <c r="Q86" i="18"/>
  <c r="R86" i="18"/>
  <c r="S86" i="18"/>
  <c r="L87" i="18"/>
  <c r="M87" i="18"/>
  <c r="N87" i="18"/>
  <c r="O87" i="18"/>
  <c r="P87" i="18"/>
  <c r="Q87" i="18"/>
  <c r="R87" i="18"/>
  <c r="S87" i="18"/>
  <c r="L88" i="18"/>
  <c r="M88" i="18"/>
  <c r="N88" i="18"/>
  <c r="O88" i="18"/>
  <c r="P88" i="18"/>
  <c r="Q88" i="18"/>
  <c r="R88" i="18"/>
  <c r="S88" i="18"/>
  <c r="L89" i="18"/>
  <c r="M89" i="18"/>
  <c r="N89" i="18"/>
  <c r="O89" i="18"/>
  <c r="P89" i="18"/>
  <c r="Q89" i="18"/>
  <c r="R89" i="18"/>
  <c r="S89" i="18"/>
  <c r="L90" i="18"/>
  <c r="M90" i="18"/>
  <c r="N90" i="18"/>
  <c r="O90" i="18"/>
  <c r="P90" i="18"/>
  <c r="Q90" i="18"/>
  <c r="R90" i="18"/>
  <c r="S90" i="18"/>
  <c r="L91" i="18"/>
  <c r="M91" i="18"/>
  <c r="N91" i="18"/>
  <c r="O91" i="18"/>
  <c r="P91" i="18"/>
  <c r="Q91" i="18"/>
  <c r="R91" i="18"/>
  <c r="S91" i="18"/>
  <c r="L92" i="18"/>
  <c r="M92" i="18"/>
  <c r="N92" i="18"/>
  <c r="O92" i="18"/>
  <c r="P92" i="18"/>
  <c r="Q92" i="18"/>
  <c r="R92" i="18"/>
  <c r="S92" i="18"/>
  <c r="L93" i="18"/>
  <c r="M93" i="18"/>
  <c r="N93" i="18"/>
  <c r="O93" i="18"/>
  <c r="P93" i="18"/>
  <c r="Q93" i="18"/>
  <c r="R93" i="18"/>
  <c r="S93" i="18"/>
  <c r="L94" i="18"/>
  <c r="M94" i="18"/>
  <c r="N94" i="18"/>
  <c r="O94" i="18"/>
  <c r="P94" i="18"/>
  <c r="Q94" i="18"/>
  <c r="R94" i="18"/>
  <c r="S94" i="18"/>
  <c r="L95" i="18"/>
  <c r="M95" i="18"/>
  <c r="N95" i="18"/>
  <c r="O95" i="18"/>
  <c r="P95" i="18"/>
  <c r="Q95" i="18"/>
  <c r="R95" i="18"/>
  <c r="S95" i="18"/>
  <c r="L96" i="18"/>
  <c r="M96" i="18"/>
  <c r="N96" i="18"/>
  <c r="O96" i="18"/>
  <c r="P96" i="18"/>
  <c r="Q96" i="18"/>
  <c r="R96" i="18"/>
  <c r="S96" i="18"/>
  <c r="L97" i="18"/>
  <c r="M97" i="18"/>
  <c r="N97" i="18"/>
  <c r="O97" i="18"/>
  <c r="P97" i="18"/>
  <c r="Q97" i="18"/>
  <c r="R97" i="18"/>
  <c r="S97" i="18"/>
  <c r="L98" i="18"/>
  <c r="M98" i="18"/>
  <c r="N98" i="18"/>
  <c r="O98" i="18"/>
  <c r="P98" i="18"/>
  <c r="Q98" i="18"/>
  <c r="R98" i="18"/>
  <c r="S98" i="18"/>
  <c r="L99" i="18"/>
  <c r="M99" i="18"/>
  <c r="N99" i="18"/>
  <c r="O99" i="18"/>
  <c r="P99" i="18"/>
  <c r="Q99" i="18"/>
  <c r="R99" i="18"/>
  <c r="S99" i="18"/>
  <c r="L100" i="18"/>
  <c r="M100" i="18"/>
  <c r="N100" i="18"/>
  <c r="O100" i="18"/>
  <c r="P100" i="18"/>
  <c r="Q100" i="18"/>
  <c r="R100" i="18"/>
  <c r="S100" i="18"/>
  <c r="L101" i="18"/>
  <c r="M101" i="18"/>
  <c r="N101" i="18"/>
  <c r="O101" i="18"/>
  <c r="P101" i="18"/>
  <c r="Q101" i="18"/>
  <c r="R101" i="18"/>
  <c r="S101" i="18"/>
  <c r="L102" i="18"/>
  <c r="M102" i="18"/>
  <c r="N102" i="18"/>
  <c r="O102" i="18"/>
  <c r="P102" i="18"/>
  <c r="Q102" i="18"/>
  <c r="R102" i="18"/>
  <c r="S102" i="18"/>
  <c r="L103" i="18"/>
  <c r="M103" i="18"/>
  <c r="N103" i="18"/>
  <c r="O103" i="18"/>
  <c r="P103" i="18"/>
  <c r="Q103" i="18"/>
  <c r="R103" i="18"/>
  <c r="S103" i="18"/>
  <c r="L104" i="18"/>
  <c r="M104" i="18"/>
  <c r="N104" i="18"/>
  <c r="O104" i="18"/>
  <c r="P104" i="18"/>
  <c r="Q104" i="18"/>
  <c r="R104" i="18"/>
  <c r="S104" i="18"/>
  <c r="L105" i="18"/>
  <c r="M105" i="18"/>
  <c r="N105" i="18"/>
  <c r="O105" i="18"/>
  <c r="P105" i="18"/>
  <c r="Q105" i="18"/>
  <c r="R105" i="18"/>
  <c r="S105" i="18"/>
  <c r="L106" i="18"/>
  <c r="M106" i="18"/>
  <c r="N106" i="18"/>
  <c r="O106" i="18"/>
  <c r="P106" i="18"/>
  <c r="Q106" i="18"/>
  <c r="R106" i="18"/>
  <c r="S106" i="18"/>
  <c r="L107" i="18"/>
  <c r="M107" i="18"/>
  <c r="N107" i="18"/>
  <c r="O107" i="18"/>
  <c r="P107" i="18"/>
  <c r="Q107" i="18"/>
  <c r="R107" i="18"/>
  <c r="S107" i="18"/>
  <c r="L108" i="18"/>
  <c r="M108" i="18"/>
  <c r="N108" i="18"/>
  <c r="O108" i="18"/>
  <c r="P108" i="18"/>
  <c r="Q108" i="18"/>
  <c r="R108" i="18"/>
  <c r="S108" i="18"/>
  <c r="L109" i="18"/>
  <c r="M109" i="18"/>
  <c r="N109" i="18"/>
  <c r="O109" i="18"/>
  <c r="P109" i="18"/>
  <c r="Q109" i="18"/>
  <c r="R109" i="18"/>
  <c r="S109" i="18"/>
  <c r="L110" i="18"/>
  <c r="M110" i="18"/>
  <c r="N110" i="18"/>
  <c r="O110" i="18"/>
  <c r="P110" i="18"/>
  <c r="Q110" i="18"/>
  <c r="R110" i="18"/>
  <c r="S110" i="18"/>
  <c r="L111" i="18"/>
  <c r="M111" i="18"/>
  <c r="N111" i="18"/>
  <c r="O111" i="18"/>
  <c r="P111" i="18"/>
  <c r="Q111" i="18"/>
  <c r="R111" i="18"/>
  <c r="S111" i="18"/>
  <c r="L112" i="18"/>
  <c r="M112" i="18"/>
  <c r="N112" i="18"/>
  <c r="O112" i="18"/>
  <c r="P112" i="18"/>
  <c r="Q112" i="18"/>
  <c r="R112" i="18"/>
  <c r="S112" i="18"/>
  <c r="L113" i="18"/>
  <c r="M113" i="18"/>
  <c r="N113" i="18"/>
  <c r="O113" i="18"/>
  <c r="P113" i="18"/>
  <c r="Q113" i="18"/>
  <c r="R113" i="18"/>
  <c r="S113" i="18"/>
  <c r="L114" i="18"/>
  <c r="M114" i="18"/>
  <c r="N114" i="18"/>
  <c r="O114" i="18"/>
  <c r="P114" i="18"/>
  <c r="Q114" i="18"/>
  <c r="R114" i="18"/>
  <c r="S114" i="18"/>
  <c r="L115" i="18"/>
  <c r="M115" i="18"/>
  <c r="N115" i="18"/>
  <c r="O115" i="18"/>
  <c r="P115" i="18"/>
  <c r="Q115" i="18"/>
  <c r="R115" i="18"/>
  <c r="S115" i="18"/>
  <c r="L116" i="18"/>
  <c r="M116" i="18"/>
  <c r="N116" i="18"/>
  <c r="O116" i="18"/>
  <c r="P116" i="18"/>
  <c r="Q116" i="18"/>
  <c r="R116" i="18"/>
  <c r="S116" i="18"/>
  <c r="L117" i="18"/>
  <c r="M117" i="18"/>
  <c r="N117" i="18"/>
  <c r="O117" i="18"/>
  <c r="P117" i="18"/>
  <c r="Q117" i="18"/>
  <c r="R117" i="18"/>
  <c r="S117" i="18"/>
  <c r="L118" i="18"/>
  <c r="M118" i="18"/>
  <c r="N118" i="18"/>
  <c r="O118" i="18"/>
  <c r="P118" i="18"/>
  <c r="Q118" i="18"/>
  <c r="R118" i="18"/>
  <c r="S118" i="18"/>
  <c r="L119" i="18"/>
  <c r="M119" i="18"/>
  <c r="N119" i="18"/>
  <c r="O119" i="18"/>
  <c r="P119" i="18"/>
  <c r="Q119" i="18"/>
  <c r="R119" i="18"/>
  <c r="S119" i="18"/>
  <c r="L120" i="18"/>
  <c r="M120" i="18"/>
  <c r="N120" i="18"/>
  <c r="O120" i="18"/>
  <c r="P120" i="18"/>
  <c r="Q120" i="18"/>
  <c r="R120" i="18"/>
  <c r="S120" i="18"/>
  <c r="L121" i="18"/>
  <c r="M121" i="18"/>
  <c r="N121" i="18"/>
  <c r="O121" i="18"/>
  <c r="P121" i="18"/>
  <c r="Q121" i="18"/>
  <c r="R121" i="18"/>
  <c r="S121" i="18"/>
  <c r="L122" i="18"/>
  <c r="M122" i="18"/>
  <c r="N122" i="18"/>
  <c r="O122" i="18"/>
  <c r="P122" i="18"/>
  <c r="Q122" i="18"/>
  <c r="R122" i="18"/>
  <c r="S122" i="18"/>
  <c r="L123" i="18"/>
  <c r="M123" i="18"/>
  <c r="N123" i="18"/>
  <c r="O123" i="18"/>
  <c r="P123" i="18"/>
  <c r="Q123" i="18"/>
  <c r="R123" i="18"/>
  <c r="S123" i="18"/>
  <c r="L124" i="18"/>
  <c r="M124" i="18"/>
  <c r="N124" i="18"/>
  <c r="O124" i="18"/>
  <c r="P124" i="18"/>
  <c r="Q124" i="18"/>
  <c r="R124" i="18"/>
  <c r="S124" i="18"/>
  <c r="L125" i="18"/>
  <c r="M125" i="18"/>
  <c r="N125" i="18"/>
  <c r="O125" i="18"/>
  <c r="P125" i="18"/>
  <c r="Q125" i="18"/>
  <c r="R125" i="18"/>
  <c r="S125" i="18"/>
  <c r="L126" i="18"/>
  <c r="M126" i="18"/>
  <c r="N126" i="18"/>
  <c r="O126" i="18"/>
  <c r="P126" i="18"/>
  <c r="Q126" i="18"/>
  <c r="R126" i="18"/>
  <c r="S126" i="18"/>
  <c r="L127" i="18"/>
  <c r="M127" i="18"/>
  <c r="N127" i="18"/>
  <c r="O127" i="18"/>
  <c r="P127" i="18"/>
  <c r="Q127" i="18"/>
  <c r="R127" i="18"/>
  <c r="S127" i="18"/>
  <c r="L128" i="18"/>
  <c r="M128" i="18"/>
  <c r="N128" i="18"/>
  <c r="O128" i="18"/>
  <c r="P128" i="18"/>
  <c r="Q128" i="18"/>
  <c r="R128" i="18"/>
  <c r="S128" i="18"/>
  <c r="L129" i="18"/>
  <c r="M129" i="18"/>
  <c r="N129" i="18"/>
  <c r="O129" i="18"/>
  <c r="P129" i="18"/>
  <c r="Q129" i="18"/>
  <c r="R129" i="18"/>
  <c r="S129" i="18"/>
  <c r="L130" i="18"/>
  <c r="M130" i="18"/>
  <c r="N130" i="18"/>
  <c r="O130" i="18"/>
  <c r="P130" i="18"/>
  <c r="Q130" i="18"/>
  <c r="R130" i="18"/>
  <c r="S130" i="18"/>
  <c r="L131" i="18"/>
  <c r="M131" i="18"/>
  <c r="N131" i="18"/>
  <c r="O131" i="18"/>
  <c r="P131" i="18"/>
  <c r="Q131" i="18"/>
  <c r="R131" i="18"/>
  <c r="S131" i="18"/>
  <c r="L132" i="18"/>
  <c r="M132" i="18"/>
  <c r="N132" i="18"/>
  <c r="O132" i="18"/>
  <c r="P132" i="18"/>
  <c r="Q132" i="18"/>
  <c r="R132" i="18"/>
  <c r="S132" i="18"/>
  <c r="L133" i="18"/>
  <c r="M133" i="18"/>
  <c r="N133" i="18"/>
  <c r="O133" i="18"/>
  <c r="P133" i="18"/>
  <c r="Q133" i="18"/>
  <c r="R133" i="18"/>
  <c r="S133" i="18"/>
  <c r="L134" i="18"/>
  <c r="M134" i="18"/>
  <c r="N134" i="18"/>
  <c r="O134" i="18"/>
  <c r="P134" i="18"/>
  <c r="Q134" i="18"/>
  <c r="R134" i="18"/>
  <c r="S134" i="18"/>
  <c r="L135" i="18"/>
  <c r="M135" i="18"/>
  <c r="N135" i="18"/>
  <c r="O135" i="18"/>
  <c r="P135" i="18"/>
  <c r="Q135" i="18"/>
  <c r="R135" i="18"/>
  <c r="S135" i="18"/>
  <c r="L136" i="18"/>
  <c r="M136" i="18"/>
  <c r="N136" i="18"/>
  <c r="O136" i="18"/>
  <c r="P136" i="18"/>
  <c r="Q136" i="18"/>
  <c r="R136" i="18"/>
  <c r="S136" i="18"/>
  <c r="L137" i="18"/>
  <c r="M137" i="18"/>
  <c r="N137" i="18"/>
  <c r="O137" i="18"/>
  <c r="P137" i="18"/>
  <c r="Q137" i="18"/>
  <c r="R137" i="18"/>
  <c r="S137" i="18"/>
  <c r="L138" i="18"/>
  <c r="M138" i="18"/>
  <c r="N138" i="18"/>
  <c r="O138" i="18"/>
  <c r="P138" i="18"/>
  <c r="Q138" i="18"/>
  <c r="R138" i="18"/>
  <c r="S138" i="18"/>
  <c r="L139" i="18"/>
  <c r="M139" i="18"/>
  <c r="N139" i="18"/>
  <c r="O139" i="18"/>
  <c r="P139" i="18"/>
  <c r="Q139" i="18"/>
  <c r="R139" i="18"/>
  <c r="S139" i="18"/>
  <c r="L140" i="18"/>
  <c r="M140" i="18"/>
  <c r="N140" i="18"/>
  <c r="O140" i="18"/>
  <c r="P140" i="18"/>
  <c r="Q140" i="18"/>
  <c r="R140" i="18"/>
  <c r="S140" i="18"/>
  <c r="L141" i="18"/>
  <c r="M141" i="18"/>
  <c r="N141" i="18"/>
  <c r="O141" i="18"/>
  <c r="P141" i="18"/>
  <c r="Q141" i="18"/>
  <c r="R141" i="18"/>
  <c r="S141" i="18"/>
  <c r="L142" i="18"/>
  <c r="M142" i="18"/>
  <c r="N142" i="18"/>
  <c r="O142" i="18"/>
  <c r="P142" i="18"/>
  <c r="Q142" i="18"/>
  <c r="R142" i="18"/>
  <c r="S142" i="18"/>
  <c r="L143" i="18"/>
  <c r="M143" i="18"/>
  <c r="N143" i="18"/>
  <c r="O143" i="18"/>
  <c r="P143" i="18"/>
  <c r="Q143" i="18"/>
  <c r="R143" i="18"/>
  <c r="S143" i="18"/>
  <c r="L144" i="18"/>
  <c r="M144" i="18"/>
  <c r="N144" i="18"/>
  <c r="O144" i="18"/>
  <c r="P144" i="18"/>
  <c r="Q144" i="18"/>
  <c r="R144" i="18"/>
  <c r="S144" i="18"/>
  <c r="L145" i="18"/>
  <c r="M145" i="18"/>
  <c r="N145" i="18"/>
  <c r="O145" i="18"/>
  <c r="P145" i="18"/>
  <c r="Q145" i="18"/>
  <c r="R145" i="18"/>
  <c r="S145" i="18"/>
  <c r="L146" i="18"/>
  <c r="M146" i="18"/>
  <c r="N146" i="18"/>
  <c r="O146" i="18"/>
  <c r="P146" i="18"/>
  <c r="Q146" i="18"/>
  <c r="R146" i="18"/>
  <c r="S146" i="18"/>
  <c r="L147" i="18"/>
  <c r="M147" i="18"/>
  <c r="N147" i="18"/>
  <c r="O147" i="18"/>
  <c r="P147" i="18"/>
  <c r="Q147" i="18"/>
  <c r="R147" i="18"/>
  <c r="S147" i="18"/>
  <c r="L148" i="18"/>
  <c r="M148" i="18"/>
  <c r="N148" i="18"/>
  <c r="O148" i="18"/>
  <c r="P148" i="18"/>
  <c r="Q148" i="18"/>
  <c r="R148" i="18"/>
  <c r="S148" i="18"/>
  <c r="L149" i="18"/>
  <c r="M149" i="18"/>
  <c r="N149" i="18"/>
  <c r="O149" i="18"/>
  <c r="P149" i="18"/>
  <c r="Q149" i="18"/>
  <c r="R149" i="18"/>
  <c r="S149" i="18"/>
  <c r="L150" i="18"/>
  <c r="M150" i="18"/>
  <c r="N150" i="18"/>
  <c r="O150" i="18"/>
  <c r="P150" i="18"/>
  <c r="Q150" i="18"/>
  <c r="R150" i="18"/>
  <c r="S150" i="18"/>
  <c r="L151" i="18"/>
  <c r="M151" i="18"/>
  <c r="N151" i="18"/>
  <c r="O151" i="18"/>
  <c r="P151" i="18"/>
  <c r="Q151" i="18"/>
  <c r="R151" i="18"/>
  <c r="S151" i="18"/>
  <c r="L152" i="18"/>
  <c r="M152" i="18"/>
  <c r="N152" i="18"/>
  <c r="O152" i="18"/>
  <c r="P152" i="18"/>
  <c r="Q152" i="18"/>
  <c r="R152" i="18"/>
  <c r="S152" i="18"/>
  <c r="L153" i="18"/>
  <c r="M153" i="18"/>
  <c r="N153" i="18"/>
  <c r="O153" i="18"/>
  <c r="P153" i="18"/>
  <c r="Q153" i="18"/>
  <c r="R153" i="18"/>
  <c r="S153" i="18"/>
  <c r="L154" i="18"/>
  <c r="M154" i="18"/>
  <c r="N154" i="18"/>
  <c r="O154" i="18"/>
  <c r="P154" i="18"/>
  <c r="Q154" i="18"/>
  <c r="R154" i="18"/>
  <c r="S154" i="18"/>
  <c r="L155" i="18"/>
  <c r="M155" i="18"/>
  <c r="N155" i="18"/>
  <c r="O155" i="18"/>
  <c r="P155" i="18"/>
  <c r="Q155" i="18"/>
  <c r="R155" i="18"/>
  <c r="S155" i="18"/>
  <c r="L156" i="18"/>
  <c r="M156" i="18"/>
  <c r="N156" i="18"/>
  <c r="O156" i="18"/>
  <c r="P156" i="18"/>
  <c r="Q156" i="18"/>
  <c r="R156" i="18"/>
  <c r="S156" i="18"/>
  <c r="L157" i="18"/>
  <c r="M157" i="18"/>
  <c r="N157" i="18"/>
  <c r="O157" i="18"/>
  <c r="P157" i="18"/>
  <c r="Q157" i="18"/>
  <c r="R157" i="18"/>
  <c r="S157" i="18"/>
  <c r="L158" i="18"/>
  <c r="M158" i="18"/>
  <c r="N158" i="18"/>
  <c r="O158" i="18"/>
  <c r="P158" i="18"/>
  <c r="Q158" i="18"/>
  <c r="R158" i="18"/>
  <c r="S158" i="18"/>
  <c r="L159" i="18"/>
  <c r="M159" i="18"/>
  <c r="N159" i="18"/>
  <c r="O159" i="18"/>
  <c r="P159" i="18"/>
  <c r="Q159" i="18"/>
  <c r="R159" i="18"/>
  <c r="S159" i="18"/>
  <c r="L160" i="18"/>
  <c r="M160" i="18"/>
  <c r="N160" i="18"/>
  <c r="O160" i="18"/>
  <c r="P160" i="18"/>
  <c r="Q160" i="18"/>
  <c r="R160" i="18"/>
  <c r="S160" i="18"/>
  <c r="L161" i="18"/>
  <c r="M161" i="18"/>
  <c r="N161" i="18"/>
  <c r="O161" i="18"/>
  <c r="P161" i="18"/>
  <c r="Q161" i="18"/>
  <c r="R161" i="18"/>
  <c r="S161" i="18"/>
  <c r="L162" i="18"/>
  <c r="M162" i="18"/>
  <c r="N162" i="18"/>
  <c r="O162" i="18"/>
  <c r="P162" i="18"/>
  <c r="Q162" i="18"/>
  <c r="R162" i="18"/>
  <c r="S162" i="18"/>
  <c r="L163" i="18"/>
  <c r="M163" i="18"/>
  <c r="N163" i="18"/>
  <c r="O163" i="18"/>
  <c r="P163" i="18"/>
  <c r="Q163" i="18"/>
  <c r="R163" i="18"/>
  <c r="S163" i="18"/>
  <c r="L164" i="18"/>
  <c r="M164" i="18"/>
  <c r="N164" i="18"/>
  <c r="O164" i="18"/>
  <c r="P164" i="18"/>
  <c r="Q164" i="18"/>
  <c r="R164" i="18"/>
  <c r="S164" i="18"/>
  <c r="L165" i="18"/>
  <c r="M165" i="18"/>
  <c r="N165" i="18"/>
  <c r="O165" i="18"/>
  <c r="P165" i="18"/>
  <c r="Q165" i="18"/>
  <c r="R165" i="18"/>
  <c r="S165" i="18"/>
  <c r="L166" i="18"/>
  <c r="M166" i="18"/>
  <c r="N166" i="18"/>
  <c r="O166" i="18"/>
  <c r="P166" i="18"/>
  <c r="Q166" i="18"/>
  <c r="R166" i="18"/>
  <c r="S166" i="18"/>
  <c r="L167" i="18"/>
  <c r="M167" i="18"/>
  <c r="N167" i="18"/>
  <c r="O167" i="18"/>
  <c r="P167" i="18"/>
  <c r="Q167" i="18"/>
  <c r="R167" i="18"/>
  <c r="S167" i="18"/>
  <c r="L168" i="18"/>
  <c r="M168" i="18"/>
  <c r="N168" i="18"/>
  <c r="O168" i="18"/>
  <c r="P168" i="18"/>
  <c r="Q168" i="18"/>
  <c r="R168" i="18"/>
  <c r="S168" i="18"/>
  <c r="L169" i="18"/>
  <c r="M169" i="18"/>
  <c r="N169" i="18"/>
  <c r="O169" i="18"/>
  <c r="P169" i="18"/>
  <c r="Q169" i="18"/>
  <c r="R169" i="18"/>
  <c r="S169" i="18"/>
  <c r="L170" i="18"/>
  <c r="M170" i="18"/>
  <c r="N170" i="18"/>
  <c r="O170" i="18"/>
  <c r="P170" i="18"/>
  <c r="Q170" i="18"/>
  <c r="R170" i="18"/>
  <c r="S170" i="18"/>
  <c r="L171" i="18"/>
  <c r="M171" i="18"/>
  <c r="N171" i="18"/>
  <c r="O171" i="18"/>
  <c r="P171" i="18"/>
  <c r="Q171" i="18"/>
  <c r="R171" i="18"/>
  <c r="S171" i="18"/>
  <c r="L172" i="18"/>
  <c r="M172" i="18"/>
  <c r="N172" i="18"/>
  <c r="O172" i="18"/>
  <c r="P172" i="18"/>
  <c r="Q172" i="18"/>
  <c r="R172" i="18"/>
  <c r="S172" i="18"/>
  <c r="L173" i="18"/>
  <c r="M173" i="18"/>
  <c r="N173" i="18"/>
  <c r="O173" i="18"/>
  <c r="P173" i="18"/>
  <c r="Q173" i="18"/>
  <c r="R173" i="18"/>
  <c r="S173" i="18"/>
  <c r="L174" i="18"/>
  <c r="M174" i="18"/>
  <c r="N174" i="18"/>
  <c r="O174" i="18"/>
  <c r="P174" i="18"/>
  <c r="Q174" i="18"/>
  <c r="R174" i="18"/>
  <c r="S174" i="18"/>
  <c r="L175" i="18"/>
  <c r="M175" i="18"/>
  <c r="N175" i="18"/>
  <c r="O175" i="18"/>
  <c r="P175" i="18"/>
  <c r="Q175" i="18"/>
  <c r="R175" i="18"/>
  <c r="S175" i="18"/>
  <c r="L176" i="18"/>
  <c r="M176" i="18"/>
  <c r="N176" i="18"/>
  <c r="O176" i="18"/>
  <c r="P176" i="18"/>
  <c r="Q176" i="18"/>
  <c r="R176" i="18"/>
  <c r="S176" i="18"/>
  <c r="L177" i="18"/>
  <c r="M177" i="18"/>
  <c r="N177" i="18"/>
  <c r="O177" i="18"/>
  <c r="P177" i="18"/>
  <c r="Q177" i="18"/>
  <c r="R177" i="18"/>
  <c r="S177" i="18"/>
  <c r="L178" i="18"/>
  <c r="M178" i="18"/>
  <c r="N178" i="18"/>
  <c r="O178" i="18"/>
  <c r="P178" i="18"/>
  <c r="Q178" i="18"/>
  <c r="R178" i="18"/>
  <c r="S178" i="18"/>
  <c r="L179" i="18"/>
  <c r="M179" i="18"/>
  <c r="N179" i="18"/>
  <c r="O179" i="18"/>
  <c r="P179" i="18"/>
  <c r="Q179" i="18"/>
  <c r="R179" i="18"/>
  <c r="S179" i="18"/>
  <c r="L180" i="18"/>
  <c r="M180" i="18"/>
  <c r="N180" i="18"/>
  <c r="O180" i="18"/>
  <c r="P180" i="18"/>
  <c r="Q180" i="18"/>
  <c r="R180" i="18"/>
  <c r="S180" i="18"/>
  <c r="L181" i="18"/>
  <c r="M181" i="18"/>
  <c r="N181" i="18"/>
  <c r="O181" i="18"/>
  <c r="P181" i="18"/>
  <c r="Q181" i="18"/>
  <c r="R181" i="18"/>
  <c r="S181" i="18"/>
  <c r="L182" i="18"/>
  <c r="M182" i="18"/>
  <c r="N182" i="18"/>
  <c r="O182" i="18"/>
  <c r="P182" i="18"/>
  <c r="Q182" i="18"/>
  <c r="R182" i="18"/>
  <c r="S182" i="18"/>
  <c r="L183" i="18"/>
  <c r="M183" i="18"/>
  <c r="N183" i="18"/>
  <c r="O183" i="18"/>
  <c r="P183" i="18"/>
  <c r="Q183" i="18"/>
  <c r="R183" i="18"/>
  <c r="S183" i="18"/>
  <c r="L184" i="18"/>
  <c r="M184" i="18"/>
  <c r="N184" i="18"/>
  <c r="O184" i="18"/>
  <c r="P184" i="18"/>
  <c r="Q184" i="18"/>
  <c r="R184" i="18"/>
  <c r="S184" i="18"/>
  <c r="L185" i="18"/>
  <c r="M185" i="18"/>
  <c r="N185" i="18"/>
  <c r="O185" i="18"/>
  <c r="P185" i="18"/>
  <c r="Q185" i="18"/>
  <c r="R185" i="18"/>
  <c r="S185" i="18"/>
  <c r="L186" i="18"/>
  <c r="M186" i="18"/>
  <c r="N186" i="18"/>
  <c r="O186" i="18"/>
  <c r="P186" i="18"/>
  <c r="Q186" i="18"/>
  <c r="R186" i="18"/>
  <c r="S186" i="18"/>
  <c r="L187" i="18"/>
  <c r="M187" i="18"/>
  <c r="N187" i="18"/>
  <c r="O187" i="18"/>
  <c r="P187" i="18"/>
  <c r="Q187" i="18"/>
  <c r="R187" i="18"/>
  <c r="S187" i="18"/>
  <c r="L188" i="18"/>
  <c r="M188" i="18"/>
  <c r="N188" i="18"/>
  <c r="O188" i="18"/>
  <c r="P188" i="18"/>
  <c r="Q188" i="18"/>
  <c r="R188" i="18"/>
  <c r="S188" i="18"/>
  <c r="L189" i="18"/>
  <c r="M189" i="18"/>
  <c r="N189" i="18"/>
  <c r="O189" i="18"/>
  <c r="P189" i="18"/>
  <c r="Q189" i="18"/>
  <c r="R189" i="18"/>
  <c r="S189" i="18"/>
  <c r="L190" i="18"/>
  <c r="M190" i="18"/>
  <c r="N190" i="18"/>
  <c r="O190" i="18"/>
  <c r="P190" i="18"/>
  <c r="Q190" i="18"/>
  <c r="R190" i="18"/>
  <c r="S190" i="18"/>
  <c r="L191" i="18"/>
  <c r="M191" i="18"/>
  <c r="N191" i="18"/>
  <c r="O191" i="18"/>
  <c r="P191" i="18"/>
  <c r="Q191" i="18"/>
  <c r="R191" i="18"/>
  <c r="S191" i="18"/>
  <c r="L192" i="18"/>
  <c r="M192" i="18"/>
  <c r="N192" i="18"/>
  <c r="O192" i="18"/>
  <c r="P192" i="18"/>
  <c r="Q192" i="18"/>
  <c r="R192" i="18"/>
  <c r="S192" i="18"/>
  <c r="L193" i="18"/>
  <c r="M193" i="18"/>
  <c r="N193" i="18"/>
  <c r="O193" i="18"/>
  <c r="P193" i="18"/>
  <c r="Q193" i="18"/>
  <c r="R193" i="18"/>
  <c r="S193" i="18"/>
  <c r="L194" i="18"/>
  <c r="M194" i="18"/>
  <c r="N194" i="18"/>
  <c r="O194" i="18"/>
  <c r="P194" i="18"/>
  <c r="Q194" i="18"/>
  <c r="R194" i="18"/>
  <c r="S194" i="18"/>
  <c r="L195" i="18"/>
  <c r="M195" i="18"/>
  <c r="N195" i="18"/>
  <c r="O195" i="18"/>
  <c r="P195" i="18"/>
  <c r="Q195" i="18"/>
  <c r="R195" i="18"/>
  <c r="S195" i="18"/>
  <c r="L196" i="18"/>
  <c r="M196" i="18"/>
  <c r="N196" i="18"/>
  <c r="O196" i="18"/>
  <c r="P196" i="18"/>
  <c r="Q196" i="18"/>
  <c r="R196" i="18"/>
  <c r="S196" i="18"/>
  <c r="L197" i="18"/>
  <c r="M197" i="18"/>
  <c r="N197" i="18"/>
  <c r="O197" i="18"/>
  <c r="P197" i="18"/>
  <c r="Q197" i="18"/>
  <c r="R197" i="18"/>
  <c r="S197" i="18"/>
  <c r="L198" i="18"/>
  <c r="M198" i="18"/>
  <c r="N198" i="18"/>
  <c r="O198" i="18"/>
  <c r="P198" i="18"/>
  <c r="Q198" i="18"/>
  <c r="R198" i="18"/>
  <c r="S198" i="18"/>
  <c r="L199" i="18"/>
  <c r="M199" i="18"/>
  <c r="N199" i="18"/>
  <c r="O199" i="18"/>
  <c r="P199" i="18"/>
  <c r="Q199" i="18"/>
  <c r="R199" i="18"/>
  <c r="S199" i="18"/>
  <c r="L200" i="18"/>
  <c r="M200" i="18"/>
  <c r="N200" i="18"/>
  <c r="O200" i="18"/>
  <c r="P200" i="18"/>
  <c r="Q200" i="18"/>
  <c r="R200" i="18"/>
  <c r="S200" i="18"/>
  <c r="L201" i="18"/>
  <c r="M201" i="18"/>
  <c r="N201" i="18"/>
  <c r="O201" i="18"/>
  <c r="P201" i="18"/>
  <c r="Q201" i="18"/>
  <c r="R201" i="18"/>
  <c r="S201" i="18"/>
  <c r="L202" i="18"/>
  <c r="M202" i="18"/>
  <c r="N202" i="18"/>
  <c r="O202" i="18"/>
  <c r="P202" i="18"/>
  <c r="Q202" i="18"/>
  <c r="R202" i="18"/>
  <c r="S202" i="18"/>
  <c r="L203" i="18"/>
  <c r="M203" i="18"/>
  <c r="N203" i="18"/>
  <c r="O203" i="18"/>
  <c r="P203" i="18"/>
  <c r="Q203" i="18"/>
  <c r="R203" i="18"/>
  <c r="S203" i="18"/>
  <c r="L204" i="18"/>
  <c r="M204" i="18"/>
  <c r="N204" i="18"/>
  <c r="O204" i="18"/>
  <c r="P204" i="18"/>
  <c r="Q204" i="18"/>
  <c r="R204" i="18"/>
  <c r="S204" i="18"/>
  <c r="L205" i="18"/>
  <c r="M205" i="18"/>
  <c r="N205" i="18"/>
  <c r="O205" i="18"/>
  <c r="P205" i="18"/>
  <c r="Q205" i="18"/>
  <c r="R205" i="18"/>
  <c r="S205" i="18"/>
  <c r="L206" i="18"/>
  <c r="M206" i="18"/>
  <c r="N206" i="18"/>
  <c r="O206" i="18"/>
  <c r="P206" i="18"/>
  <c r="Q206" i="18"/>
  <c r="R206" i="18"/>
  <c r="S206" i="18"/>
  <c r="L207" i="18"/>
  <c r="M207" i="18"/>
  <c r="N207" i="18"/>
  <c r="O207" i="18"/>
  <c r="P207" i="18"/>
  <c r="Q207" i="18"/>
  <c r="R207" i="18"/>
  <c r="S207" i="18"/>
  <c r="L208" i="18"/>
  <c r="M208" i="18"/>
  <c r="N208" i="18"/>
  <c r="O208" i="18"/>
  <c r="P208" i="18"/>
  <c r="Q208" i="18"/>
  <c r="R208" i="18"/>
  <c r="S208" i="18"/>
  <c r="L209" i="18"/>
  <c r="M209" i="18"/>
  <c r="N209" i="18"/>
  <c r="O209" i="18"/>
  <c r="P209" i="18"/>
  <c r="Q209" i="18"/>
  <c r="R209" i="18"/>
  <c r="S209" i="18"/>
  <c r="L210" i="18"/>
  <c r="M210" i="18"/>
  <c r="N210" i="18"/>
  <c r="O210" i="18"/>
  <c r="P210" i="18"/>
  <c r="Q210" i="18"/>
  <c r="R210" i="18"/>
  <c r="S210" i="18"/>
  <c r="L211" i="18"/>
  <c r="M211" i="18"/>
  <c r="N211" i="18"/>
  <c r="O211" i="18"/>
  <c r="P211" i="18"/>
  <c r="Q211" i="18"/>
  <c r="R211" i="18"/>
  <c r="S211" i="18"/>
  <c r="L212" i="18"/>
  <c r="M212" i="18"/>
  <c r="N212" i="18"/>
  <c r="O212" i="18"/>
  <c r="P212" i="18"/>
  <c r="Q212" i="18"/>
  <c r="R212" i="18"/>
  <c r="S212" i="18"/>
  <c r="L213" i="18"/>
  <c r="M213" i="18"/>
  <c r="N213" i="18"/>
  <c r="O213" i="18"/>
  <c r="P213" i="18"/>
  <c r="Q213" i="18"/>
  <c r="R213" i="18"/>
  <c r="S213" i="18"/>
  <c r="L214" i="18"/>
  <c r="M214" i="18"/>
  <c r="N214" i="18"/>
  <c r="O214" i="18"/>
  <c r="P214" i="18"/>
  <c r="Q214" i="18"/>
  <c r="R214" i="18"/>
  <c r="S214" i="18"/>
  <c r="L215" i="18"/>
  <c r="M215" i="18"/>
  <c r="N215" i="18"/>
  <c r="O215" i="18"/>
  <c r="P215" i="18"/>
  <c r="Q215" i="18"/>
  <c r="R215" i="18"/>
  <c r="S215" i="18"/>
  <c r="L216" i="18"/>
  <c r="M216" i="18"/>
  <c r="N216" i="18"/>
  <c r="O216" i="18"/>
  <c r="P216" i="18"/>
  <c r="Q216" i="18"/>
  <c r="R216" i="18"/>
  <c r="S216" i="18"/>
  <c r="L217" i="18"/>
  <c r="M217" i="18"/>
  <c r="N217" i="18"/>
  <c r="O217" i="18"/>
  <c r="P217" i="18"/>
  <c r="Q217" i="18"/>
  <c r="R217" i="18"/>
  <c r="S217" i="18"/>
  <c r="L218" i="18"/>
  <c r="M218" i="18"/>
  <c r="N218" i="18"/>
  <c r="O218" i="18"/>
  <c r="P218" i="18"/>
  <c r="Q218" i="18"/>
  <c r="R218" i="18"/>
  <c r="S218" i="18"/>
  <c r="L219" i="18"/>
  <c r="M219" i="18"/>
  <c r="N219" i="18"/>
  <c r="O219" i="18"/>
  <c r="P219" i="18"/>
  <c r="Q219" i="18"/>
  <c r="R219" i="18"/>
  <c r="S219" i="18"/>
  <c r="L220" i="18"/>
  <c r="M220" i="18"/>
  <c r="N220" i="18"/>
  <c r="O220" i="18"/>
  <c r="P220" i="18"/>
  <c r="Q220" i="18"/>
  <c r="R220" i="18"/>
  <c r="S220" i="18"/>
  <c r="L221" i="18"/>
  <c r="M221" i="18"/>
  <c r="N221" i="18"/>
  <c r="O221" i="18"/>
  <c r="P221" i="18"/>
  <c r="Q221" i="18"/>
  <c r="R221" i="18"/>
  <c r="S221" i="18"/>
  <c r="L222" i="18"/>
  <c r="M222" i="18"/>
  <c r="N222" i="18"/>
  <c r="O222" i="18"/>
  <c r="P222" i="18"/>
  <c r="Q222" i="18"/>
  <c r="R222" i="18"/>
  <c r="S222" i="18"/>
  <c r="L223" i="18"/>
  <c r="M223" i="18"/>
  <c r="N223" i="18"/>
  <c r="O223" i="18"/>
  <c r="P223" i="18"/>
  <c r="Q223" i="18"/>
  <c r="R223" i="18"/>
  <c r="S223" i="18"/>
  <c r="L224" i="18"/>
  <c r="M224" i="18"/>
  <c r="N224" i="18"/>
  <c r="O224" i="18"/>
  <c r="P224" i="18"/>
  <c r="Q224" i="18"/>
  <c r="R224" i="18"/>
  <c r="S224" i="18"/>
  <c r="L225" i="18"/>
  <c r="M225" i="18"/>
  <c r="N225" i="18"/>
  <c r="O225" i="18"/>
  <c r="P225" i="18"/>
  <c r="Q225" i="18"/>
  <c r="R225" i="18"/>
  <c r="S225" i="18"/>
  <c r="L226" i="18"/>
  <c r="M226" i="18"/>
  <c r="N226" i="18"/>
  <c r="O226" i="18"/>
  <c r="P226" i="18"/>
  <c r="Q226" i="18"/>
  <c r="R226" i="18"/>
  <c r="S226" i="18"/>
  <c r="L227" i="18"/>
  <c r="M227" i="18"/>
  <c r="N227" i="18"/>
  <c r="O227" i="18"/>
  <c r="P227" i="18"/>
  <c r="Q227" i="18"/>
  <c r="R227" i="18"/>
  <c r="S227" i="18"/>
  <c r="L228" i="18"/>
  <c r="M228" i="18"/>
  <c r="N228" i="18"/>
  <c r="O228" i="18"/>
  <c r="P228" i="18"/>
  <c r="Q228" i="18"/>
  <c r="R228" i="18"/>
  <c r="S228" i="18"/>
  <c r="L229" i="18"/>
  <c r="M229" i="18"/>
  <c r="N229" i="18"/>
  <c r="O229" i="18"/>
  <c r="P229" i="18"/>
  <c r="Q229" i="18"/>
  <c r="R229" i="18"/>
  <c r="S229" i="18"/>
  <c r="L230" i="18"/>
  <c r="M230" i="18"/>
  <c r="N230" i="18"/>
  <c r="O230" i="18"/>
  <c r="P230" i="18"/>
  <c r="Q230" i="18"/>
  <c r="R230" i="18"/>
  <c r="S230" i="18"/>
  <c r="L231" i="18"/>
  <c r="M231" i="18"/>
  <c r="N231" i="18"/>
  <c r="O231" i="18"/>
  <c r="P231" i="18"/>
  <c r="Q231" i="18"/>
  <c r="R231" i="18"/>
  <c r="S231" i="18"/>
  <c r="L232" i="18"/>
  <c r="M232" i="18"/>
  <c r="N232" i="18"/>
  <c r="O232" i="18"/>
  <c r="P232" i="18"/>
  <c r="Q232" i="18"/>
  <c r="R232" i="18"/>
  <c r="S232" i="18"/>
  <c r="L233" i="18"/>
  <c r="M233" i="18"/>
  <c r="N233" i="18"/>
  <c r="O233" i="18"/>
  <c r="P233" i="18"/>
  <c r="Q233" i="18"/>
  <c r="R233" i="18"/>
  <c r="S233" i="18"/>
  <c r="L234" i="18"/>
  <c r="M234" i="18"/>
  <c r="N234" i="18"/>
  <c r="O234" i="18"/>
  <c r="P234" i="18"/>
  <c r="Q234" i="18"/>
  <c r="R234" i="18"/>
  <c r="S234" i="18"/>
  <c r="L235" i="18"/>
  <c r="M235" i="18"/>
  <c r="N235" i="18"/>
  <c r="O235" i="18"/>
  <c r="P235" i="18"/>
  <c r="Q235" i="18"/>
  <c r="R235" i="18"/>
  <c r="S235" i="18"/>
  <c r="L236" i="18"/>
  <c r="M236" i="18"/>
  <c r="N236" i="18"/>
  <c r="O236" i="18"/>
  <c r="P236" i="18"/>
  <c r="Q236" i="18"/>
  <c r="R236" i="18"/>
  <c r="S236" i="18"/>
  <c r="L237" i="18"/>
  <c r="M237" i="18"/>
  <c r="N237" i="18"/>
  <c r="O237" i="18"/>
  <c r="P237" i="18"/>
  <c r="Q237" i="18"/>
  <c r="R237" i="18"/>
  <c r="S237" i="18"/>
  <c r="L238" i="18"/>
  <c r="M238" i="18"/>
  <c r="N238" i="18"/>
  <c r="O238" i="18"/>
  <c r="P238" i="18"/>
  <c r="Q238" i="18"/>
  <c r="R238" i="18"/>
  <c r="S238" i="18"/>
  <c r="L239" i="18"/>
  <c r="M239" i="18"/>
  <c r="N239" i="18"/>
  <c r="O239" i="18"/>
  <c r="P239" i="18"/>
  <c r="Q239" i="18"/>
  <c r="R239" i="18"/>
  <c r="S239" i="18"/>
  <c r="L240" i="18"/>
  <c r="M240" i="18"/>
  <c r="N240" i="18"/>
  <c r="O240" i="18"/>
  <c r="P240" i="18"/>
  <c r="Q240" i="18"/>
  <c r="R240" i="18"/>
  <c r="S240" i="18"/>
  <c r="L241" i="18"/>
  <c r="M241" i="18"/>
  <c r="N241" i="18"/>
  <c r="O241" i="18"/>
  <c r="P241" i="18"/>
  <c r="Q241" i="18"/>
  <c r="R241" i="18"/>
  <c r="S241" i="18"/>
  <c r="L242" i="18"/>
  <c r="M242" i="18"/>
  <c r="N242" i="18"/>
  <c r="O242" i="18"/>
  <c r="P242" i="18"/>
  <c r="Q242" i="18"/>
  <c r="R242" i="18"/>
  <c r="S242" i="18"/>
  <c r="L243" i="18"/>
  <c r="M243" i="18"/>
  <c r="N243" i="18"/>
  <c r="O243" i="18"/>
  <c r="P243" i="18"/>
  <c r="Q243" i="18"/>
  <c r="R243" i="18"/>
  <c r="S243" i="18"/>
  <c r="L244" i="18"/>
  <c r="M244" i="18"/>
  <c r="N244" i="18"/>
  <c r="O244" i="18"/>
  <c r="P244" i="18"/>
  <c r="Q244" i="18"/>
  <c r="R244" i="18"/>
  <c r="S244" i="18"/>
  <c r="L245" i="18"/>
  <c r="M245" i="18"/>
  <c r="N245" i="18"/>
  <c r="O245" i="18"/>
  <c r="P245" i="18"/>
  <c r="Q245" i="18"/>
  <c r="R245" i="18"/>
  <c r="S245" i="18"/>
  <c r="L246" i="18"/>
  <c r="M246" i="18"/>
  <c r="N246" i="18"/>
  <c r="O246" i="18"/>
  <c r="P246" i="18"/>
  <c r="Q246" i="18"/>
  <c r="R246" i="18"/>
  <c r="S246" i="18"/>
  <c r="L247" i="18"/>
  <c r="M247" i="18"/>
  <c r="N247" i="18"/>
  <c r="O247" i="18"/>
  <c r="P247" i="18"/>
  <c r="Q247" i="18"/>
  <c r="R247" i="18"/>
  <c r="S247" i="18"/>
  <c r="L248" i="18"/>
  <c r="M248" i="18"/>
  <c r="N248" i="18"/>
  <c r="O248" i="18"/>
  <c r="P248" i="18"/>
  <c r="Q248" i="18"/>
  <c r="R248" i="18"/>
  <c r="S248" i="18"/>
  <c r="L249" i="18"/>
  <c r="M249" i="18"/>
  <c r="N249" i="18"/>
  <c r="O249" i="18"/>
  <c r="P249" i="18"/>
  <c r="Q249" i="18"/>
  <c r="R249" i="18"/>
  <c r="S249" i="18"/>
  <c r="L250" i="18"/>
  <c r="M250" i="18"/>
  <c r="N250" i="18"/>
  <c r="O250" i="18"/>
  <c r="P250" i="18"/>
  <c r="Q250" i="18"/>
  <c r="R250" i="18"/>
  <c r="S250" i="18"/>
  <c r="L251" i="18"/>
  <c r="M251" i="18"/>
  <c r="N251" i="18"/>
  <c r="O251" i="18"/>
  <c r="P251" i="18"/>
  <c r="Q251" i="18"/>
  <c r="R251" i="18"/>
  <c r="S251" i="18"/>
  <c r="L252" i="18"/>
  <c r="M252" i="18"/>
  <c r="N252" i="18"/>
  <c r="O252" i="18"/>
  <c r="P252" i="18"/>
  <c r="Q252" i="18"/>
  <c r="R252" i="18"/>
  <c r="S252" i="18"/>
  <c r="L253" i="18"/>
  <c r="M253" i="18"/>
  <c r="N253" i="18"/>
  <c r="O253" i="18"/>
  <c r="P253" i="18"/>
  <c r="Q253" i="18"/>
  <c r="R253" i="18"/>
  <c r="S253" i="18"/>
  <c r="L254" i="18"/>
  <c r="M254" i="18"/>
  <c r="N254" i="18"/>
  <c r="O254" i="18"/>
  <c r="P254" i="18"/>
  <c r="Q254" i="18"/>
  <c r="R254" i="18"/>
  <c r="S254" i="18"/>
  <c r="L255" i="18"/>
  <c r="M255" i="18"/>
  <c r="N255" i="18"/>
  <c r="O255" i="18"/>
  <c r="P255" i="18"/>
  <c r="Q255" i="18"/>
  <c r="R255" i="18"/>
  <c r="S255" i="18"/>
  <c r="L256" i="18"/>
  <c r="M256" i="18"/>
  <c r="N256" i="18"/>
  <c r="O256" i="18"/>
  <c r="P256" i="18"/>
  <c r="Q256" i="18"/>
  <c r="R256" i="18"/>
  <c r="S256" i="18"/>
  <c r="L257" i="18"/>
  <c r="M257" i="18"/>
  <c r="N257" i="18"/>
  <c r="O257" i="18"/>
  <c r="P257" i="18"/>
  <c r="Q257" i="18"/>
  <c r="R257" i="18"/>
  <c r="S257" i="18"/>
  <c r="L258" i="18"/>
  <c r="M258" i="18"/>
  <c r="N258" i="18"/>
  <c r="O258" i="18"/>
  <c r="P258" i="18"/>
  <c r="Q258" i="18"/>
  <c r="R258" i="18"/>
  <c r="S258" i="18"/>
  <c r="L259" i="18"/>
  <c r="M259" i="18"/>
  <c r="N259" i="18"/>
  <c r="O259" i="18"/>
  <c r="P259" i="18"/>
  <c r="Q259" i="18"/>
  <c r="R259" i="18"/>
  <c r="S259" i="18"/>
  <c r="L260" i="18"/>
  <c r="M260" i="18"/>
  <c r="N260" i="18"/>
  <c r="O260" i="18"/>
  <c r="P260" i="18"/>
  <c r="Q260" i="18"/>
  <c r="R260" i="18"/>
  <c r="S260" i="18"/>
  <c r="L261" i="18"/>
  <c r="M261" i="18"/>
  <c r="N261" i="18"/>
  <c r="O261" i="18"/>
  <c r="P261" i="18"/>
  <c r="Q261" i="18"/>
  <c r="R261" i="18"/>
  <c r="S261" i="18"/>
  <c r="L262" i="18"/>
  <c r="M262" i="18"/>
  <c r="N262" i="18"/>
  <c r="O262" i="18"/>
  <c r="P262" i="18"/>
  <c r="Q262" i="18"/>
  <c r="R262" i="18"/>
  <c r="S262" i="18"/>
  <c r="L263" i="18"/>
  <c r="M263" i="18"/>
  <c r="N263" i="18"/>
  <c r="O263" i="18"/>
  <c r="P263" i="18"/>
  <c r="Q263" i="18"/>
  <c r="R263" i="18"/>
  <c r="S263" i="18"/>
  <c r="L264" i="18"/>
  <c r="M264" i="18"/>
  <c r="N264" i="18"/>
  <c r="O264" i="18"/>
  <c r="P264" i="18"/>
  <c r="Q264" i="18"/>
  <c r="R264" i="18"/>
  <c r="S264" i="18"/>
  <c r="L265" i="18"/>
  <c r="M265" i="18"/>
  <c r="N265" i="18"/>
  <c r="O265" i="18"/>
  <c r="P265" i="18"/>
  <c r="Q265" i="18"/>
  <c r="R265" i="18"/>
  <c r="S265" i="18"/>
  <c r="L266" i="18"/>
  <c r="M266" i="18"/>
  <c r="N266" i="18"/>
  <c r="O266" i="18"/>
  <c r="P266" i="18"/>
  <c r="Q266" i="18"/>
  <c r="R266" i="18"/>
  <c r="S266" i="18"/>
  <c r="L267" i="18"/>
  <c r="M267" i="18"/>
  <c r="N267" i="18"/>
  <c r="O267" i="18"/>
  <c r="P267" i="18"/>
  <c r="Q267" i="18"/>
  <c r="R267" i="18"/>
  <c r="S267" i="18"/>
  <c r="L268" i="18"/>
  <c r="M268" i="18"/>
  <c r="N268" i="18"/>
  <c r="O268" i="18"/>
  <c r="P268" i="18"/>
  <c r="Q268" i="18"/>
  <c r="R268" i="18"/>
  <c r="S268" i="18"/>
  <c r="L269" i="18"/>
  <c r="M269" i="18"/>
  <c r="N269" i="18"/>
  <c r="O269" i="18"/>
  <c r="P269" i="18"/>
  <c r="Q269" i="18"/>
  <c r="R269" i="18"/>
  <c r="S269" i="18"/>
  <c r="L270" i="18"/>
  <c r="M270" i="18"/>
  <c r="N270" i="18"/>
  <c r="O270" i="18"/>
  <c r="P270" i="18"/>
  <c r="Q270" i="18"/>
  <c r="R270" i="18"/>
  <c r="S270" i="18"/>
  <c r="L271" i="18"/>
  <c r="M271" i="18"/>
  <c r="N271" i="18"/>
  <c r="O271" i="18"/>
  <c r="P271" i="18"/>
  <c r="Q271" i="18"/>
  <c r="R271" i="18"/>
  <c r="S271" i="18"/>
  <c r="L272" i="18"/>
  <c r="M272" i="18"/>
  <c r="N272" i="18"/>
  <c r="O272" i="18"/>
  <c r="P272" i="18"/>
  <c r="Q272" i="18"/>
  <c r="R272" i="18"/>
  <c r="S272" i="18"/>
  <c r="L273" i="18"/>
  <c r="M273" i="18"/>
  <c r="N273" i="18"/>
  <c r="O273" i="18"/>
  <c r="P273" i="18"/>
  <c r="Q273" i="18"/>
  <c r="R273" i="18"/>
  <c r="S273" i="18"/>
  <c r="L274" i="18"/>
  <c r="M274" i="18"/>
  <c r="N274" i="18"/>
  <c r="O274" i="18"/>
  <c r="P274" i="18"/>
  <c r="Q274" i="18"/>
  <c r="R274" i="18"/>
  <c r="S274" i="18"/>
  <c r="L275" i="18"/>
  <c r="M275" i="18"/>
  <c r="N275" i="18"/>
  <c r="O275" i="18"/>
  <c r="P275" i="18"/>
  <c r="Q275" i="18"/>
  <c r="R275" i="18"/>
  <c r="S275" i="18"/>
  <c r="L276" i="18"/>
  <c r="M276" i="18"/>
  <c r="N276" i="18"/>
  <c r="O276" i="18"/>
  <c r="P276" i="18"/>
  <c r="Q276" i="18"/>
  <c r="R276" i="18"/>
  <c r="S276" i="18"/>
  <c r="L277" i="18"/>
  <c r="M277" i="18"/>
  <c r="N277" i="18"/>
  <c r="O277" i="18"/>
  <c r="P277" i="18"/>
  <c r="Q277" i="18"/>
  <c r="R277" i="18"/>
  <c r="S277" i="18"/>
  <c r="L278" i="18"/>
  <c r="M278" i="18"/>
  <c r="N278" i="18"/>
  <c r="O278" i="18"/>
  <c r="P278" i="18"/>
  <c r="Q278" i="18"/>
  <c r="R278" i="18"/>
  <c r="S278" i="18"/>
  <c r="L279" i="18"/>
  <c r="M279" i="18"/>
  <c r="N279" i="18"/>
  <c r="O279" i="18"/>
  <c r="P279" i="18"/>
  <c r="Q279" i="18"/>
  <c r="R279" i="18"/>
  <c r="S279" i="18"/>
  <c r="L280" i="18"/>
  <c r="M280" i="18"/>
  <c r="N280" i="18"/>
  <c r="O280" i="18"/>
  <c r="P280" i="18"/>
  <c r="Q280" i="18"/>
  <c r="R280" i="18"/>
  <c r="S280" i="18"/>
  <c r="L281" i="18"/>
  <c r="M281" i="18"/>
  <c r="N281" i="18"/>
  <c r="O281" i="18"/>
  <c r="P281" i="18"/>
  <c r="Q281" i="18"/>
  <c r="R281" i="18"/>
  <c r="S281" i="18"/>
  <c r="L282" i="18"/>
  <c r="M282" i="18"/>
  <c r="N282" i="18"/>
  <c r="O282" i="18"/>
  <c r="P282" i="18"/>
  <c r="Q282" i="18"/>
  <c r="R282" i="18"/>
  <c r="S282" i="18"/>
  <c r="L283" i="18"/>
  <c r="M283" i="18"/>
  <c r="N283" i="18"/>
  <c r="O283" i="18"/>
  <c r="P283" i="18"/>
  <c r="Q283" i="18"/>
  <c r="R283" i="18"/>
  <c r="S283" i="18"/>
  <c r="L284" i="18"/>
  <c r="M284" i="18"/>
  <c r="N284" i="18"/>
  <c r="O284" i="18"/>
  <c r="P284" i="18"/>
  <c r="Q284" i="18"/>
  <c r="R284" i="18"/>
  <c r="S284" i="18"/>
  <c r="L285" i="18"/>
  <c r="M285" i="18"/>
  <c r="N285" i="18"/>
  <c r="O285" i="18"/>
  <c r="P285" i="18"/>
  <c r="Q285" i="18"/>
  <c r="R285" i="18"/>
  <c r="S285" i="18"/>
  <c r="L286" i="18"/>
  <c r="M286" i="18"/>
  <c r="N286" i="18"/>
  <c r="O286" i="18"/>
  <c r="P286" i="18"/>
  <c r="Q286" i="18"/>
  <c r="R286" i="18"/>
  <c r="S286" i="18"/>
  <c r="L287" i="18"/>
  <c r="M287" i="18"/>
  <c r="N287" i="18"/>
  <c r="O287" i="18"/>
  <c r="P287" i="18"/>
  <c r="Q287" i="18"/>
  <c r="R287" i="18"/>
  <c r="S287" i="18"/>
  <c r="L288" i="18"/>
  <c r="M288" i="18"/>
  <c r="N288" i="18"/>
  <c r="O288" i="18"/>
  <c r="P288" i="18"/>
  <c r="Q288" i="18"/>
  <c r="R288" i="18"/>
  <c r="S288" i="18"/>
  <c r="L289" i="18"/>
  <c r="M289" i="18"/>
  <c r="N289" i="18"/>
  <c r="O289" i="18"/>
  <c r="P289" i="18"/>
  <c r="Q289" i="18"/>
  <c r="R289" i="18"/>
  <c r="S289" i="18"/>
  <c r="L290" i="18"/>
  <c r="M290" i="18"/>
  <c r="N290" i="18"/>
  <c r="O290" i="18"/>
  <c r="P290" i="18"/>
  <c r="Q290" i="18"/>
  <c r="R290" i="18"/>
  <c r="S290" i="18"/>
  <c r="L291" i="18"/>
  <c r="M291" i="18"/>
  <c r="N291" i="18"/>
  <c r="O291" i="18"/>
  <c r="P291" i="18"/>
  <c r="Q291" i="18"/>
  <c r="R291" i="18"/>
  <c r="S291" i="18"/>
  <c r="L292" i="18"/>
  <c r="M292" i="18"/>
  <c r="N292" i="18"/>
  <c r="O292" i="18"/>
  <c r="P292" i="18"/>
  <c r="Q292" i="18"/>
  <c r="R292" i="18"/>
  <c r="S292" i="18"/>
  <c r="L293" i="18"/>
  <c r="M293" i="18"/>
  <c r="N293" i="18"/>
  <c r="O293" i="18"/>
  <c r="P293" i="18"/>
  <c r="Q293" i="18"/>
  <c r="R293" i="18"/>
  <c r="S293" i="18"/>
  <c r="L294" i="18"/>
  <c r="M294" i="18"/>
  <c r="N294" i="18"/>
  <c r="O294" i="18"/>
  <c r="P294" i="18"/>
  <c r="Q294" i="18"/>
  <c r="R294" i="18"/>
  <c r="S294" i="18"/>
  <c r="L295" i="18"/>
  <c r="M295" i="18"/>
  <c r="N295" i="18"/>
  <c r="O295" i="18"/>
  <c r="P295" i="18"/>
  <c r="Q295" i="18"/>
  <c r="R295" i="18"/>
  <c r="S295" i="18"/>
  <c r="L296" i="18"/>
  <c r="M296" i="18"/>
  <c r="N296" i="18"/>
  <c r="O296" i="18"/>
  <c r="P296" i="18"/>
  <c r="Q296" i="18"/>
  <c r="R296" i="18"/>
  <c r="S296" i="18"/>
  <c r="L297" i="18"/>
  <c r="M297" i="18"/>
  <c r="N297" i="18"/>
  <c r="O297" i="18"/>
  <c r="P297" i="18"/>
  <c r="Q297" i="18"/>
  <c r="R297" i="18"/>
  <c r="S297" i="18"/>
  <c r="L298" i="18"/>
  <c r="M298" i="18"/>
  <c r="N298" i="18"/>
  <c r="O298" i="18"/>
  <c r="P298" i="18"/>
  <c r="Q298" i="18"/>
  <c r="R298" i="18"/>
  <c r="S298" i="18"/>
  <c r="L299" i="18"/>
  <c r="M299" i="18"/>
  <c r="N299" i="18"/>
  <c r="O299" i="18"/>
  <c r="P299" i="18"/>
  <c r="Q299" i="18"/>
  <c r="R299" i="18"/>
  <c r="S299" i="18"/>
  <c r="L300" i="18"/>
  <c r="M300" i="18"/>
  <c r="N300" i="18"/>
  <c r="O300" i="18"/>
  <c r="P300" i="18"/>
  <c r="Q300" i="18"/>
  <c r="R300" i="18"/>
  <c r="S300" i="18"/>
  <c r="L301" i="18"/>
  <c r="M301" i="18"/>
  <c r="N301" i="18"/>
  <c r="O301" i="18"/>
  <c r="P301" i="18"/>
  <c r="Q301" i="18"/>
  <c r="R301" i="18"/>
  <c r="S301" i="18"/>
  <c r="L302" i="18"/>
  <c r="M302" i="18"/>
  <c r="N302" i="18"/>
  <c r="O302" i="18"/>
  <c r="P302" i="18"/>
  <c r="Q302" i="18"/>
  <c r="R302" i="18"/>
  <c r="S302" i="18"/>
  <c r="L303" i="18"/>
  <c r="M303" i="18"/>
  <c r="N303" i="18"/>
  <c r="O303" i="18"/>
  <c r="P303" i="18"/>
  <c r="Q303" i="18"/>
  <c r="R303" i="18"/>
  <c r="S303" i="18"/>
  <c r="L304" i="18"/>
  <c r="M304" i="18"/>
  <c r="N304" i="18"/>
  <c r="O304" i="18"/>
  <c r="P304" i="18"/>
  <c r="Q304" i="18"/>
  <c r="R304" i="18"/>
  <c r="S304" i="18"/>
  <c r="L305" i="18"/>
  <c r="M305" i="18"/>
  <c r="N305" i="18"/>
  <c r="O305" i="18"/>
  <c r="P305" i="18"/>
  <c r="Q305" i="18"/>
  <c r="R305" i="18"/>
  <c r="S305" i="18"/>
  <c r="L306" i="18"/>
  <c r="M306" i="18"/>
  <c r="N306" i="18"/>
  <c r="O306" i="18"/>
  <c r="P306" i="18"/>
  <c r="Q306" i="18"/>
  <c r="R306" i="18"/>
  <c r="S306" i="18"/>
  <c r="L307" i="18"/>
  <c r="M307" i="18"/>
  <c r="N307" i="18"/>
  <c r="O307" i="18"/>
  <c r="P307" i="18"/>
  <c r="Q307" i="18"/>
  <c r="R307" i="18"/>
  <c r="S307" i="18"/>
  <c r="L308" i="18"/>
  <c r="M308" i="18"/>
  <c r="N308" i="18"/>
  <c r="O308" i="18"/>
  <c r="P308" i="18"/>
  <c r="Q308" i="18"/>
  <c r="R308" i="18"/>
  <c r="S308" i="18"/>
  <c r="L309" i="18"/>
  <c r="M309" i="18"/>
  <c r="N309" i="18"/>
  <c r="O309" i="18"/>
  <c r="P309" i="18"/>
  <c r="Q309" i="18"/>
  <c r="R309" i="18"/>
  <c r="S309" i="18"/>
  <c r="L310" i="18"/>
  <c r="M310" i="18"/>
  <c r="N310" i="18"/>
  <c r="O310" i="18"/>
  <c r="P310" i="18"/>
  <c r="Q310" i="18"/>
  <c r="R310" i="18"/>
  <c r="S310" i="18"/>
  <c r="L311" i="18"/>
  <c r="M311" i="18"/>
  <c r="N311" i="18"/>
  <c r="O311" i="18"/>
  <c r="P311" i="18"/>
  <c r="Q311" i="18"/>
  <c r="R311" i="18"/>
  <c r="S311" i="18"/>
  <c r="L312" i="18"/>
  <c r="M312" i="18"/>
  <c r="N312" i="18"/>
  <c r="O312" i="18"/>
  <c r="P312" i="18"/>
  <c r="Q312" i="18"/>
  <c r="R312" i="18"/>
  <c r="S312" i="18"/>
  <c r="L313" i="18"/>
  <c r="M313" i="18"/>
  <c r="N313" i="18"/>
  <c r="O313" i="18"/>
  <c r="P313" i="18"/>
  <c r="Q313" i="18"/>
  <c r="R313" i="18"/>
  <c r="S313" i="18"/>
  <c r="L314" i="18"/>
  <c r="M314" i="18"/>
  <c r="N314" i="18"/>
  <c r="O314" i="18"/>
  <c r="P314" i="18"/>
  <c r="Q314" i="18"/>
  <c r="R314" i="18"/>
  <c r="S314" i="18"/>
  <c r="L315" i="18"/>
  <c r="M315" i="18"/>
  <c r="N315" i="18"/>
  <c r="O315" i="18"/>
  <c r="P315" i="18"/>
  <c r="Q315" i="18"/>
  <c r="R315" i="18"/>
  <c r="S315" i="18"/>
  <c r="L316" i="18"/>
  <c r="M316" i="18"/>
  <c r="N316" i="18"/>
  <c r="O316" i="18"/>
  <c r="P316" i="18"/>
  <c r="Q316" i="18"/>
  <c r="R316" i="18"/>
  <c r="S316" i="18"/>
  <c r="L317" i="18"/>
  <c r="M317" i="18"/>
  <c r="N317" i="18"/>
  <c r="O317" i="18"/>
  <c r="P317" i="18"/>
  <c r="Q317" i="18"/>
  <c r="R317" i="18"/>
  <c r="S317" i="18"/>
  <c r="L318" i="18"/>
  <c r="M318" i="18"/>
  <c r="N318" i="18"/>
  <c r="O318" i="18"/>
  <c r="P318" i="18"/>
  <c r="Q318" i="18"/>
  <c r="R318" i="18"/>
  <c r="S318" i="18"/>
  <c r="L319" i="18"/>
  <c r="M319" i="18"/>
  <c r="N319" i="18"/>
  <c r="O319" i="18"/>
  <c r="P319" i="18"/>
  <c r="Q319" i="18"/>
  <c r="R319" i="18"/>
  <c r="S319" i="18"/>
  <c r="L320" i="18"/>
  <c r="M320" i="18"/>
  <c r="N320" i="18"/>
  <c r="O320" i="18"/>
  <c r="P320" i="18"/>
  <c r="Q320" i="18"/>
  <c r="R320" i="18"/>
  <c r="S320" i="18"/>
  <c r="L321" i="18"/>
  <c r="M321" i="18"/>
  <c r="N321" i="18"/>
  <c r="O321" i="18"/>
  <c r="P321" i="18"/>
  <c r="Q321" i="18"/>
  <c r="R321" i="18"/>
  <c r="S321" i="18"/>
  <c r="L322" i="18"/>
  <c r="M322" i="18"/>
  <c r="N322" i="18"/>
  <c r="O322" i="18"/>
  <c r="P322" i="18"/>
  <c r="Q322" i="18"/>
  <c r="R322" i="18"/>
  <c r="S322" i="18"/>
  <c r="L323" i="18"/>
  <c r="M323" i="18"/>
  <c r="N323" i="18"/>
  <c r="O323" i="18"/>
  <c r="P323" i="18"/>
  <c r="Q323" i="18"/>
  <c r="R323" i="18"/>
  <c r="S323" i="18"/>
  <c r="L324" i="18"/>
  <c r="M324" i="18"/>
  <c r="N324" i="18"/>
  <c r="O324" i="18"/>
  <c r="P324" i="18"/>
  <c r="Q324" i="18"/>
  <c r="R324" i="18"/>
  <c r="S324" i="18"/>
  <c r="L325" i="18"/>
  <c r="M325" i="18"/>
  <c r="N325" i="18"/>
  <c r="O325" i="18"/>
  <c r="P325" i="18"/>
  <c r="Q325" i="18"/>
  <c r="R325" i="18"/>
  <c r="S325" i="18"/>
  <c r="L326" i="18"/>
  <c r="M326" i="18"/>
  <c r="N326" i="18"/>
  <c r="O326" i="18"/>
  <c r="P326" i="18"/>
  <c r="Q326" i="18"/>
  <c r="R326" i="18"/>
  <c r="S326" i="18"/>
  <c r="L327" i="18"/>
  <c r="M327" i="18"/>
  <c r="N327" i="18"/>
  <c r="O327" i="18"/>
  <c r="P327" i="18"/>
  <c r="Q327" i="18"/>
  <c r="R327" i="18"/>
  <c r="S327" i="18"/>
  <c r="L328" i="18"/>
  <c r="M328" i="18"/>
  <c r="N328" i="18"/>
  <c r="O328" i="18"/>
  <c r="P328" i="18"/>
  <c r="Q328" i="18"/>
  <c r="R328" i="18"/>
  <c r="S328" i="18"/>
  <c r="L329" i="18"/>
  <c r="M329" i="18"/>
  <c r="N329" i="18"/>
  <c r="O329" i="18"/>
  <c r="P329" i="18"/>
  <c r="Q329" i="18"/>
  <c r="R329" i="18"/>
  <c r="S329" i="18"/>
  <c r="L330" i="18"/>
  <c r="M330" i="18"/>
  <c r="N330" i="18"/>
  <c r="O330" i="18"/>
  <c r="P330" i="18"/>
  <c r="Q330" i="18"/>
  <c r="R330" i="18"/>
  <c r="S330" i="18"/>
  <c r="L331" i="18"/>
  <c r="M331" i="18"/>
  <c r="N331" i="18"/>
  <c r="O331" i="18"/>
  <c r="P331" i="18"/>
  <c r="Q331" i="18"/>
  <c r="R331" i="18"/>
  <c r="S331" i="18"/>
  <c r="L332" i="18"/>
  <c r="M332" i="18"/>
  <c r="N332" i="18"/>
  <c r="O332" i="18"/>
  <c r="P332" i="18"/>
  <c r="Q332" i="18"/>
  <c r="R332" i="18"/>
  <c r="S332" i="18"/>
  <c r="L333" i="18"/>
  <c r="M333" i="18"/>
  <c r="N333" i="18"/>
  <c r="O333" i="18"/>
  <c r="P333" i="18"/>
  <c r="Q333" i="18"/>
  <c r="R333" i="18"/>
  <c r="S333" i="18"/>
  <c r="L334" i="18"/>
  <c r="M334" i="18"/>
  <c r="N334" i="18"/>
  <c r="O334" i="18"/>
  <c r="P334" i="18"/>
  <c r="Q334" i="18"/>
  <c r="R334" i="18"/>
  <c r="S334" i="18"/>
  <c r="L335" i="18"/>
  <c r="M335" i="18"/>
  <c r="N335" i="18"/>
  <c r="O335" i="18"/>
  <c r="P335" i="18"/>
  <c r="Q335" i="18"/>
  <c r="R335" i="18"/>
  <c r="S335" i="18"/>
  <c r="L336" i="18"/>
  <c r="M336" i="18"/>
  <c r="N336" i="18"/>
  <c r="O336" i="18"/>
  <c r="P336" i="18"/>
  <c r="Q336" i="18"/>
  <c r="R336" i="18"/>
  <c r="S336" i="18"/>
  <c r="L337" i="18"/>
  <c r="M337" i="18"/>
  <c r="N337" i="18"/>
  <c r="O337" i="18"/>
  <c r="P337" i="18"/>
  <c r="Q337" i="18"/>
  <c r="R337" i="18"/>
  <c r="S337" i="18"/>
  <c r="L338" i="18"/>
  <c r="M338" i="18"/>
  <c r="N338" i="18"/>
  <c r="O338" i="18"/>
  <c r="P338" i="18"/>
  <c r="Q338" i="18"/>
  <c r="R338" i="18"/>
  <c r="S338" i="18"/>
  <c r="L339" i="18"/>
  <c r="M339" i="18"/>
  <c r="N339" i="18"/>
  <c r="O339" i="18"/>
  <c r="P339" i="18"/>
  <c r="Q339" i="18"/>
  <c r="R339" i="18"/>
  <c r="S339" i="18"/>
  <c r="L340" i="18"/>
  <c r="M340" i="18"/>
  <c r="N340" i="18"/>
  <c r="O340" i="18"/>
  <c r="P340" i="18"/>
  <c r="Q340" i="18"/>
  <c r="R340" i="18"/>
  <c r="S340" i="18"/>
  <c r="L341" i="18"/>
  <c r="M341" i="18"/>
  <c r="N341" i="18"/>
  <c r="O341" i="18"/>
  <c r="P341" i="18"/>
  <c r="Q341" i="18"/>
  <c r="R341" i="18"/>
  <c r="S341" i="18"/>
  <c r="L342" i="18"/>
  <c r="M342" i="18"/>
  <c r="N342" i="18"/>
  <c r="O342" i="18"/>
  <c r="P342" i="18"/>
  <c r="Q342" i="18"/>
  <c r="R342" i="18"/>
  <c r="S342" i="18"/>
  <c r="L343" i="18"/>
  <c r="M343" i="18"/>
  <c r="N343" i="18"/>
  <c r="O343" i="18"/>
  <c r="P343" i="18"/>
  <c r="Q343" i="18"/>
  <c r="R343" i="18"/>
  <c r="S343" i="18"/>
  <c r="L344" i="18"/>
  <c r="M344" i="18"/>
  <c r="N344" i="18"/>
  <c r="O344" i="18"/>
  <c r="P344" i="18"/>
  <c r="Q344" i="18"/>
  <c r="R344" i="18"/>
  <c r="S344" i="18"/>
  <c r="L345" i="18"/>
  <c r="M345" i="18"/>
  <c r="N345" i="18"/>
  <c r="O345" i="18"/>
  <c r="P345" i="18"/>
  <c r="Q345" i="18"/>
  <c r="R345" i="18"/>
  <c r="S345" i="18"/>
  <c r="L346" i="18"/>
  <c r="M346" i="18"/>
  <c r="N346" i="18"/>
  <c r="O346" i="18"/>
  <c r="P346" i="18"/>
  <c r="Q346" i="18"/>
  <c r="R346" i="18"/>
  <c r="S346" i="18"/>
  <c r="L347" i="18"/>
  <c r="M347" i="18"/>
  <c r="N347" i="18"/>
  <c r="O347" i="18"/>
  <c r="P347" i="18"/>
  <c r="Q347" i="18"/>
  <c r="R347" i="18"/>
  <c r="S347" i="18"/>
  <c r="L348" i="18"/>
  <c r="M348" i="18"/>
  <c r="N348" i="18"/>
  <c r="O348" i="18"/>
  <c r="P348" i="18"/>
  <c r="Q348" i="18"/>
  <c r="R348" i="18"/>
  <c r="S348" i="18"/>
  <c r="L349" i="18"/>
  <c r="M349" i="18"/>
  <c r="N349" i="18"/>
  <c r="O349" i="18"/>
  <c r="P349" i="18"/>
  <c r="Q349" i="18"/>
  <c r="R349" i="18"/>
  <c r="S349" i="18"/>
  <c r="L350" i="18"/>
  <c r="M350" i="18"/>
  <c r="N350" i="18"/>
  <c r="O350" i="18"/>
  <c r="P350" i="18"/>
  <c r="Q350" i="18"/>
  <c r="R350" i="18"/>
  <c r="S350" i="18"/>
  <c r="L351" i="18"/>
  <c r="M351" i="18"/>
  <c r="N351" i="18"/>
  <c r="O351" i="18"/>
  <c r="P351" i="18"/>
  <c r="Q351" i="18"/>
  <c r="R351" i="18"/>
  <c r="S351" i="18"/>
  <c r="L352" i="18"/>
  <c r="M352" i="18"/>
  <c r="N352" i="18"/>
  <c r="O352" i="18"/>
  <c r="P352" i="18"/>
  <c r="Q352" i="18"/>
  <c r="R352" i="18"/>
  <c r="S352" i="18"/>
  <c r="L353" i="18"/>
  <c r="M353" i="18"/>
  <c r="N353" i="18"/>
  <c r="O353" i="18"/>
  <c r="P353" i="18"/>
  <c r="Q353" i="18"/>
  <c r="R353" i="18"/>
  <c r="S353" i="18"/>
  <c r="L354" i="18"/>
  <c r="M354" i="18"/>
  <c r="N354" i="18"/>
  <c r="O354" i="18"/>
  <c r="P354" i="18"/>
  <c r="Q354" i="18"/>
  <c r="R354" i="18"/>
  <c r="S354" i="18"/>
  <c r="L355" i="18"/>
  <c r="M355" i="18"/>
  <c r="N355" i="18"/>
  <c r="O355" i="18"/>
  <c r="P355" i="18"/>
  <c r="Q355" i="18"/>
  <c r="R355" i="18"/>
  <c r="S355" i="18"/>
  <c r="L356" i="18"/>
  <c r="M356" i="18"/>
  <c r="N356" i="18"/>
  <c r="O356" i="18"/>
  <c r="P356" i="18"/>
  <c r="Q356" i="18"/>
  <c r="R356" i="18"/>
  <c r="S356" i="18"/>
  <c r="L357" i="18"/>
  <c r="M357" i="18"/>
  <c r="N357" i="18"/>
  <c r="O357" i="18"/>
  <c r="P357" i="18"/>
  <c r="Q357" i="18"/>
  <c r="R357" i="18"/>
  <c r="S357" i="18"/>
  <c r="L358" i="18"/>
  <c r="M358" i="18"/>
  <c r="N358" i="18"/>
  <c r="O358" i="18"/>
  <c r="P358" i="18"/>
  <c r="Q358" i="18"/>
  <c r="R358" i="18"/>
  <c r="S358" i="18"/>
  <c r="L359" i="18"/>
  <c r="M359" i="18"/>
  <c r="N359" i="18"/>
  <c r="O359" i="18"/>
  <c r="P359" i="18"/>
  <c r="Q359" i="18"/>
  <c r="R359" i="18"/>
  <c r="S359" i="18"/>
  <c r="L360" i="18"/>
  <c r="M360" i="18"/>
  <c r="N360" i="18"/>
  <c r="O360" i="18"/>
  <c r="P360" i="18"/>
  <c r="Q360" i="18"/>
  <c r="R360" i="18"/>
  <c r="S360" i="18"/>
  <c r="L361" i="18"/>
  <c r="M361" i="18"/>
  <c r="N361" i="18"/>
  <c r="O361" i="18"/>
  <c r="P361" i="18"/>
  <c r="Q361" i="18"/>
  <c r="R361" i="18"/>
  <c r="S361" i="18"/>
  <c r="L362" i="18"/>
  <c r="M362" i="18"/>
  <c r="N362" i="18"/>
  <c r="O362" i="18"/>
  <c r="P362" i="18"/>
  <c r="Q362" i="18"/>
  <c r="R362" i="18"/>
  <c r="S362" i="18"/>
  <c r="L363" i="18"/>
  <c r="M363" i="18"/>
  <c r="N363" i="18"/>
  <c r="O363" i="18"/>
  <c r="P363" i="18"/>
  <c r="Q363" i="18"/>
  <c r="R363" i="18"/>
  <c r="S363" i="18"/>
  <c r="L364" i="18"/>
  <c r="M364" i="18"/>
  <c r="N364" i="18"/>
  <c r="O364" i="18"/>
  <c r="P364" i="18"/>
  <c r="Q364" i="18"/>
  <c r="R364" i="18"/>
  <c r="S364" i="18"/>
  <c r="L365" i="18"/>
  <c r="M365" i="18"/>
  <c r="N365" i="18"/>
  <c r="O365" i="18"/>
  <c r="P365" i="18"/>
  <c r="Q365" i="18"/>
  <c r="R365" i="18"/>
  <c r="S365" i="18"/>
  <c r="L366" i="18"/>
  <c r="M366" i="18"/>
  <c r="N366" i="18"/>
  <c r="O366" i="18"/>
  <c r="P366" i="18"/>
  <c r="Q366" i="18"/>
  <c r="R366" i="18"/>
  <c r="S366" i="18"/>
  <c r="L367" i="18"/>
  <c r="M367" i="18"/>
  <c r="N367" i="18"/>
  <c r="O367" i="18"/>
  <c r="P367" i="18"/>
  <c r="Q367" i="18"/>
  <c r="R367" i="18"/>
  <c r="S367" i="18"/>
  <c r="L368" i="18"/>
  <c r="M368" i="18"/>
  <c r="N368" i="18"/>
  <c r="O368" i="18"/>
  <c r="P368" i="18"/>
  <c r="Q368" i="18"/>
  <c r="R368" i="18"/>
  <c r="S368" i="18"/>
  <c r="L369" i="18"/>
  <c r="M369" i="18"/>
  <c r="N369" i="18"/>
  <c r="O369" i="18"/>
  <c r="P369" i="18"/>
  <c r="Q369" i="18"/>
  <c r="R369" i="18"/>
  <c r="S369" i="18"/>
  <c r="L370" i="18"/>
  <c r="M370" i="18"/>
  <c r="N370" i="18"/>
  <c r="O370" i="18"/>
  <c r="P370" i="18"/>
  <c r="Q370" i="18"/>
  <c r="R370" i="18"/>
  <c r="S370" i="18"/>
  <c r="L371" i="18"/>
  <c r="M371" i="18"/>
  <c r="N371" i="18"/>
  <c r="O371" i="18"/>
  <c r="P371" i="18"/>
  <c r="Q371" i="18"/>
  <c r="R371" i="18"/>
  <c r="S371" i="18"/>
  <c r="L372" i="18"/>
  <c r="M372" i="18"/>
  <c r="N372" i="18"/>
  <c r="O372" i="18"/>
  <c r="P372" i="18"/>
  <c r="Q372" i="18"/>
  <c r="R372" i="18"/>
  <c r="S372" i="18"/>
  <c r="L373" i="18"/>
  <c r="M373" i="18"/>
  <c r="N373" i="18"/>
  <c r="O373" i="18"/>
  <c r="P373" i="18"/>
  <c r="Q373" i="18"/>
  <c r="R373" i="18"/>
  <c r="S373" i="18"/>
  <c r="L374" i="18"/>
  <c r="M374" i="18"/>
  <c r="N374" i="18"/>
  <c r="O374" i="18"/>
  <c r="P374" i="18"/>
  <c r="Q374" i="18"/>
  <c r="R374" i="18"/>
  <c r="S374" i="18"/>
  <c r="L375" i="18"/>
  <c r="M375" i="18"/>
  <c r="N375" i="18"/>
  <c r="O375" i="18"/>
  <c r="P375" i="18"/>
  <c r="Q375" i="18"/>
  <c r="R375" i="18"/>
  <c r="S375" i="18"/>
  <c r="L376" i="18"/>
  <c r="M376" i="18"/>
  <c r="N376" i="18"/>
  <c r="O376" i="18"/>
  <c r="P376" i="18"/>
  <c r="Q376" i="18"/>
  <c r="R376" i="18"/>
  <c r="S376" i="18"/>
  <c r="L377" i="18"/>
  <c r="M377" i="18"/>
  <c r="N377" i="18"/>
  <c r="O377" i="18"/>
  <c r="P377" i="18"/>
  <c r="Q377" i="18"/>
  <c r="R377" i="18"/>
  <c r="S377" i="18"/>
  <c r="L378" i="18"/>
  <c r="M378" i="18"/>
  <c r="N378" i="18"/>
  <c r="O378" i="18"/>
  <c r="P378" i="18"/>
  <c r="Q378" i="18"/>
  <c r="R378" i="18"/>
  <c r="S378" i="18"/>
  <c r="L379" i="18"/>
  <c r="M379" i="18"/>
  <c r="N379" i="18"/>
  <c r="O379" i="18"/>
  <c r="P379" i="18"/>
  <c r="Q379" i="18"/>
  <c r="R379" i="18"/>
  <c r="S379" i="18"/>
  <c r="L380" i="18"/>
  <c r="M380" i="18"/>
  <c r="N380" i="18"/>
  <c r="O380" i="18"/>
  <c r="P380" i="18"/>
  <c r="Q380" i="18"/>
  <c r="R380" i="18"/>
  <c r="S380" i="18"/>
  <c r="L381" i="18"/>
  <c r="M381" i="18"/>
  <c r="N381" i="18"/>
  <c r="O381" i="18"/>
  <c r="P381" i="18"/>
  <c r="Q381" i="18"/>
  <c r="R381" i="18"/>
  <c r="S381" i="18"/>
  <c r="L382" i="18"/>
  <c r="M382" i="18"/>
  <c r="N382" i="18"/>
  <c r="O382" i="18"/>
  <c r="P382" i="18"/>
  <c r="Q382" i="18"/>
  <c r="R382" i="18"/>
  <c r="S382" i="18"/>
  <c r="L383" i="18"/>
  <c r="M383" i="18"/>
  <c r="N383" i="18"/>
  <c r="O383" i="18"/>
  <c r="P383" i="18"/>
  <c r="Q383" i="18"/>
  <c r="R383" i="18"/>
  <c r="S383" i="18"/>
  <c r="L384" i="18"/>
  <c r="M384" i="18"/>
  <c r="N384" i="18"/>
  <c r="O384" i="18"/>
  <c r="P384" i="18"/>
  <c r="Q384" i="18"/>
  <c r="R384" i="18"/>
  <c r="S384" i="18"/>
  <c r="L385" i="18"/>
  <c r="M385" i="18"/>
  <c r="N385" i="18"/>
  <c r="O385" i="18"/>
  <c r="P385" i="18"/>
  <c r="Q385" i="18"/>
  <c r="R385" i="18"/>
  <c r="S385" i="18"/>
  <c r="L386" i="18"/>
  <c r="M386" i="18"/>
  <c r="N386" i="18"/>
  <c r="O386" i="18"/>
  <c r="P386" i="18"/>
  <c r="Q386" i="18"/>
  <c r="R386" i="18"/>
  <c r="S386" i="18"/>
  <c r="L387" i="18"/>
  <c r="M387" i="18"/>
  <c r="N387" i="18"/>
  <c r="O387" i="18"/>
  <c r="P387" i="18"/>
  <c r="Q387" i="18"/>
  <c r="R387" i="18"/>
  <c r="S387" i="18"/>
  <c r="L388" i="18"/>
  <c r="M388" i="18"/>
  <c r="N388" i="18"/>
  <c r="O388" i="18"/>
  <c r="P388" i="18"/>
  <c r="Q388" i="18"/>
  <c r="R388" i="18"/>
  <c r="S388" i="18"/>
  <c r="L389" i="18"/>
  <c r="M389" i="18"/>
  <c r="N389" i="18"/>
  <c r="O389" i="18"/>
  <c r="P389" i="18"/>
  <c r="Q389" i="18"/>
  <c r="R389" i="18"/>
  <c r="S389" i="18"/>
  <c r="L390" i="18"/>
  <c r="M390" i="18"/>
  <c r="N390" i="18"/>
  <c r="O390" i="18"/>
  <c r="P390" i="18"/>
  <c r="Q390" i="18"/>
  <c r="R390" i="18"/>
  <c r="S390" i="18"/>
  <c r="L391" i="18"/>
  <c r="M391" i="18"/>
  <c r="N391" i="18"/>
  <c r="O391" i="18"/>
  <c r="P391" i="18"/>
  <c r="Q391" i="18"/>
  <c r="R391" i="18"/>
  <c r="S391" i="18"/>
  <c r="L392" i="18"/>
  <c r="M392" i="18"/>
  <c r="N392" i="18"/>
  <c r="O392" i="18"/>
  <c r="P392" i="18"/>
  <c r="Q392" i="18"/>
  <c r="R392" i="18"/>
  <c r="S392" i="18"/>
  <c r="L393" i="18"/>
  <c r="M393" i="18"/>
  <c r="N393" i="18"/>
  <c r="O393" i="18"/>
  <c r="P393" i="18"/>
  <c r="Q393" i="18"/>
  <c r="R393" i="18"/>
  <c r="S393" i="18"/>
  <c r="L394" i="18"/>
  <c r="M394" i="18"/>
  <c r="N394" i="18"/>
  <c r="O394" i="18"/>
  <c r="P394" i="18"/>
  <c r="Q394" i="18"/>
  <c r="R394" i="18"/>
  <c r="S394" i="18"/>
  <c r="L395" i="18"/>
  <c r="M395" i="18"/>
  <c r="N395" i="18"/>
  <c r="O395" i="18"/>
  <c r="P395" i="18"/>
  <c r="Q395" i="18"/>
  <c r="R395" i="18"/>
  <c r="S395" i="18"/>
  <c r="L396" i="18"/>
  <c r="M396" i="18"/>
  <c r="N396" i="18"/>
  <c r="O396" i="18"/>
  <c r="P396" i="18"/>
  <c r="Q396" i="18"/>
  <c r="R396" i="18"/>
  <c r="S396" i="18"/>
  <c r="L397" i="18"/>
  <c r="M397" i="18"/>
  <c r="N397" i="18"/>
  <c r="O397" i="18"/>
  <c r="P397" i="18"/>
  <c r="Q397" i="18"/>
  <c r="R397" i="18"/>
  <c r="S397" i="18"/>
  <c r="L398" i="18"/>
  <c r="M398" i="18"/>
  <c r="N398" i="18"/>
  <c r="O398" i="18"/>
  <c r="P398" i="18"/>
  <c r="Q398" i="18"/>
  <c r="R398" i="18"/>
  <c r="S398" i="18"/>
  <c r="L399" i="18"/>
  <c r="M399" i="18"/>
  <c r="N399" i="18"/>
  <c r="O399" i="18"/>
  <c r="P399" i="18"/>
  <c r="Q399" i="18"/>
  <c r="R399" i="18"/>
  <c r="S399" i="18"/>
  <c r="L400" i="18"/>
  <c r="M400" i="18"/>
  <c r="N400" i="18"/>
  <c r="O400" i="18"/>
  <c r="P400" i="18"/>
  <c r="Q400" i="18"/>
  <c r="R400" i="18"/>
  <c r="S400" i="18"/>
  <c r="L401" i="18"/>
  <c r="M401" i="18"/>
  <c r="N401" i="18"/>
  <c r="O401" i="18"/>
  <c r="P401" i="18"/>
  <c r="Q401" i="18"/>
  <c r="R401" i="18"/>
  <c r="S401" i="18"/>
  <c r="L402" i="18"/>
  <c r="M402" i="18"/>
  <c r="N402" i="18"/>
  <c r="O402" i="18"/>
  <c r="P402" i="18"/>
  <c r="Q402" i="18"/>
  <c r="R402" i="18"/>
  <c r="S402" i="18"/>
  <c r="L403" i="18"/>
  <c r="M403" i="18"/>
  <c r="N403" i="18"/>
  <c r="O403" i="18"/>
  <c r="P403" i="18"/>
  <c r="Q403" i="18"/>
  <c r="R403" i="18"/>
  <c r="S403" i="18"/>
  <c r="L404" i="18"/>
  <c r="M404" i="18"/>
  <c r="N404" i="18"/>
  <c r="O404" i="18"/>
  <c r="P404" i="18"/>
  <c r="Q404" i="18"/>
  <c r="R404" i="18"/>
  <c r="S404" i="18"/>
  <c r="L405" i="18"/>
  <c r="M405" i="18"/>
  <c r="N405" i="18"/>
  <c r="O405" i="18"/>
  <c r="P405" i="18"/>
  <c r="Q405" i="18"/>
  <c r="R405" i="18"/>
  <c r="S405" i="18"/>
  <c r="L406" i="18"/>
  <c r="M406" i="18"/>
  <c r="N406" i="18"/>
  <c r="O406" i="18"/>
  <c r="P406" i="18"/>
  <c r="Q406" i="18"/>
  <c r="R406" i="18"/>
  <c r="S406" i="18"/>
  <c r="L407" i="18"/>
  <c r="M407" i="18"/>
  <c r="N407" i="18"/>
  <c r="O407" i="18"/>
  <c r="P407" i="18"/>
  <c r="Q407" i="18"/>
  <c r="R407" i="18"/>
  <c r="S407" i="18"/>
  <c r="L408" i="18"/>
  <c r="M408" i="18"/>
  <c r="N408" i="18"/>
  <c r="O408" i="18"/>
  <c r="P408" i="18"/>
  <c r="Q408" i="18"/>
  <c r="R408" i="18"/>
  <c r="S408" i="18"/>
  <c r="L409" i="18"/>
  <c r="M409" i="18"/>
  <c r="N409" i="18"/>
  <c r="O409" i="18"/>
  <c r="P409" i="18"/>
  <c r="Q409" i="18"/>
  <c r="R409" i="18"/>
  <c r="S409" i="18"/>
  <c r="L410" i="18"/>
  <c r="M410" i="18"/>
  <c r="N410" i="18"/>
  <c r="O410" i="18"/>
  <c r="P410" i="18"/>
  <c r="Q410" i="18"/>
  <c r="R410" i="18"/>
  <c r="S410" i="18"/>
  <c r="L411" i="18"/>
  <c r="M411" i="18"/>
  <c r="N411" i="18"/>
  <c r="O411" i="18"/>
  <c r="P411" i="18"/>
  <c r="Q411" i="18"/>
  <c r="R411" i="18"/>
  <c r="S411" i="18"/>
  <c r="L412" i="18"/>
  <c r="M412" i="18"/>
  <c r="N412" i="18"/>
  <c r="O412" i="18"/>
  <c r="P412" i="18"/>
  <c r="Q412" i="18"/>
  <c r="R412" i="18"/>
  <c r="S412" i="18"/>
  <c r="L413" i="18"/>
  <c r="M413" i="18"/>
  <c r="N413" i="18"/>
  <c r="O413" i="18"/>
  <c r="P413" i="18"/>
  <c r="Q413" i="18"/>
  <c r="R413" i="18"/>
  <c r="S413" i="18"/>
  <c r="L414" i="18"/>
  <c r="M414" i="18"/>
  <c r="N414" i="18"/>
  <c r="O414" i="18"/>
  <c r="P414" i="18"/>
  <c r="Q414" i="18"/>
  <c r="R414" i="18"/>
  <c r="S414" i="18"/>
  <c r="L415" i="18"/>
  <c r="M415" i="18"/>
  <c r="N415" i="18"/>
  <c r="O415" i="18"/>
  <c r="P415" i="18"/>
  <c r="Q415" i="18"/>
  <c r="R415" i="18"/>
  <c r="S415" i="18"/>
  <c r="L416" i="18"/>
  <c r="M416" i="18"/>
  <c r="N416" i="18"/>
  <c r="O416" i="18"/>
  <c r="P416" i="18"/>
  <c r="Q416" i="18"/>
  <c r="R416" i="18"/>
  <c r="S416" i="18"/>
  <c r="L417" i="18"/>
  <c r="M417" i="18"/>
  <c r="N417" i="18"/>
  <c r="O417" i="18"/>
  <c r="P417" i="18"/>
  <c r="Q417" i="18"/>
  <c r="R417" i="18"/>
  <c r="S417" i="18"/>
  <c r="L418" i="18"/>
  <c r="M418" i="18"/>
  <c r="N418" i="18"/>
  <c r="O418" i="18"/>
  <c r="P418" i="18"/>
  <c r="Q418" i="18"/>
  <c r="R418" i="18"/>
  <c r="S418" i="18"/>
  <c r="L419" i="18"/>
  <c r="M419" i="18"/>
  <c r="N419" i="18"/>
  <c r="O419" i="18"/>
  <c r="P419" i="18"/>
  <c r="Q419" i="18"/>
  <c r="R419" i="18"/>
  <c r="S419" i="18"/>
  <c r="L420" i="18"/>
  <c r="M420" i="18"/>
  <c r="N420" i="18"/>
  <c r="O420" i="18"/>
  <c r="P420" i="18"/>
  <c r="Q420" i="18"/>
  <c r="R420" i="18"/>
  <c r="S420" i="18"/>
  <c r="L421" i="18"/>
  <c r="M421" i="18"/>
  <c r="N421" i="18"/>
  <c r="O421" i="18"/>
  <c r="P421" i="18"/>
  <c r="Q421" i="18"/>
  <c r="R421" i="18"/>
  <c r="S421" i="18"/>
  <c r="L422" i="18"/>
  <c r="M422" i="18"/>
  <c r="N422" i="18"/>
  <c r="O422" i="18"/>
  <c r="P422" i="18"/>
  <c r="Q422" i="18"/>
  <c r="R422" i="18"/>
  <c r="S422" i="18"/>
  <c r="L423" i="18"/>
  <c r="M423" i="18"/>
  <c r="N423" i="18"/>
  <c r="O423" i="18"/>
  <c r="P423" i="18"/>
  <c r="Q423" i="18"/>
  <c r="R423" i="18"/>
  <c r="S423" i="18"/>
  <c r="L424" i="18"/>
  <c r="M424" i="18"/>
  <c r="N424" i="18"/>
  <c r="O424" i="18"/>
  <c r="P424" i="18"/>
  <c r="Q424" i="18"/>
  <c r="R424" i="18"/>
  <c r="S424" i="18"/>
  <c r="L425" i="18"/>
  <c r="M425" i="18"/>
  <c r="N425" i="18"/>
  <c r="O425" i="18"/>
  <c r="P425" i="18"/>
  <c r="Q425" i="18"/>
  <c r="R425" i="18"/>
  <c r="S425" i="18"/>
  <c r="L426" i="18"/>
  <c r="M426" i="18"/>
  <c r="N426" i="18"/>
  <c r="O426" i="18"/>
  <c r="P426" i="18"/>
  <c r="Q426" i="18"/>
  <c r="R426" i="18"/>
  <c r="S426" i="18"/>
  <c r="L427" i="18"/>
  <c r="M427" i="18"/>
  <c r="N427" i="18"/>
  <c r="O427" i="18"/>
  <c r="P427" i="18"/>
  <c r="Q427" i="18"/>
  <c r="R427" i="18"/>
  <c r="S427" i="18"/>
  <c r="L428" i="18"/>
  <c r="M428" i="18"/>
  <c r="N428" i="18"/>
  <c r="O428" i="18"/>
  <c r="P428" i="18"/>
  <c r="Q428" i="18"/>
  <c r="R428" i="18"/>
  <c r="S428" i="18"/>
  <c r="L429" i="18"/>
  <c r="M429" i="18"/>
  <c r="N429" i="18"/>
  <c r="O429" i="18"/>
  <c r="P429" i="18"/>
  <c r="Q429" i="18"/>
  <c r="R429" i="18"/>
  <c r="S429" i="18"/>
  <c r="L430" i="18"/>
  <c r="M430" i="18"/>
  <c r="N430" i="18"/>
  <c r="O430" i="18"/>
  <c r="P430" i="18"/>
  <c r="Q430" i="18"/>
  <c r="R430" i="18"/>
  <c r="S430" i="18"/>
  <c r="L431" i="18"/>
  <c r="M431" i="18"/>
  <c r="N431" i="18"/>
  <c r="O431" i="18"/>
  <c r="P431" i="18"/>
  <c r="Q431" i="18"/>
  <c r="R431" i="18"/>
  <c r="S431" i="18"/>
  <c r="L432" i="18"/>
  <c r="M432" i="18"/>
  <c r="N432" i="18"/>
  <c r="O432" i="18"/>
  <c r="P432" i="18"/>
  <c r="Q432" i="18"/>
  <c r="R432" i="18"/>
  <c r="S432" i="18"/>
  <c r="L433" i="18"/>
  <c r="M433" i="18"/>
  <c r="N433" i="18"/>
  <c r="O433" i="18"/>
  <c r="P433" i="18"/>
  <c r="Q433" i="18"/>
  <c r="R433" i="18"/>
  <c r="S433" i="18"/>
  <c r="L434" i="18"/>
  <c r="M434" i="18"/>
  <c r="N434" i="18"/>
  <c r="O434" i="18"/>
  <c r="P434" i="18"/>
  <c r="Q434" i="18"/>
  <c r="R434" i="18"/>
  <c r="S434" i="18"/>
  <c r="L435" i="18"/>
  <c r="M435" i="18"/>
  <c r="N435" i="18"/>
  <c r="O435" i="18"/>
  <c r="P435" i="18"/>
  <c r="Q435" i="18"/>
  <c r="R435" i="18"/>
  <c r="S435" i="18"/>
  <c r="L436" i="18"/>
  <c r="M436" i="18"/>
  <c r="N436" i="18"/>
  <c r="O436" i="18"/>
  <c r="P436" i="18"/>
  <c r="Q436" i="18"/>
  <c r="R436" i="18"/>
  <c r="S436" i="18"/>
  <c r="L437" i="18"/>
  <c r="M437" i="18"/>
  <c r="N437" i="18"/>
  <c r="O437" i="18"/>
  <c r="P437" i="18"/>
  <c r="Q437" i="18"/>
  <c r="R437" i="18"/>
  <c r="S437" i="18"/>
  <c r="L438" i="18"/>
  <c r="M438" i="18"/>
  <c r="N438" i="18"/>
  <c r="O438" i="18"/>
  <c r="P438" i="18"/>
  <c r="Q438" i="18"/>
  <c r="R438" i="18"/>
  <c r="S438" i="18"/>
  <c r="L439" i="18"/>
  <c r="M439" i="18"/>
  <c r="N439" i="18"/>
  <c r="O439" i="18"/>
  <c r="P439" i="18"/>
  <c r="Q439" i="18"/>
  <c r="R439" i="18"/>
  <c r="S439" i="18"/>
  <c r="L440" i="18"/>
  <c r="M440" i="18"/>
  <c r="N440" i="18"/>
  <c r="O440" i="18"/>
  <c r="P440" i="18"/>
  <c r="Q440" i="18"/>
  <c r="R440" i="18"/>
  <c r="S440" i="18"/>
  <c r="L441" i="18"/>
  <c r="M441" i="18"/>
  <c r="N441" i="18"/>
  <c r="O441" i="18"/>
  <c r="P441" i="18"/>
  <c r="Q441" i="18"/>
  <c r="R441" i="18"/>
  <c r="S441" i="18"/>
  <c r="L442" i="18"/>
  <c r="M442" i="18"/>
  <c r="N442" i="18"/>
  <c r="O442" i="18"/>
  <c r="P442" i="18"/>
  <c r="Q442" i="18"/>
  <c r="R442" i="18"/>
  <c r="S442" i="18"/>
  <c r="L443" i="18"/>
  <c r="M443" i="18"/>
  <c r="N443" i="18"/>
  <c r="O443" i="18"/>
  <c r="P443" i="18"/>
  <c r="Q443" i="18"/>
  <c r="R443" i="18"/>
  <c r="S443" i="18"/>
  <c r="L444" i="18"/>
  <c r="M444" i="18"/>
  <c r="N444" i="18"/>
  <c r="O444" i="18"/>
  <c r="P444" i="18"/>
  <c r="Q444" i="18"/>
  <c r="R444" i="18"/>
  <c r="S444" i="18"/>
  <c r="L445" i="18"/>
  <c r="M445" i="18"/>
  <c r="N445" i="18"/>
  <c r="O445" i="18"/>
  <c r="P445" i="18"/>
  <c r="Q445" i="18"/>
  <c r="R445" i="18"/>
  <c r="S445" i="18"/>
  <c r="L446" i="18"/>
  <c r="M446" i="18"/>
  <c r="N446" i="18"/>
  <c r="O446" i="18"/>
  <c r="P446" i="18"/>
  <c r="Q446" i="18"/>
  <c r="R446" i="18"/>
  <c r="S446" i="18"/>
  <c r="L447" i="18"/>
  <c r="M447" i="18"/>
  <c r="N447" i="18"/>
  <c r="O447" i="18"/>
  <c r="P447" i="18"/>
  <c r="Q447" i="18"/>
  <c r="R447" i="18"/>
  <c r="S447" i="18"/>
  <c r="L448" i="18"/>
  <c r="M448" i="18"/>
  <c r="N448" i="18"/>
  <c r="O448" i="18"/>
  <c r="P448" i="18"/>
  <c r="Q448" i="18"/>
  <c r="R448" i="18"/>
  <c r="S448" i="18"/>
  <c r="L449" i="18"/>
  <c r="M449" i="18"/>
  <c r="N449" i="18"/>
  <c r="O449" i="18"/>
  <c r="P449" i="18"/>
  <c r="Q449" i="18"/>
  <c r="R449" i="18"/>
  <c r="S449" i="18"/>
  <c r="L450" i="18"/>
  <c r="M450" i="18"/>
  <c r="N450" i="18"/>
  <c r="O450" i="18"/>
  <c r="P450" i="18"/>
  <c r="Q450" i="18"/>
  <c r="R450" i="18"/>
  <c r="S450" i="18"/>
  <c r="L451" i="18"/>
  <c r="M451" i="18"/>
  <c r="N451" i="18"/>
  <c r="O451" i="18"/>
  <c r="P451" i="18"/>
  <c r="Q451" i="18"/>
  <c r="R451" i="18"/>
  <c r="S451" i="18"/>
  <c r="L452" i="18"/>
  <c r="M452" i="18"/>
  <c r="N452" i="18"/>
  <c r="O452" i="18"/>
  <c r="P452" i="18"/>
  <c r="Q452" i="18"/>
  <c r="R452" i="18"/>
  <c r="S452" i="18"/>
  <c r="L453" i="18"/>
  <c r="M453" i="18"/>
  <c r="N453" i="18"/>
  <c r="O453" i="18"/>
  <c r="P453" i="18"/>
  <c r="Q453" i="18"/>
  <c r="R453" i="18"/>
  <c r="S453" i="18"/>
  <c r="L454" i="18"/>
  <c r="M454" i="18"/>
  <c r="N454" i="18"/>
  <c r="O454" i="18"/>
  <c r="P454" i="18"/>
  <c r="Q454" i="18"/>
  <c r="R454" i="18"/>
  <c r="S454" i="18"/>
  <c r="L455" i="18"/>
  <c r="M455" i="18"/>
  <c r="N455" i="18"/>
  <c r="O455" i="18"/>
  <c r="P455" i="18"/>
  <c r="Q455" i="18"/>
  <c r="R455" i="18"/>
  <c r="S455" i="18"/>
  <c r="L456" i="18"/>
  <c r="M456" i="18"/>
  <c r="N456" i="18"/>
  <c r="O456" i="18"/>
  <c r="P456" i="18"/>
  <c r="Q456" i="18"/>
  <c r="R456" i="18"/>
  <c r="S456" i="18"/>
  <c r="L457" i="18"/>
  <c r="M457" i="18"/>
  <c r="N457" i="18"/>
  <c r="O457" i="18"/>
  <c r="P457" i="18"/>
  <c r="Q457" i="18"/>
  <c r="R457" i="18"/>
  <c r="S457" i="18"/>
  <c r="L458" i="18"/>
  <c r="M458" i="18"/>
  <c r="N458" i="18"/>
  <c r="O458" i="18"/>
  <c r="P458" i="18"/>
  <c r="Q458" i="18"/>
  <c r="R458" i="18"/>
  <c r="S458" i="18"/>
  <c r="L459" i="18"/>
  <c r="M459" i="18"/>
  <c r="N459" i="18"/>
  <c r="O459" i="18"/>
  <c r="P459" i="18"/>
  <c r="Q459" i="18"/>
  <c r="R459" i="18"/>
  <c r="S459" i="18"/>
  <c r="L460" i="18"/>
  <c r="M460" i="18"/>
  <c r="N460" i="18"/>
  <c r="O460" i="18"/>
  <c r="P460" i="18"/>
  <c r="Q460" i="18"/>
  <c r="R460" i="18"/>
  <c r="S460" i="18"/>
  <c r="L461" i="18"/>
  <c r="M461" i="18"/>
  <c r="N461" i="18"/>
  <c r="O461" i="18"/>
  <c r="P461" i="18"/>
  <c r="Q461" i="18"/>
  <c r="R461" i="18"/>
  <c r="S461" i="18"/>
  <c r="L462" i="18"/>
  <c r="M462" i="18"/>
  <c r="N462" i="18"/>
  <c r="O462" i="18"/>
  <c r="P462" i="18"/>
  <c r="Q462" i="18"/>
  <c r="R462" i="18"/>
  <c r="S462" i="18"/>
  <c r="L463" i="18"/>
  <c r="M463" i="18"/>
  <c r="N463" i="18"/>
  <c r="O463" i="18"/>
  <c r="P463" i="18"/>
  <c r="Q463" i="18"/>
  <c r="R463" i="18"/>
  <c r="S463" i="18"/>
  <c r="L464" i="18"/>
  <c r="M464" i="18"/>
  <c r="N464" i="18"/>
  <c r="O464" i="18"/>
  <c r="P464" i="18"/>
  <c r="Q464" i="18"/>
  <c r="R464" i="18"/>
  <c r="S464" i="18"/>
  <c r="L465" i="18"/>
  <c r="M465" i="18"/>
  <c r="N465" i="18"/>
  <c r="O465" i="18"/>
  <c r="P465" i="18"/>
  <c r="Q465" i="18"/>
  <c r="R465" i="18"/>
  <c r="S465" i="18"/>
  <c r="L466" i="18"/>
  <c r="M466" i="18"/>
  <c r="N466" i="18"/>
  <c r="O466" i="18"/>
  <c r="P466" i="18"/>
  <c r="Q466" i="18"/>
  <c r="R466" i="18"/>
  <c r="S466" i="18"/>
  <c r="L467" i="18"/>
  <c r="M467" i="18"/>
  <c r="N467" i="18"/>
  <c r="O467" i="18"/>
  <c r="P467" i="18"/>
  <c r="Q467" i="18"/>
  <c r="R467" i="18"/>
  <c r="S467" i="18"/>
  <c r="L468" i="18"/>
  <c r="M468" i="18"/>
  <c r="N468" i="18"/>
  <c r="O468" i="18"/>
  <c r="P468" i="18"/>
  <c r="Q468" i="18"/>
  <c r="R468" i="18"/>
  <c r="S468" i="18"/>
  <c r="L469" i="18"/>
  <c r="M469" i="18"/>
  <c r="N469" i="18"/>
  <c r="O469" i="18"/>
  <c r="P469" i="18"/>
  <c r="Q469" i="18"/>
  <c r="R469" i="18"/>
  <c r="S469" i="18"/>
  <c r="L470" i="18"/>
  <c r="M470" i="18"/>
  <c r="N470" i="18"/>
  <c r="O470" i="18"/>
  <c r="P470" i="18"/>
  <c r="Q470" i="18"/>
  <c r="R470" i="18"/>
  <c r="S470" i="18"/>
  <c r="L471" i="18"/>
  <c r="M471" i="18"/>
  <c r="N471" i="18"/>
  <c r="O471" i="18"/>
  <c r="P471" i="18"/>
  <c r="Q471" i="18"/>
  <c r="R471" i="18"/>
  <c r="S471" i="18"/>
  <c r="L472" i="18"/>
  <c r="M472" i="18"/>
  <c r="N472" i="18"/>
  <c r="O472" i="18"/>
  <c r="P472" i="18"/>
  <c r="Q472" i="18"/>
  <c r="R472" i="18"/>
  <c r="S472" i="18"/>
  <c r="L473" i="18"/>
  <c r="M473" i="18"/>
  <c r="N473" i="18"/>
  <c r="O473" i="18"/>
  <c r="P473" i="18"/>
  <c r="Q473" i="18"/>
  <c r="R473" i="18"/>
  <c r="S473" i="18"/>
  <c r="L474" i="18"/>
  <c r="M474" i="18"/>
  <c r="N474" i="18"/>
  <c r="O474" i="18"/>
  <c r="P474" i="18"/>
  <c r="Q474" i="18"/>
  <c r="R474" i="18"/>
  <c r="S474" i="18"/>
  <c r="L475" i="18"/>
  <c r="M475" i="18"/>
  <c r="N475" i="18"/>
  <c r="O475" i="18"/>
  <c r="P475" i="18"/>
  <c r="Q475" i="18"/>
  <c r="R475" i="18"/>
  <c r="S475" i="18"/>
  <c r="L476" i="18"/>
  <c r="M476" i="18"/>
  <c r="N476" i="18"/>
  <c r="O476" i="18"/>
  <c r="P476" i="18"/>
  <c r="Q476" i="18"/>
  <c r="R476" i="18"/>
  <c r="S476" i="18"/>
  <c r="L477" i="18"/>
  <c r="M477" i="18"/>
  <c r="N477" i="18"/>
  <c r="O477" i="18"/>
  <c r="P477" i="18"/>
  <c r="Q477" i="18"/>
  <c r="R477" i="18"/>
  <c r="S477" i="18"/>
  <c r="L478" i="18"/>
  <c r="M478" i="18"/>
  <c r="N478" i="18"/>
  <c r="O478" i="18"/>
  <c r="P478" i="18"/>
  <c r="Q478" i="18"/>
  <c r="R478" i="18"/>
  <c r="S478" i="18"/>
  <c r="L479" i="18"/>
  <c r="M479" i="18"/>
  <c r="N479" i="18"/>
  <c r="O479" i="18"/>
  <c r="P479" i="18"/>
  <c r="Q479" i="18"/>
  <c r="R479" i="18"/>
  <c r="S479" i="18"/>
  <c r="L480" i="18"/>
  <c r="M480" i="18"/>
  <c r="N480" i="18"/>
  <c r="O480" i="18"/>
  <c r="P480" i="18"/>
  <c r="Q480" i="18"/>
  <c r="R480" i="18"/>
  <c r="S480" i="18"/>
  <c r="L481" i="18"/>
  <c r="M481" i="18"/>
  <c r="N481" i="18"/>
  <c r="O481" i="18"/>
  <c r="P481" i="18"/>
  <c r="Q481" i="18"/>
  <c r="R481" i="18"/>
  <c r="S481" i="18"/>
  <c r="L482" i="18"/>
  <c r="M482" i="18"/>
  <c r="N482" i="18"/>
  <c r="O482" i="18"/>
  <c r="P482" i="18"/>
  <c r="Q482" i="18"/>
  <c r="R482" i="18"/>
  <c r="S482" i="18"/>
  <c r="L483" i="18"/>
  <c r="M483" i="18"/>
  <c r="N483" i="18"/>
  <c r="O483" i="18"/>
  <c r="P483" i="18"/>
  <c r="Q483" i="18"/>
  <c r="R483" i="18"/>
  <c r="S483" i="18"/>
  <c r="L484" i="18"/>
  <c r="M484" i="18"/>
  <c r="N484" i="18"/>
  <c r="O484" i="18"/>
  <c r="P484" i="18"/>
  <c r="Q484" i="18"/>
  <c r="R484" i="18"/>
  <c r="S484" i="18"/>
  <c r="L485" i="18"/>
  <c r="M485" i="18"/>
  <c r="N485" i="18"/>
  <c r="O485" i="18"/>
  <c r="P485" i="18"/>
  <c r="Q485" i="18"/>
  <c r="R485" i="18"/>
  <c r="S485" i="18"/>
  <c r="L486" i="18"/>
  <c r="M486" i="18"/>
  <c r="N486" i="18"/>
  <c r="O486" i="18"/>
  <c r="P486" i="18"/>
  <c r="Q486" i="18"/>
  <c r="R486" i="18"/>
  <c r="S486" i="18"/>
  <c r="L487" i="18"/>
  <c r="M487" i="18"/>
  <c r="N487" i="18"/>
  <c r="O487" i="18"/>
  <c r="P487" i="18"/>
  <c r="Q487" i="18"/>
  <c r="R487" i="18"/>
  <c r="S487" i="18"/>
  <c r="L488" i="18"/>
  <c r="M488" i="18"/>
  <c r="N488" i="18"/>
  <c r="O488" i="18"/>
  <c r="P488" i="18"/>
  <c r="Q488" i="18"/>
  <c r="R488" i="18"/>
  <c r="S488" i="18"/>
  <c r="L489" i="18"/>
  <c r="M489" i="18"/>
  <c r="N489" i="18"/>
  <c r="O489" i="18"/>
  <c r="P489" i="18"/>
  <c r="Q489" i="18"/>
  <c r="R489" i="18"/>
  <c r="S489" i="18"/>
  <c r="L490" i="18"/>
  <c r="M490" i="18"/>
  <c r="N490" i="18"/>
  <c r="O490" i="18"/>
  <c r="P490" i="18"/>
  <c r="Q490" i="18"/>
  <c r="R490" i="18"/>
  <c r="S490" i="18"/>
  <c r="L491" i="18"/>
  <c r="M491" i="18"/>
  <c r="N491" i="18"/>
  <c r="O491" i="18"/>
  <c r="P491" i="18"/>
  <c r="Q491" i="18"/>
  <c r="R491" i="18"/>
  <c r="S491" i="18"/>
  <c r="Q3" i="18"/>
  <c r="R3" i="18"/>
  <c r="S3" i="18"/>
  <c r="M3" i="18"/>
  <c r="N3" i="18"/>
  <c r="O3" i="18"/>
  <c r="P3" i="18"/>
  <c r="L3" i="18"/>
  <c r="E41" i="17"/>
  <c r="N30" i="17"/>
  <c r="N34" i="17"/>
  <c r="I36" i="17"/>
  <c r="G37" i="17"/>
  <c r="G36" i="17"/>
  <c r="B38" i="17"/>
  <c r="B37" i="17"/>
  <c r="B36" i="17"/>
  <c r="G34" i="17"/>
  <c r="G30" i="17"/>
  <c r="G29" i="17"/>
  <c r="G25" i="17"/>
  <c r="M15" i="17"/>
  <c r="M19" i="17"/>
  <c r="M17" i="17"/>
  <c r="M21" i="17" s="1"/>
  <c r="G24" i="17"/>
  <c r="Z21" i="16"/>
  <c r="I9" i="16"/>
  <c r="J9" i="16"/>
  <c r="K9" i="16"/>
  <c r="L9" i="16"/>
  <c r="I10" i="16"/>
  <c r="J10" i="16"/>
  <c r="K10" i="16"/>
  <c r="L10" i="16"/>
  <c r="I11" i="16"/>
  <c r="J11" i="16"/>
  <c r="K11" i="16"/>
  <c r="L11" i="16"/>
  <c r="I12" i="16"/>
  <c r="J12" i="16"/>
  <c r="K12" i="16"/>
  <c r="L12" i="16"/>
  <c r="I13" i="16"/>
  <c r="J13" i="16"/>
  <c r="K13" i="16"/>
  <c r="L13" i="16"/>
  <c r="I14" i="16"/>
  <c r="J14" i="16"/>
  <c r="K14" i="16"/>
  <c r="L14" i="16"/>
  <c r="I15" i="16"/>
  <c r="J15" i="16"/>
  <c r="K15" i="16"/>
  <c r="L15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I19" i="16"/>
  <c r="J19" i="16"/>
  <c r="K19" i="16"/>
  <c r="L19" i="16"/>
  <c r="I20" i="16"/>
  <c r="J20" i="16"/>
  <c r="K20" i="16"/>
  <c r="L20" i="16"/>
  <c r="I21" i="16"/>
  <c r="J21" i="16"/>
  <c r="K21" i="16"/>
  <c r="L21" i="16"/>
  <c r="I22" i="16"/>
  <c r="J22" i="16"/>
  <c r="K22" i="16"/>
  <c r="L22" i="16"/>
  <c r="I23" i="16"/>
  <c r="J23" i="16"/>
  <c r="K23" i="16"/>
  <c r="L23" i="16"/>
  <c r="I24" i="16"/>
  <c r="J24" i="16"/>
  <c r="K24" i="16"/>
  <c r="L24" i="16"/>
  <c r="I25" i="16"/>
  <c r="J25" i="16"/>
  <c r="K25" i="16"/>
  <c r="L25" i="16"/>
  <c r="I26" i="16"/>
  <c r="J26" i="16"/>
  <c r="K26" i="16"/>
  <c r="L26" i="16"/>
  <c r="I27" i="16"/>
  <c r="J27" i="16"/>
  <c r="K27" i="16"/>
  <c r="L27" i="16"/>
  <c r="I28" i="16"/>
  <c r="J28" i="16"/>
  <c r="K28" i="16"/>
  <c r="L28" i="16"/>
  <c r="I29" i="16"/>
  <c r="J29" i="16"/>
  <c r="K29" i="16"/>
  <c r="L29" i="16"/>
  <c r="I30" i="16"/>
  <c r="J30" i="16"/>
  <c r="K30" i="16"/>
  <c r="L30" i="16"/>
  <c r="I31" i="16"/>
  <c r="J31" i="16"/>
  <c r="K31" i="16"/>
  <c r="L31" i="16"/>
  <c r="I32" i="16"/>
  <c r="J32" i="16"/>
  <c r="K32" i="16"/>
  <c r="L32" i="16"/>
  <c r="I33" i="16"/>
  <c r="J33" i="16"/>
  <c r="K33" i="16"/>
  <c r="L33" i="16"/>
  <c r="I34" i="16"/>
  <c r="J34" i="16"/>
  <c r="K34" i="16"/>
  <c r="L34" i="16"/>
  <c r="I35" i="16"/>
  <c r="J35" i="16"/>
  <c r="K35" i="16"/>
  <c r="L35" i="16"/>
  <c r="I36" i="16"/>
  <c r="J36" i="16"/>
  <c r="K36" i="16"/>
  <c r="L36" i="16"/>
  <c r="I37" i="16"/>
  <c r="J37" i="16"/>
  <c r="K37" i="16"/>
  <c r="L37" i="16"/>
  <c r="I38" i="16"/>
  <c r="J38" i="16"/>
  <c r="K38" i="16"/>
  <c r="L38" i="16"/>
  <c r="I39" i="16"/>
  <c r="J39" i="16"/>
  <c r="K39" i="16"/>
  <c r="L39" i="16"/>
  <c r="I40" i="16"/>
  <c r="J40" i="16"/>
  <c r="K40" i="16"/>
  <c r="L40" i="16"/>
  <c r="I41" i="16"/>
  <c r="J41" i="16"/>
  <c r="K41" i="16"/>
  <c r="L41" i="16"/>
  <c r="I42" i="16"/>
  <c r="J42" i="16"/>
  <c r="K42" i="16"/>
  <c r="L42" i="16"/>
  <c r="I43" i="16"/>
  <c r="J43" i="16"/>
  <c r="K43" i="16"/>
  <c r="L43" i="16"/>
  <c r="I44" i="16"/>
  <c r="J44" i="16"/>
  <c r="K44" i="16"/>
  <c r="L44" i="16"/>
  <c r="I45" i="16"/>
  <c r="J45" i="16"/>
  <c r="K45" i="16"/>
  <c r="L45" i="16"/>
  <c r="I46" i="16"/>
  <c r="J46" i="16"/>
  <c r="K46" i="16"/>
  <c r="L46" i="16"/>
  <c r="I47" i="16"/>
  <c r="J47" i="16"/>
  <c r="K47" i="16"/>
  <c r="L47" i="16"/>
  <c r="I48" i="16"/>
  <c r="J48" i="16"/>
  <c r="K48" i="16"/>
  <c r="L48" i="16"/>
  <c r="I49" i="16"/>
  <c r="J49" i="16"/>
  <c r="K49" i="16"/>
  <c r="L49" i="16"/>
  <c r="I50" i="16"/>
  <c r="J50" i="16"/>
  <c r="K50" i="16"/>
  <c r="L50" i="16"/>
  <c r="I51" i="16"/>
  <c r="J51" i="16"/>
  <c r="K51" i="16"/>
  <c r="L51" i="16"/>
  <c r="I52" i="16"/>
  <c r="J52" i="16"/>
  <c r="K52" i="16"/>
  <c r="L52" i="16"/>
  <c r="I53" i="16"/>
  <c r="J53" i="16"/>
  <c r="K53" i="16"/>
  <c r="L53" i="16"/>
  <c r="I54" i="16"/>
  <c r="J54" i="16"/>
  <c r="K54" i="16"/>
  <c r="L54" i="16"/>
  <c r="I55" i="16"/>
  <c r="J55" i="16"/>
  <c r="K55" i="16"/>
  <c r="L55" i="16"/>
  <c r="I56" i="16"/>
  <c r="J56" i="16"/>
  <c r="K56" i="16"/>
  <c r="L56" i="16"/>
  <c r="I57" i="16"/>
  <c r="J57" i="16"/>
  <c r="K57" i="16"/>
  <c r="L57" i="16"/>
  <c r="I58" i="16"/>
  <c r="J58" i="16"/>
  <c r="K58" i="16"/>
  <c r="L58" i="16"/>
  <c r="I59" i="16"/>
  <c r="J59" i="16"/>
  <c r="K59" i="16"/>
  <c r="L59" i="16"/>
  <c r="I60" i="16"/>
  <c r="J60" i="16"/>
  <c r="K60" i="16"/>
  <c r="L60" i="16"/>
  <c r="I61" i="16"/>
  <c r="J61" i="16"/>
  <c r="K61" i="16"/>
  <c r="L61" i="16"/>
  <c r="I62" i="16"/>
  <c r="J62" i="16"/>
  <c r="K62" i="16"/>
  <c r="L62" i="16"/>
  <c r="I63" i="16"/>
  <c r="J63" i="16"/>
  <c r="K63" i="16"/>
  <c r="L63" i="16"/>
  <c r="I64" i="16"/>
  <c r="J64" i="16"/>
  <c r="K64" i="16"/>
  <c r="L64" i="16"/>
  <c r="I65" i="16"/>
  <c r="J65" i="16"/>
  <c r="K65" i="16"/>
  <c r="L65" i="16"/>
  <c r="I66" i="16"/>
  <c r="J66" i="16"/>
  <c r="K66" i="16"/>
  <c r="L66" i="16"/>
  <c r="I67" i="16"/>
  <c r="J67" i="16"/>
  <c r="K67" i="16"/>
  <c r="L67" i="16"/>
  <c r="I68" i="16"/>
  <c r="J68" i="16"/>
  <c r="K68" i="16"/>
  <c r="L68" i="16"/>
  <c r="I69" i="16"/>
  <c r="J69" i="16"/>
  <c r="K69" i="16"/>
  <c r="L69" i="16"/>
  <c r="I70" i="16"/>
  <c r="J70" i="16"/>
  <c r="K70" i="16"/>
  <c r="L70" i="16"/>
  <c r="I71" i="16"/>
  <c r="J71" i="16"/>
  <c r="K71" i="16"/>
  <c r="L71" i="16"/>
  <c r="I72" i="16"/>
  <c r="J72" i="16"/>
  <c r="K72" i="16"/>
  <c r="L72" i="16"/>
  <c r="I73" i="16"/>
  <c r="J73" i="16"/>
  <c r="K73" i="16"/>
  <c r="L73" i="16"/>
  <c r="I74" i="16"/>
  <c r="J74" i="16"/>
  <c r="K74" i="16"/>
  <c r="L74" i="16"/>
  <c r="I75" i="16"/>
  <c r="J75" i="16"/>
  <c r="K75" i="16"/>
  <c r="L75" i="16"/>
  <c r="I76" i="16"/>
  <c r="J76" i="16"/>
  <c r="K76" i="16"/>
  <c r="L76" i="16"/>
  <c r="I77" i="16"/>
  <c r="J77" i="16"/>
  <c r="K77" i="16"/>
  <c r="L77" i="16"/>
  <c r="I78" i="16"/>
  <c r="J78" i="16"/>
  <c r="K78" i="16"/>
  <c r="L78" i="16"/>
  <c r="I79" i="16"/>
  <c r="J79" i="16"/>
  <c r="K79" i="16"/>
  <c r="L79" i="16"/>
  <c r="I80" i="16"/>
  <c r="J80" i="16"/>
  <c r="K80" i="16"/>
  <c r="L80" i="16"/>
  <c r="I81" i="16"/>
  <c r="J81" i="16"/>
  <c r="K81" i="16"/>
  <c r="L81" i="16"/>
  <c r="I82" i="16"/>
  <c r="J82" i="16"/>
  <c r="K82" i="16"/>
  <c r="L82" i="16"/>
  <c r="I83" i="16"/>
  <c r="J83" i="16"/>
  <c r="K83" i="16"/>
  <c r="L83" i="16"/>
  <c r="I84" i="16"/>
  <c r="J84" i="16"/>
  <c r="K84" i="16"/>
  <c r="L84" i="16"/>
  <c r="I85" i="16"/>
  <c r="J85" i="16"/>
  <c r="K85" i="16"/>
  <c r="L85" i="16"/>
  <c r="I86" i="16"/>
  <c r="J86" i="16"/>
  <c r="K86" i="16"/>
  <c r="L86" i="16"/>
  <c r="I87" i="16"/>
  <c r="J87" i="16"/>
  <c r="K87" i="16"/>
  <c r="L87" i="16"/>
  <c r="I88" i="16"/>
  <c r="J88" i="16"/>
  <c r="K88" i="16"/>
  <c r="L88" i="16"/>
  <c r="I89" i="16"/>
  <c r="J89" i="16"/>
  <c r="K89" i="16"/>
  <c r="L89" i="16"/>
  <c r="I90" i="16"/>
  <c r="J90" i="16"/>
  <c r="K90" i="16"/>
  <c r="L90" i="16"/>
  <c r="I91" i="16"/>
  <c r="J91" i="16"/>
  <c r="K91" i="16"/>
  <c r="L91" i="16"/>
  <c r="I92" i="16"/>
  <c r="J92" i="16"/>
  <c r="K92" i="16"/>
  <c r="L92" i="16"/>
  <c r="I93" i="16"/>
  <c r="J93" i="16"/>
  <c r="K93" i="16"/>
  <c r="L93" i="16"/>
  <c r="I94" i="16"/>
  <c r="J94" i="16"/>
  <c r="K94" i="16"/>
  <c r="L94" i="16"/>
  <c r="I95" i="16"/>
  <c r="J95" i="16"/>
  <c r="K95" i="16"/>
  <c r="L95" i="16"/>
  <c r="I96" i="16"/>
  <c r="J96" i="16"/>
  <c r="K96" i="16"/>
  <c r="L96" i="16"/>
  <c r="I97" i="16"/>
  <c r="J97" i="16"/>
  <c r="K97" i="16"/>
  <c r="L97" i="16"/>
  <c r="I98" i="16"/>
  <c r="J98" i="16"/>
  <c r="K98" i="16"/>
  <c r="L98" i="16"/>
  <c r="I99" i="16"/>
  <c r="J99" i="16"/>
  <c r="K99" i="16"/>
  <c r="L99" i="16"/>
  <c r="I100" i="16"/>
  <c r="J100" i="16"/>
  <c r="K100" i="16"/>
  <c r="L100" i="16"/>
  <c r="I101" i="16"/>
  <c r="J101" i="16"/>
  <c r="K101" i="16"/>
  <c r="L101" i="16"/>
  <c r="I102" i="16"/>
  <c r="J102" i="16"/>
  <c r="K102" i="16"/>
  <c r="L102" i="16"/>
  <c r="I103" i="16"/>
  <c r="J103" i="16"/>
  <c r="K103" i="16"/>
  <c r="L103" i="16"/>
  <c r="I104" i="16"/>
  <c r="J104" i="16"/>
  <c r="K104" i="16"/>
  <c r="L104" i="16"/>
  <c r="I105" i="16"/>
  <c r="J105" i="16"/>
  <c r="K105" i="16"/>
  <c r="L105" i="16"/>
  <c r="I106" i="16"/>
  <c r="J106" i="16"/>
  <c r="K106" i="16"/>
  <c r="L106" i="16"/>
  <c r="I107" i="16"/>
  <c r="J107" i="16"/>
  <c r="K107" i="16"/>
  <c r="L107" i="16"/>
  <c r="I108" i="16"/>
  <c r="J108" i="16"/>
  <c r="K108" i="16"/>
  <c r="L108" i="16"/>
  <c r="I109" i="16"/>
  <c r="J109" i="16"/>
  <c r="K109" i="16"/>
  <c r="L109" i="16"/>
  <c r="I110" i="16"/>
  <c r="J110" i="16"/>
  <c r="K110" i="16"/>
  <c r="L110" i="16"/>
  <c r="I111" i="16"/>
  <c r="J111" i="16"/>
  <c r="K111" i="16"/>
  <c r="L111" i="16"/>
  <c r="I112" i="16"/>
  <c r="J112" i="16"/>
  <c r="K112" i="16"/>
  <c r="L112" i="16"/>
  <c r="I113" i="16"/>
  <c r="J113" i="16"/>
  <c r="K113" i="16"/>
  <c r="L113" i="16"/>
  <c r="I114" i="16"/>
  <c r="J114" i="16"/>
  <c r="K114" i="16"/>
  <c r="L114" i="16"/>
  <c r="I115" i="16"/>
  <c r="J115" i="16"/>
  <c r="K115" i="16"/>
  <c r="L115" i="16"/>
  <c r="I116" i="16"/>
  <c r="J116" i="16"/>
  <c r="K116" i="16"/>
  <c r="L116" i="16"/>
  <c r="I117" i="16"/>
  <c r="J117" i="16"/>
  <c r="K117" i="16"/>
  <c r="L117" i="16"/>
  <c r="I118" i="16"/>
  <c r="J118" i="16"/>
  <c r="K118" i="16"/>
  <c r="L118" i="16"/>
  <c r="I119" i="16"/>
  <c r="J119" i="16"/>
  <c r="K119" i="16"/>
  <c r="L119" i="16"/>
  <c r="I120" i="16"/>
  <c r="J120" i="16"/>
  <c r="K120" i="16"/>
  <c r="L120" i="16"/>
  <c r="I121" i="16"/>
  <c r="J121" i="16"/>
  <c r="K121" i="16"/>
  <c r="L121" i="16"/>
  <c r="I122" i="16"/>
  <c r="J122" i="16"/>
  <c r="K122" i="16"/>
  <c r="L122" i="16"/>
  <c r="I123" i="16"/>
  <c r="J123" i="16"/>
  <c r="K123" i="16"/>
  <c r="L123" i="16"/>
  <c r="I124" i="16"/>
  <c r="J124" i="16"/>
  <c r="K124" i="16"/>
  <c r="L124" i="16"/>
  <c r="I125" i="16"/>
  <c r="J125" i="16"/>
  <c r="K125" i="16"/>
  <c r="L125" i="16"/>
  <c r="I126" i="16"/>
  <c r="J126" i="16"/>
  <c r="K126" i="16"/>
  <c r="L126" i="16"/>
  <c r="I127" i="16"/>
  <c r="J127" i="16"/>
  <c r="K127" i="16"/>
  <c r="L127" i="16"/>
  <c r="I128" i="16"/>
  <c r="J128" i="16"/>
  <c r="K128" i="16"/>
  <c r="L128" i="16"/>
  <c r="I129" i="16"/>
  <c r="J129" i="16"/>
  <c r="K129" i="16"/>
  <c r="L129" i="16"/>
  <c r="I130" i="16"/>
  <c r="J130" i="16"/>
  <c r="K130" i="16"/>
  <c r="L130" i="16"/>
  <c r="I131" i="16"/>
  <c r="J131" i="16"/>
  <c r="K131" i="16"/>
  <c r="L131" i="16"/>
  <c r="I132" i="16"/>
  <c r="J132" i="16"/>
  <c r="K132" i="16"/>
  <c r="L132" i="16"/>
  <c r="I133" i="16"/>
  <c r="J133" i="16"/>
  <c r="K133" i="16"/>
  <c r="L133" i="16"/>
  <c r="I134" i="16"/>
  <c r="J134" i="16"/>
  <c r="K134" i="16"/>
  <c r="L134" i="16"/>
  <c r="I135" i="16"/>
  <c r="J135" i="16"/>
  <c r="K135" i="16"/>
  <c r="L135" i="16"/>
  <c r="I136" i="16"/>
  <c r="J136" i="16"/>
  <c r="K136" i="16"/>
  <c r="L136" i="16"/>
  <c r="I137" i="16"/>
  <c r="J137" i="16"/>
  <c r="K137" i="16"/>
  <c r="L137" i="16"/>
  <c r="I138" i="16"/>
  <c r="J138" i="16"/>
  <c r="K138" i="16"/>
  <c r="L138" i="16"/>
  <c r="I139" i="16"/>
  <c r="J139" i="16"/>
  <c r="K139" i="16"/>
  <c r="L139" i="16"/>
  <c r="I140" i="16"/>
  <c r="J140" i="16"/>
  <c r="K140" i="16"/>
  <c r="L140" i="16"/>
  <c r="I141" i="16"/>
  <c r="J141" i="16"/>
  <c r="K141" i="16"/>
  <c r="L141" i="16"/>
  <c r="I142" i="16"/>
  <c r="J142" i="16"/>
  <c r="K142" i="16"/>
  <c r="L142" i="16"/>
  <c r="I143" i="16"/>
  <c r="J143" i="16"/>
  <c r="K143" i="16"/>
  <c r="L143" i="16"/>
  <c r="I144" i="16"/>
  <c r="J144" i="16"/>
  <c r="K144" i="16"/>
  <c r="L144" i="16"/>
  <c r="I145" i="16"/>
  <c r="J145" i="16"/>
  <c r="K145" i="16"/>
  <c r="L145" i="16"/>
  <c r="I146" i="16"/>
  <c r="J146" i="16"/>
  <c r="K146" i="16"/>
  <c r="L146" i="16"/>
  <c r="I147" i="16"/>
  <c r="J147" i="16"/>
  <c r="K147" i="16"/>
  <c r="L147" i="16"/>
  <c r="I148" i="16"/>
  <c r="J148" i="16"/>
  <c r="K148" i="16"/>
  <c r="L148" i="16"/>
  <c r="I149" i="16"/>
  <c r="J149" i="16"/>
  <c r="K149" i="16"/>
  <c r="L149" i="16"/>
  <c r="I150" i="16"/>
  <c r="J150" i="16"/>
  <c r="K150" i="16"/>
  <c r="L150" i="16"/>
  <c r="I151" i="16"/>
  <c r="J151" i="16"/>
  <c r="K151" i="16"/>
  <c r="L151" i="16"/>
  <c r="I152" i="16"/>
  <c r="J152" i="16"/>
  <c r="K152" i="16"/>
  <c r="L152" i="16"/>
  <c r="I153" i="16"/>
  <c r="J153" i="16"/>
  <c r="K153" i="16"/>
  <c r="L153" i="16"/>
  <c r="I154" i="16"/>
  <c r="J154" i="16"/>
  <c r="K154" i="16"/>
  <c r="L154" i="16"/>
  <c r="I155" i="16"/>
  <c r="J155" i="16"/>
  <c r="K155" i="16"/>
  <c r="L155" i="16"/>
  <c r="I156" i="16"/>
  <c r="J156" i="16"/>
  <c r="K156" i="16"/>
  <c r="L156" i="16"/>
  <c r="I157" i="16"/>
  <c r="J157" i="16"/>
  <c r="K157" i="16"/>
  <c r="L157" i="16"/>
  <c r="I158" i="16"/>
  <c r="J158" i="16"/>
  <c r="K158" i="16"/>
  <c r="L158" i="16"/>
  <c r="I159" i="16"/>
  <c r="J159" i="16"/>
  <c r="K159" i="16"/>
  <c r="L159" i="16"/>
  <c r="I160" i="16"/>
  <c r="J160" i="16"/>
  <c r="K160" i="16"/>
  <c r="L160" i="16"/>
  <c r="I161" i="16"/>
  <c r="J161" i="16"/>
  <c r="K161" i="16"/>
  <c r="L161" i="16"/>
  <c r="I162" i="16"/>
  <c r="J162" i="16"/>
  <c r="K162" i="16"/>
  <c r="L162" i="16"/>
  <c r="I163" i="16"/>
  <c r="J163" i="16"/>
  <c r="K163" i="16"/>
  <c r="L163" i="16"/>
  <c r="I164" i="16"/>
  <c r="J164" i="16"/>
  <c r="K164" i="16"/>
  <c r="L164" i="16"/>
  <c r="I165" i="16"/>
  <c r="J165" i="16"/>
  <c r="K165" i="16"/>
  <c r="L165" i="16"/>
  <c r="I166" i="16"/>
  <c r="J166" i="16"/>
  <c r="K166" i="16"/>
  <c r="L166" i="16"/>
  <c r="I167" i="16"/>
  <c r="J167" i="16"/>
  <c r="K167" i="16"/>
  <c r="L167" i="16"/>
  <c r="I168" i="16"/>
  <c r="J168" i="16"/>
  <c r="K168" i="16"/>
  <c r="L168" i="16"/>
  <c r="I169" i="16"/>
  <c r="J169" i="16"/>
  <c r="K169" i="16"/>
  <c r="L169" i="16"/>
  <c r="I170" i="16"/>
  <c r="J170" i="16"/>
  <c r="K170" i="16"/>
  <c r="L170" i="16"/>
  <c r="I171" i="16"/>
  <c r="J171" i="16"/>
  <c r="K171" i="16"/>
  <c r="L171" i="16"/>
  <c r="I172" i="16"/>
  <c r="J172" i="16"/>
  <c r="K172" i="16"/>
  <c r="L172" i="16"/>
  <c r="I173" i="16"/>
  <c r="J173" i="16"/>
  <c r="K173" i="16"/>
  <c r="L173" i="16"/>
  <c r="I174" i="16"/>
  <c r="J174" i="16"/>
  <c r="K174" i="16"/>
  <c r="L174" i="16"/>
  <c r="I175" i="16"/>
  <c r="J175" i="16"/>
  <c r="K175" i="16"/>
  <c r="L175" i="16"/>
  <c r="I176" i="16"/>
  <c r="J176" i="16"/>
  <c r="K176" i="16"/>
  <c r="L176" i="16"/>
  <c r="I177" i="16"/>
  <c r="J177" i="16"/>
  <c r="K177" i="16"/>
  <c r="L177" i="16"/>
  <c r="I178" i="16"/>
  <c r="J178" i="16"/>
  <c r="K178" i="16"/>
  <c r="L178" i="16"/>
  <c r="I179" i="16"/>
  <c r="J179" i="16"/>
  <c r="K179" i="16"/>
  <c r="L179" i="16"/>
  <c r="I180" i="16"/>
  <c r="J180" i="16"/>
  <c r="K180" i="16"/>
  <c r="L180" i="16"/>
  <c r="I181" i="16"/>
  <c r="J181" i="16"/>
  <c r="K181" i="16"/>
  <c r="L181" i="16"/>
  <c r="I182" i="16"/>
  <c r="J182" i="16"/>
  <c r="K182" i="16"/>
  <c r="L182" i="16"/>
  <c r="I183" i="16"/>
  <c r="J183" i="16"/>
  <c r="K183" i="16"/>
  <c r="L183" i="16"/>
  <c r="I184" i="16"/>
  <c r="J184" i="16"/>
  <c r="K184" i="16"/>
  <c r="L184" i="16"/>
  <c r="I185" i="16"/>
  <c r="J185" i="16"/>
  <c r="K185" i="16"/>
  <c r="L185" i="16"/>
  <c r="I186" i="16"/>
  <c r="J186" i="16"/>
  <c r="K186" i="16"/>
  <c r="L186" i="16"/>
  <c r="I187" i="16"/>
  <c r="J187" i="16"/>
  <c r="K187" i="16"/>
  <c r="L187" i="16"/>
  <c r="I188" i="16"/>
  <c r="J188" i="16"/>
  <c r="K188" i="16"/>
  <c r="L188" i="16"/>
  <c r="I189" i="16"/>
  <c r="J189" i="16"/>
  <c r="K189" i="16"/>
  <c r="L189" i="16"/>
  <c r="I190" i="16"/>
  <c r="J190" i="16"/>
  <c r="K190" i="16"/>
  <c r="L190" i="16"/>
  <c r="I191" i="16"/>
  <c r="J191" i="16"/>
  <c r="K191" i="16"/>
  <c r="L191" i="16"/>
  <c r="I192" i="16"/>
  <c r="J192" i="16"/>
  <c r="K192" i="16"/>
  <c r="L192" i="16"/>
  <c r="I193" i="16"/>
  <c r="J193" i="16"/>
  <c r="K193" i="16"/>
  <c r="L193" i="16"/>
  <c r="I194" i="16"/>
  <c r="J194" i="16"/>
  <c r="K194" i="16"/>
  <c r="L194" i="16"/>
  <c r="I195" i="16"/>
  <c r="J195" i="16"/>
  <c r="K195" i="16"/>
  <c r="L195" i="16"/>
  <c r="I196" i="16"/>
  <c r="J196" i="16"/>
  <c r="K196" i="16"/>
  <c r="L196" i="16"/>
  <c r="I197" i="16"/>
  <c r="J197" i="16"/>
  <c r="K197" i="16"/>
  <c r="L197" i="16"/>
  <c r="I198" i="16"/>
  <c r="J198" i="16"/>
  <c r="K198" i="16"/>
  <c r="L198" i="16"/>
  <c r="I199" i="16"/>
  <c r="J199" i="16"/>
  <c r="K199" i="16"/>
  <c r="L199" i="16"/>
  <c r="I200" i="16"/>
  <c r="J200" i="16"/>
  <c r="K200" i="16"/>
  <c r="L200" i="16"/>
  <c r="I201" i="16"/>
  <c r="J201" i="16"/>
  <c r="K201" i="16"/>
  <c r="L201" i="16"/>
  <c r="I202" i="16"/>
  <c r="J202" i="16"/>
  <c r="K202" i="16"/>
  <c r="L202" i="16"/>
  <c r="I203" i="16"/>
  <c r="J203" i="16"/>
  <c r="K203" i="16"/>
  <c r="L203" i="16"/>
  <c r="I204" i="16"/>
  <c r="J204" i="16"/>
  <c r="K204" i="16"/>
  <c r="L204" i="16"/>
  <c r="I205" i="16"/>
  <c r="J205" i="16"/>
  <c r="K205" i="16"/>
  <c r="L205" i="16"/>
  <c r="I206" i="16"/>
  <c r="J206" i="16"/>
  <c r="K206" i="16"/>
  <c r="L206" i="16"/>
  <c r="I207" i="16"/>
  <c r="J207" i="16"/>
  <c r="K207" i="16"/>
  <c r="L207" i="16"/>
  <c r="I208" i="16"/>
  <c r="J208" i="16"/>
  <c r="K208" i="16"/>
  <c r="L208" i="16"/>
  <c r="I209" i="16"/>
  <c r="J209" i="16"/>
  <c r="K209" i="16"/>
  <c r="L209" i="16"/>
  <c r="I210" i="16"/>
  <c r="J210" i="16"/>
  <c r="K210" i="16"/>
  <c r="L210" i="16"/>
  <c r="I211" i="16"/>
  <c r="J211" i="16"/>
  <c r="K211" i="16"/>
  <c r="L211" i="16"/>
  <c r="I212" i="16"/>
  <c r="J212" i="16"/>
  <c r="K212" i="16"/>
  <c r="L212" i="16"/>
  <c r="I213" i="16"/>
  <c r="J213" i="16"/>
  <c r="K213" i="16"/>
  <c r="L213" i="16"/>
  <c r="I214" i="16"/>
  <c r="J214" i="16"/>
  <c r="K214" i="16"/>
  <c r="L214" i="16"/>
  <c r="I215" i="16"/>
  <c r="J215" i="16"/>
  <c r="K215" i="16"/>
  <c r="L215" i="16"/>
  <c r="I216" i="16"/>
  <c r="J216" i="16"/>
  <c r="K216" i="16"/>
  <c r="L216" i="16"/>
  <c r="I217" i="16"/>
  <c r="J217" i="16"/>
  <c r="K217" i="16"/>
  <c r="L217" i="16"/>
  <c r="I218" i="16"/>
  <c r="J218" i="16"/>
  <c r="K218" i="16"/>
  <c r="L218" i="16"/>
  <c r="I219" i="16"/>
  <c r="J219" i="16"/>
  <c r="K219" i="16"/>
  <c r="L219" i="16"/>
  <c r="I220" i="16"/>
  <c r="J220" i="16"/>
  <c r="K220" i="16"/>
  <c r="L220" i="16"/>
  <c r="I221" i="16"/>
  <c r="J221" i="16"/>
  <c r="K221" i="16"/>
  <c r="L221" i="16"/>
  <c r="I222" i="16"/>
  <c r="J222" i="16"/>
  <c r="K222" i="16"/>
  <c r="L222" i="16"/>
  <c r="I223" i="16"/>
  <c r="J223" i="16"/>
  <c r="K223" i="16"/>
  <c r="L223" i="16"/>
  <c r="I224" i="16"/>
  <c r="J224" i="16"/>
  <c r="K224" i="16"/>
  <c r="L224" i="16"/>
  <c r="I225" i="16"/>
  <c r="J225" i="16"/>
  <c r="K225" i="16"/>
  <c r="L225" i="16"/>
  <c r="I226" i="16"/>
  <c r="J226" i="16"/>
  <c r="K226" i="16"/>
  <c r="L226" i="16"/>
  <c r="I227" i="16"/>
  <c r="J227" i="16"/>
  <c r="K227" i="16"/>
  <c r="L227" i="16"/>
  <c r="I228" i="16"/>
  <c r="J228" i="16"/>
  <c r="K228" i="16"/>
  <c r="L228" i="16"/>
  <c r="I229" i="16"/>
  <c r="J229" i="16"/>
  <c r="K229" i="16"/>
  <c r="L229" i="16"/>
  <c r="I230" i="16"/>
  <c r="J230" i="16"/>
  <c r="K230" i="16"/>
  <c r="L230" i="16"/>
  <c r="I231" i="16"/>
  <c r="J231" i="16"/>
  <c r="K231" i="16"/>
  <c r="L231" i="16"/>
  <c r="I232" i="16"/>
  <c r="J232" i="16"/>
  <c r="K232" i="16"/>
  <c r="L232" i="16"/>
  <c r="I233" i="16"/>
  <c r="J233" i="16"/>
  <c r="K233" i="16"/>
  <c r="L233" i="16"/>
  <c r="I234" i="16"/>
  <c r="J234" i="16"/>
  <c r="K234" i="16"/>
  <c r="L234" i="16"/>
  <c r="I235" i="16"/>
  <c r="J235" i="16"/>
  <c r="K235" i="16"/>
  <c r="L235" i="16"/>
  <c r="I236" i="16"/>
  <c r="J236" i="16"/>
  <c r="K236" i="16"/>
  <c r="L236" i="16"/>
  <c r="I237" i="16"/>
  <c r="J237" i="16"/>
  <c r="K237" i="16"/>
  <c r="L237" i="16"/>
  <c r="I238" i="16"/>
  <c r="J238" i="16"/>
  <c r="K238" i="16"/>
  <c r="L238" i="16"/>
  <c r="I239" i="16"/>
  <c r="J239" i="16"/>
  <c r="K239" i="16"/>
  <c r="L239" i="16"/>
  <c r="I240" i="16"/>
  <c r="J240" i="16"/>
  <c r="K240" i="16"/>
  <c r="L240" i="16"/>
  <c r="I241" i="16"/>
  <c r="J241" i="16"/>
  <c r="K241" i="16"/>
  <c r="L241" i="16"/>
  <c r="I242" i="16"/>
  <c r="J242" i="16"/>
  <c r="K242" i="16"/>
  <c r="L242" i="16"/>
  <c r="I243" i="16"/>
  <c r="J243" i="16"/>
  <c r="K243" i="16"/>
  <c r="L243" i="16"/>
  <c r="I244" i="16"/>
  <c r="J244" i="16"/>
  <c r="K244" i="16"/>
  <c r="L244" i="16"/>
  <c r="I245" i="16"/>
  <c r="J245" i="16"/>
  <c r="K245" i="16"/>
  <c r="L245" i="16"/>
  <c r="I246" i="16"/>
  <c r="J246" i="16"/>
  <c r="K246" i="16"/>
  <c r="L246" i="16"/>
  <c r="I247" i="16"/>
  <c r="J247" i="16"/>
  <c r="K247" i="16"/>
  <c r="L247" i="16"/>
  <c r="I248" i="16"/>
  <c r="J248" i="16"/>
  <c r="K248" i="16"/>
  <c r="L248" i="16"/>
  <c r="I249" i="16"/>
  <c r="J249" i="16"/>
  <c r="K249" i="16"/>
  <c r="L249" i="16"/>
  <c r="I250" i="16"/>
  <c r="J250" i="16"/>
  <c r="K250" i="16"/>
  <c r="L250" i="16"/>
  <c r="I251" i="16"/>
  <c r="J251" i="16"/>
  <c r="K251" i="16"/>
  <c r="L251" i="16"/>
  <c r="I252" i="16"/>
  <c r="J252" i="16"/>
  <c r="K252" i="16"/>
  <c r="L252" i="16"/>
  <c r="I253" i="16"/>
  <c r="J253" i="16"/>
  <c r="K253" i="16"/>
  <c r="L253" i="16"/>
  <c r="I254" i="16"/>
  <c r="J254" i="16"/>
  <c r="K254" i="16"/>
  <c r="L254" i="16"/>
  <c r="I255" i="16"/>
  <c r="J255" i="16"/>
  <c r="K255" i="16"/>
  <c r="L255" i="16"/>
  <c r="I256" i="16"/>
  <c r="J256" i="16"/>
  <c r="K256" i="16"/>
  <c r="L256" i="16"/>
  <c r="I257" i="16"/>
  <c r="J257" i="16"/>
  <c r="K257" i="16"/>
  <c r="L257" i="16"/>
  <c r="I258" i="16"/>
  <c r="J258" i="16"/>
  <c r="K258" i="16"/>
  <c r="L258" i="16"/>
  <c r="I259" i="16"/>
  <c r="J259" i="16"/>
  <c r="K259" i="16"/>
  <c r="L259" i="16"/>
  <c r="I260" i="16"/>
  <c r="J260" i="16"/>
  <c r="K260" i="16"/>
  <c r="L260" i="16"/>
  <c r="I261" i="16"/>
  <c r="J261" i="16"/>
  <c r="K261" i="16"/>
  <c r="L261" i="16"/>
  <c r="I262" i="16"/>
  <c r="J262" i="16"/>
  <c r="K262" i="16"/>
  <c r="L262" i="16"/>
  <c r="I263" i="16"/>
  <c r="J263" i="16"/>
  <c r="K263" i="16"/>
  <c r="L263" i="16"/>
  <c r="I264" i="16"/>
  <c r="J264" i="16"/>
  <c r="K264" i="16"/>
  <c r="L264" i="16"/>
  <c r="I265" i="16"/>
  <c r="J265" i="16"/>
  <c r="K265" i="16"/>
  <c r="L265" i="16"/>
  <c r="I266" i="16"/>
  <c r="J266" i="16"/>
  <c r="K266" i="16"/>
  <c r="L266" i="16"/>
  <c r="I267" i="16"/>
  <c r="J267" i="16"/>
  <c r="K267" i="16"/>
  <c r="L267" i="16"/>
  <c r="I268" i="16"/>
  <c r="J268" i="16"/>
  <c r="K268" i="16"/>
  <c r="L268" i="16"/>
  <c r="I269" i="16"/>
  <c r="J269" i="16"/>
  <c r="K269" i="16"/>
  <c r="L269" i="16"/>
  <c r="I270" i="16"/>
  <c r="J270" i="16"/>
  <c r="K270" i="16"/>
  <c r="L270" i="16"/>
  <c r="I271" i="16"/>
  <c r="J271" i="16"/>
  <c r="K271" i="16"/>
  <c r="L271" i="16"/>
  <c r="I272" i="16"/>
  <c r="J272" i="16"/>
  <c r="K272" i="16"/>
  <c r="L272" i="16"/>
  <c r="I273" i="16"/>
  <c r="J273" i="16"/>
  <c r="K273" i="16"/>
  <c r="L273" i="16"/>
  <c r="I274" i="16"/>
  <c r="J274" i="16"/>
  <c r="K274" i="16"/>
  <c r="L274" i="16"/>
  <c r="I275" i="16"/>
  <c r="J275" i="16"/>
  <c r="K275" i="16"/>
  <c r="L275" i="16"/>
  <c r="I276" i="16"/>
  <c r="J276" i="16"/>
  <c r="K276" i="16"/>
  <c r="L276" i="16"/>
  <c r="I277" i="16"/>
  <c r="J277" i="16"/>
  <c r="K277" i="16"/>
  <c r="L277" i="16"/>
  <c r="I278" i="16"/>
  <c r="J278" i="16"/>
  <c r="K278" i="16"/>
  <c r="L278" i="16"/>
  <c r="I279" i="16"/>
  <c r="J279" i="16"/>
  <c r="K279" i="16"/>
  <c r="L279" i="16"/>
  <c r="I280" i="16"/>
  <c r="J280" i="16"/>
  <c r="K280" i="16"/>
  <c r="L280" i="16"/>
  <c r="I281" i="16"/>
  <c r="J281" i="16"/>
  <c r="K281" i="16"/>
  <c r="L281" i="16"/>
  <c r="I282" i="16"/>
  <c r="J282" i="16"/>
  <c r="K282" i="16"/>
  <c r="L282" i="16"/>
  <c r="I283" i="16"/>
  <c r="J283" i="16"/>
  <c r="K283" i="16"/>
  <c r="L283" i="16"/>
  <c r="I284" i="16"/>
  <c r="J284" i="16"/>
  <c r="K284" i="16"/>
  <c r="L284" i="16"/>
  <c r="I285" i="16"/>
  <c r="J285" i="16"/>
  <c r="K285" i="16"/>
  <c r="L285" i="16"/>
  <c r="I286" i="16"/>
  <c r="J286" i="16"/>
  <c r="K286" i="16"/>
  <c r="L286" i="16"/>
  <c r="I287" i="16"/>
  <c r="J287" i="16"/>
  <c r="K287" i="16"/>
  <c r="L287" i="16"/>
  <c r="I288" i="16"/>
  <c r="J288" i="16"/>
  <c r="K288" i="16"/>
  <c r="L288" i="16"/>
  <c r="I289" i="16"/>
  <c r="J289" i="16"/>
  <c r="K289" i="16"/>
  <c r="L289" i="16"/>
  <c r="I290" i="16"/>
  <c r="J290" i="16"/>
  <c r="K290" i="16"/>
  <c r="L290" i="16"/>
  <c r="I291" i="16"/>
  <c r="J291" i="16"/>
  <c r="K291" i="16"/>
  <c r="L291" i="16"/>
  <c r="I292" i="16"/>
  <c r="J292" i="16"/>
  <c r="K292" i="16"/>
  <c r="L292" i="16"/>
  <c r="I293" i="16"/>
  <c r="J293" i="16"/>
  <c r="K293" i="16"/>
  <c r="L293" i="16"/>
  <c r="I294" i="16"/>
  <c r="J294" i="16"/>
  <c r="K294" i="16"/>
  <c r="L294" i="16"/>
  <c r="I295" i="16"/>
  <c r="J295" i="16"/>
  <c r="K295" i="16"/>
  <c r="L295" i="16"/>
  <c r="I296" i="16"/>
  <c r="J296" i="16"/>
  <c r="K296" i="16"/>
  <c r="L296" i="16"/>
  <c r="I297" i="16"/>
  <c r="J297" i="16"/>
  <c r="K297" i="16"/>
  <c r="L297" i="16"/>
  <c r="I298" i="16"/>
  <c r="J298" i="16"/>
  <c r="K298" i="16"/>
  <c r="L298" i="16"/>
  <c r="I299" i="16"/>
  <c r="J299" i="16"/>
  <c r="K299" i="16"/>
  <c r="L299" i="16"/>
  <c r="I300" i="16"/>
  <c r="J300" i="16"/>
  <c r="K300" i="16"/>
  <c r="L300" i="16"/>
  <c r="I301" i="16"/>
  <c r="J301" i="16"/>
  <c r="K301" i="16"/>
  <c r="L301" i="16"/>
  <c r="I302" i="16"/>
  <c r="J302" i="16"/>
  <c r="K302" i="16"/>
  <c r="L302" i="16"/>
  <c r="I303" i="16"/>
  <c r="J303" i="16"/>
  <c r="K303" i="16"/>
  <c r="L303" i="16"/>
  <c r="I304" i="16"/>
  <c r="J304" i="16"/>
  <c r="K304" i="16"/>
  <c r="L304" i="16"/>
  <c r="I305" i="16"/>
  <c r="J305" i="16"/>
  <c r="K305" i="16"/>
  <c r="L305" i="16"/>
  <c r="I306" i="16"/>
  <c r="J306" i="16"/>
  <c r="K306" i="16"/>
  <c r="L306" i="16"/>
  <c r="I307" i="16"/>
  <c r="J307" i="16"/>
  <c r="K307" i="16"/>
  <c r="L307" i="16"/>
  <c r="I308" i="16"/>
  <c r="J308" i="16"/>
  <c r="K308" i="16"/>
  <c r="L308" i="16"/>
  <c r="I309" i="16"/>
  <c r="J309" i="16"/>
  <c r="K309" i="16"/>
  <c r="L309" i="16"/>
  <c r="I310" i="16"/>
  <c r="J310" i="16"/>
  <c r="K310" i="16"/>
  <c r="L310" i="16"/>
  <c r="I311" i="16"/>
  <c r="J311" i="16"/>
  <c r="K311" i="16"/>
  <c r="L311" i="16"/>
  <c r="I312" i="16"/>
  <c r="J312" i="16"/>
  <c r="K312" i="16"/>
  <c r="L312" i="16"/>
  <c r="I313" i="16"/>
  <c r="J313" i="16"/>
  <c r="K313" i="16"/>
  <c r="L313" i="16"/>
  <c r="I314" i="16"/>
  <c r="J314" i="16"/>
  <c r="K314" i="16"/>
  <c r="L314" i="16"/>
  <c r="I315" i="16"/>
  <c r="J315" i="16"/>
  <c r="K315" i="16"/>
  <c r="L315" i="16"/>
  <c r="I316" i="16"/>
  <c r="J316" i="16"/>
  <c r="K316" i="16"/>
  <c r="L316" i="16"/>
  <c r="I317" i="16"/>
  <c r="J317" i="16"/>
  <c r="K317" i="16"/>
  <c r="L317" i="16"/>
  <c r="I318" i="16"/>
  <c r="J318" i="16"/>
  <c r="K318" i="16"/>
  <c r="L318" i="16"/>
  <c r="I319" i="16"/>
  <c r="J319" i="16"/>
  <c r="K319" i="16"/>
  <c r="L319" i="16"/>
  <c r="I320" i="16"/>
  <c r="J320" i="16"/>
  <c r="K320" i="16"/>
  <c r="L320" i="16"/>
  <c r="I321" i="16"/>
  <c r="J321" i="16"/>
  <c r="K321" i="16"/>
  <c r="L321" i="16"/>
  <c r="I322" i="16"/>
  <c r="J322" i="16"/>
  <c r="K322" i="16"/>
  <c r="L322" i="16"/>
  <c r="I323" i="16"/>
  <c r="J323" i="16"/>
  <c r="K323" i="16"/>
  <c r="L323" i="16"/>
  <c r="I324" i="16"/>
  <c r="J324" i="16"/>
  <c r="K324" i="16"/>
  <c r="L324" i="16"/>
  <c r="I325" i="16"/>
  <c r="J325" i="16"/>
  <c r="K325" i="16"/>
  <c r="L325" i="16"/>
  <c r="I326" i="16"/>
  <c r="J326" i="16"/>
  <c r="K326" i="16"/>
  <c r="L326" i="16"/>
  <c r="I327" i="16"/>
  <c r="J327" i="16"/>
  <c r="K327" i="16"/>
  <c r="L327" i="16"/>
  <c r="I328" i="16"/>
  <c r="J328" i="16"/>
  <c r="K328" i="16"/>
  <c r="L328" i="16"/>
  <c r="I329" i="16"/>
  <c r="J329" i="16"/>
  <c r="K329" i="16"/>
  <c r="L329" i="16"/>
  <c r="I330" i="16"/>
  <c r="J330" i="16"/>
  <c r="K330" i="16"/>
  <c r="L330" i="16"/>
  <c r="I331" i="16"/>
  <c r="J331" i="16"/>
  <c r="K331" i="16"/>
  <c r="L331" i="16"/>
  <c r="I332" i="16"/>
  <c r="J332" i="16"/>
  <c r="K332" i="16"/>
  <c r="L332" i="16"/>
  <c r="I333" i="16"/>
  <c r="J333" i="16"/>
  <c r="K333" i="16"/>
  <c r="L333" i="16"/>
  <c r="I334" i="16"/>
  <c r="J334" i="16"/>
  <c r="K334" i="16"/>
  <c r="L334" i="16"/>
  <c r="I335" i="16"/>
  <c r="J335" i="16"/>
  <c r="K335" i="16"/>
  <c r="L335" i="16"/>
  <c r="I336" i="16"/>
  <c r="J336" i="16"/>
  <c r="K336" i="16"/>
  <c r="L336" i="16"/>
  <c r="I337" i="16"/>
  <c r="J337" i="16"/>
  <c r="K337" i="16"/>
  <c r="L337" i="16"/>
  <c r="I338" i="16"/>
  <c r="J338" i="16"/>
  <c r="K338" i="16"/>
  <c r="L338" i="16"/>
  <c r="I339" i="16"/>
  <c r="J339" i="16"/>
  <c r="K339" i="16"/>
  <c r="L339" i="16"/>
  <c r="I340" i="16"/>
  <c r="J340" i="16"/>
  <c r="K340" i="16"/>
  <c r="L340" i="16"/>
  <c r="I341" i="16"/>
  <c r="J341" i="16"/>
  <c r="K341" i="16"/>
  <c r="L341" i="16"/>
  <c r="I342" i="16"/>
  <c r="J342" i="16"/>
  <c r="K342" i="16"/>
  <c r="L342" i="16"/>
  <c r="I343" i="16"/>
  <c r="J343" i="16"/>
  <c r="K343" i="16"/>
  <c r="L343" i="16"/>
  <c r="I344" i="16"/>
  <c r="J344" i="16"/>
  <c r="K344" i="16"/>
  <c r="L344" i="16"/>
  <c r="I345" i="16"/>
  <c r="J345" i="16"/>
  <c r="K345" i="16"/>
  <c r="L345" i="16"/>
  <c r="I346" i="16"/>
  <c r="J346" i="16"/>
  <c r="K346" i="16"/>
  <c r="L346" i="16"/>
  <c r="I347" i="16"/>
  <c r="J347" i="16"/>
  <c r="K347" i="16"/>
  <c r="L347" i="16"/>
  <c r="I348" i="16"/>
  <c r="J348" i="16"/>
  <c r="K348" i="16"/>
  <c r="L348" i="16"/>
  <c r="I349" i="16"/>
  <c r="J349" i="16"/>
  <c r="K349" i="16"/>
  <c r="L349" i="16"/>
  <c r="I350" i="16"/>
  <c r="J350" i="16"/>
  <c r="K350" i="16"/>
  <c r="L350" i="16"/>
  <c r="I351" i="16"/>
  <c r="J351" i="16"/>
  <c r="K351" i="16"/>
  <c r="L351" i="16"/>
  <c r="I352" i="16"/>
  <c r="J352" i="16"/>
  <c r="K352" i="16"/>
  <c r="L352" i="16"/>
  <c r="I353" i="16"/>
  <c r="J353" i="16"/>
  <c r="K353" i="16"/>
  <c r="L353" i="16"/>
  <c r="I354" i="16"/>
  <c r="J354" i="16"/>
  <c r="K354" i="16"/>
  <c r="L354" i="16"/>
  <c r="I355" i="16"/>
  <c r="J355" i="16"/>
  <c r="K355" i="16"/>
  <c r="L355" i="16"/>
  <c r="I356" i="16"/>
  <c r="J356" i="16"/>
  <c r="K356" i="16"/>
  <c r="L356" i="16"/>
  <c r="I357" i="16"/>
  <c r="J357" i="16"/>
  <c r="K357" i="16"/>
  <c r="L357" i="16"/>
  <c r="I358" i="16"/>
  <c r="J358" i="16"/>
  <c r="K358" i="16"/>
  <c r="L358" i="16"/>
  <c r="I359" i="16"/>
  <c r="J359" i="16"/>
  <c r="K359" i="16"/>
  <c r="L359" i="16"/>
  <c r="I360" i="16"/>
  <c r="J360" i="16"/>
  <c r="K360" i="16"/>
  <c r="L360" i="16"/>
  <c r="I361" i="16"/>
  <c r="J361" i="16"/>
  <c r="K361" i="16"/>
  <c r="L361" i="16"/>
  <c r="I362" i="16"/>
  <c r="J362" i="16"/>
  <c r="K362" i="16"/>
  <c r="L362" i="16"/>
  <c r="I363" i="16"/>
  <c r="J363" i="16"/>
  <c r="K363" i="16"/>
  <c r="L363" i="16"/>
  <c r="I364" i="16"/>
  <c r="J364" i="16"/>
  <c r="K364" i="16"/>
  <c r="L364" i="16"/>
  <c r="I365" i="16"/>
  <c r="J365" i="16"/>
  <c r="K365" i="16"/>
  <c r="L365" i="16"/>
  <c r="I366" i="16"/>
  <c r="J366" i="16"/>
  <c r="K366" i="16"/>
  <c r="L366" i="16"/>
  <c r="I367" i="16"/>
  <c r="J367" i="16"/>
  <c r="K367" i="16"/>
  <c r="L367" i="16"/>
  <c r="I368" i="16"/>
  <c r="J368" i="16"/>
  <c r="K368" i="16"/>
  <c r="L368" i="16"/>
  <c r="I369" i="16"/>
  <c r="J369" i="16"/>
  <c r="K369" i="16"/>
  <c r="L369" i="16"/>
  <c r="I370" i="16"/>
  <c r="J370" i="16"/>
  <c r="K370" i="16"/>
  <c r="L370" i="16"/>
  <c r="I371" i="16"/>
  <c r="J371" i="16"/>
  <c r="K371" i="16"/>
  <c r="L371" i="16"/>
  <c r="I372" i="16"/>
  <c r="J372" i="16"/>
  <c r="K372" i="16"/>
  <c r="L372" i="16"/>
  <c r="I373" i="16"/>
  <c r="J373" i="16"/>
  <c r="K373" i="16"/>
  <c r="L373" i="16"/>
  <c r="I374" i="16"/>
  <c r="J374" i="16"/>
  <c r="K374" i="16"/>
  <c r="L374" i="16"/>
  <c r="I375" i="16"/>
  <c r="J375" i="16"/>
  <c r="K375" i="16"/>
  <c r="L375" i="16"/>
  <c r="I376" i="16"/>
  <c r="J376" i="16"/>
  <c r="K376" i="16"/>
  <c r="L376" i="16"/>
  <c r="I377" i="16"/>
  <c r="J377" i="16"/>
  <c r="K377" i="16"/>
  <c r="L377" i="16"/>
  <c r="I378" i="16"/>
  <c r="J378" i="16"/>
  <c r="K378" i="16"/>
  <c r="L378" i="16"/>
  <c r="I379" i="16"/>
  <c r="J379" i="16"/>
  <c r="K379" i="16"/>
  <c r="L379" i="16"/>
  <c r="I380" i="16"/>
  <c r="J380" i="16"/>
  <c r="K380" i="16"/>
  <c r="L380" i="16"/>
  <c r="I381" i="16"/>
  <c r="J381" i="16"/>
  <c r="K381" i="16"/>
  <c r="L381" i="16"/>
  <c r="I382" i="16"/>
  <c r="J382" i="16"/>
  <c r="K382" i="16"/>
  <c r="L382" i="16"/>
  <c r="I383" i="16"/>
  <c r="J383" i="16"/>
  <c r="K383" i="16"/>
  <c r="L383" i="16"/>
  <c r="I384" i="16"/>
  <c r="J384" i="16"/>
  <c r="K384" i="16"/>
  <c r="L384" i="16"/>
  <c r="I385" i="16"/>
  <c r="J385" i="16"/>
  <c r="K385" i="16"/>
  <c r="L385" i="16"/>
  <c r="I386" i="16"/>
  <c r="J386" i="16"/>
  <c r="K386" i="16"/>
  <c r="L386" i="16"/>
  <c r="I387" i="16"/>
  <c r="J387" i="16"/>
  <c r="K387" i="16"/>
  <c r="L387" i="16"/>
  <c r="I388" i="16"/>
  <c r="J388" i="16"/>
  <c r="K388" i="16"/>
  <c r="L388" i="16"/>
  <c r="I389" i="16"/>
  <c r="J389" i="16"/>
  <c r="K389" i="16"/>
  <c r="L389" i="16"/>
  <c r="I390" i="16"/>
  <c r="J390" i="16"/>
  <c r="K390" i="16"/>
  <c r="L390" i="16"/>
  <c r="I391" i="16"/>
  <c r="J391" i="16"/>
  <c r="K391" i="16"/>
  <c r="L391" i="16"/>
  <c r="I392" i="16"/>
  <c r="J392" i="16"/>
  <c r="K392" i="16"/>
  <c r="L392" i="16"/>
  <c r="I393" i="16"/>
  <c r="J393" i="16"/>
  <c r="K393" i="16"/>
  <c r="L393" i="16"/>
  <c r="I394" i="16"/>
  <c r="J394" i="16"/>
  <c r="K394" i="16"/>
  <c r="L394" i="16"/>
  <c r="I395" i="16"/>
  <c r="J395" i="16"/>
  <c r="K395" i="16"/>
  <c r="L395" i="16"/>
  <c r="I396" i="16"/>
  <c r="J396" i="16"/>
  <c r="K396" i="16"/>
  <c r="L396" i="16"/>
  <c r="I397" i="16"/>
  <c r="J397" i="16"/>
  <c r="K397" i="16"/>
  <c r="L397" i="16"/>
  <c r="I398" i="16"/>
  <c r="J398" i="16"/>
  <c r="K398" i="16"/>
  <c r="L398" i="16"/>
  <c r="I399" i="16"/>
  <c r="J399" i="16"/>
  <c r="K399" i="16"/>
  <c r="L399" i="16"/>
  <c r="I400" i="16"/>
  <c r="J400" i="16"/>
  <c r="K400" i="16"/>
  <c r="L400" i="16"/>
  <c r="I401" i="16"/>
  <c r="J401" i="16"/>
  <c r="K401" i="16"/>
  <c r="L401" i="16"/>
  <c r="I402" i="16"/>
  <c r="J402" i="16"/>
  <c r="K402" i="16"/>
  <c r="L402" i="16"/>
  <c r="I403" i="16"/>
  <c r="J403" i="16"/>
  <c r="K403" i="16"/>
  <c r="L403" i="16"/>
  <c r="I404" i="16"/>
  <c r="J404" i="16"/>
  <c r="K404" i="16"/>
  <c r="L404" i="16"/>
  <c r="I405" i="16"/>
  <c r="J405" i="16"/>
  <c r="K405" i="16"/>
  <c r="L405" i="16"/>
  <c r="I406" i="16"/>
  <c r="J406" i="16"/>
  <c r="K406" i="16"/>
  <c r="L406" i="16"/>
  <c r="I407" i="16"/>
  <c r="J407" i="16"/>
  <c r="K407" i="16"/>
  <c r="L407" i="16"/>
  <c r="I408" i="16"/>
  <c r="J408" i="16"/>
  <c r="K408" i="16"/>
  <c r="L408" i="16"/>
  <c r="I409" i="16"/>
  <c r="J409" i="16"/>
  <c r="K409" i="16"/>
  <c r="L409" i="16"/>
  <c r="I410" i="16"/>
  <c r="J410" i="16"/>
  <c r="K410" i="16"/>
  <c r="L410" i="16"/>
  <c r="I411" i="16"/>
  <c r="J411" i="16"/>
  <c r="K411" i="16"/>
  <c r="L411" i="16"/>
  <c r="I412" i="16"/>
  <c r="J412" i="16"/>
  <c r="K412" i="16"/>
  <c r="L412" i="16"/>
  <c r="I413" i="16"/>
  <c r="J413" i="16"/>
  <c r="K413" i="16"/>
  <c r="L413" i="16"/>
  <c r="I414" i="16"/>
  <c r="J414" i="16"/>
  <c r="K414" i="16"/>
  <c r="L414" i="16"/>
  <c r="I415" i="16"/>
  <c r="J415" i="16"/>
  <c r="K415" i="16"/>
  <c r="L415" i="16"/>
  <c r="I416" i="16"/>
  <c r="J416" i="16"/>
  <c r="K416" i="16"/>
  <c r="L416" i="16"/>
  <c r="I417" i="16"/>
  <c r="J417" i="16"/>
  <c r="K417" i="16"/>
  <c r="L417" i="16"/>
  <c r="I418" i="16"/>
  <c r="J418" i="16"/>
  <c r="K418" i="16"/>
  <c r="L418" i="16"/>
  <c r="I419" i="16"/>
  <c r="J419" i="16"/>
  <c r="K419" i="16"/>
  <c r="L419" i="16"/>
  <c r="I420" i="16"/>
  <c r="J420" i="16"/>
  <c r="K420" i="16"/>
  <c r="L420" i="16"/>
  <c r="I421" i="16"/>
  <c r="J421" i="16"/>
  <c r="K421" i="16"/>
  <c r="L421" i="16"/>
  <c r="I422" i="16"/>
  <c r="J422" i="16"/>
  <c r="K422" i="16"/>
  <c r="L422" i="16"/>
  <c r="I423" i="16"/>
  <c r="J423" i="16"/>
  <c r="K423" i="16"/>
  <c r="L423" i="16"/>
  <c r="I424" i="16"/>
  <c r="J424" i="16"/>
  <c r="K424" i="16"/>
  <c r="L424" i="16"/>
  <c r="I425" i="16"/>
  <c r="J425" i="16"/>
  <c r="K425" i="16"/>
  <c r="L425" i="16"/>
  <c r="I426" i="16"/>
  <c r="J426" i="16"/>
  <c r="K426" i="16"/>
  <c r="L426" i="16"/>
  <c r="I427" i="16"/>
  <c r="J427" i="16"/>
  <c r="K427" i="16"/>
  <c r="L427" i="16"/>
  <c r="I428" i="16"/>
  <c r="J428" i="16"/>
  <c r="K428" i="16"/>
  <c r="L428" i="16"/>
  <c r="I429" i="16"/>
  <c r="J429" i="16"/>
  <c r="K429" i="16"/>
  <c r="L429" i="16"/>
  <c r="I430" i="16"/>
  <c r="J430" i="16"/>
  <c r="K430" i="16"/>
  <c r="L430" i="16"/>
  <c r="I431" i="16"/>
  <c r="J431" i="16"/>
  <c r="K431" i="16"/>
  <c r="L431" i="16"/>
  <c r="I432" i="16"/>
  <c r="J432" i="16"/>
  <c r="K432" i="16"/>
  <c r="L432" i="16"/>
  <c r="I433" i="16"/>
  <c r="J433" i="16"/>
  <c r="K433" i="16"/>
  <c r="L433" i="16"/>
  <c r="I434" i="16"/>
  <c r="J434" i="16"/>
  <c r="K434" i="16"/>
  <c r="L434" i="16"/>
  <c r="I435" i="16"/>
  <c r="J435" i="16"/>
  <c r="K435" i="16"/>
  <c r="L435" i="16"/>
  <c r="I436" i="16"/>
  <c r="J436" i="16"/>
  <c r="K436" i="16"/>
  <c r="L436" i="16"/>
  <c r="I437" i="16"/>
  <c r="J437" i="16"/>
  <c r="K437" i="16"/>
  <c r="L437" i="16"/>
  <c r="I438" i="16"/>
  <c r="J438" i="16"/>
  <c r="K438" i="16"/>
  <c r="L438" i="16"/>
  <c r="I439" i="16"/>
  <c r="J439" i="16"/>
  <c r="K439" i="16"/>
  <c r="L439" i="16"/>
  <c r="I440" i="16"/>
  <c r="J440" i="16"/>
  <c r="K440" i="16"/>
  <c r="L440" i="16"/>
  <c r="I441" i="16"/>
  <c r="J441" i="16"/>
  <c r="K441" i="16"/>
  <c r="L441" i="16"/>
  <c r="I442" i="16"/>
  <c r="J442" i="16"/>
  <c r="K442" i="16"/>
  <c r="L442" i="16"/>
  <c r="I443" i="16"/>
  <c r="J443" i="16"/>
  <c r="K443" i="16"/>
  <c r="L443" i="16"/>
  <c r="I444" i="16"/>
  <c r="J444" i="16"/>
  <c r="K444" i="16"/>
  <c r="L444" i="16"/>
  <c r="I445" i="16"/>
  <c r="J445" i="16"/>
  <c r="K445" i="16"/>
  <c r="L445" i="16"/>
  <c r="I446" i="16"/>
  <c r="J446" i="16"/>
  <c r="K446" i="16"/>
  <c r="L446" i="16"/>
  <c r="I447" i="16"/>
  <c r="J447" i="16"/>
  <c r="K447" i="16"/>
  <c r="L447" i="16"/>
  <c r="I448" i="16"/>
  <c r="J448" i="16"/>
  <c r="K448" i="16"/>
  <c r="L448" i="16"/>
  <c r="I449" i="16"/>
  <c r="J449" i="16"/>
  <c r="K449" i="16"/>
  <c r="L449" i="16"/>
  <c r="I450" i="16"/>
  <c r="J450" i="16"/>
  <c r="K450" i="16"/>
  <c r="L450" i="16"/>
  <c r="I451" i="16"/>
  <c r="J451" i="16"/>
  <c r="K451" i="16"/>
  <c r="L451" i="16"/>
  <c r="I452" i="16"/>
  <c r="J452" i="16"/>
  <c r="K452" i="16"/>
  <c r="L452" i="16"/>
  <c r="I453" i="16"/>
  <c r="J453" i="16"/>
  <c r="K453" i="16"/>
  <c r="L453" i="16"/>
  <c r="I454" i="16"/>
  <c r="J454" i="16"/>
  <c r="K454" i="16"/>
  <c r="L454" i="16"/>
  <c r="I455" i="16"/>
  <c r="J455" i="16"/>
  <c r="K455" i="16"/>
  <c r="L455" i="16"/>
  <c r="I456" i="16"/>
  <c r="J456" i="16"/>
  <c r="K456" i="16"/>
  <c r="L456" i="16"/>
  <c r="I457" i="16"/>
  <c r="J457" i="16"/>
  <c r="K457" i="16"/>
  <c r="L457" i="16"/>
  <c r="I458" i="16"/>
  <c r="J458" i="16"/>
  <c r="K458" i="16"/>
  <c r="L458" i="16"/>
  <c r="I459" i="16"/>
  <c r="J459" i="16"/>
  <c r="K459" i="16"/>
  <c r="L459" i="16"/>
  <c r="I460" i="16"/>
  <c r="J460" i="16"/>
  <c r="K460" i="16"/>
  <c r="L460" i="16"/>
  <c r="I461" i="16"/>
  <c r="J461" i="16"/>
  <c r="K461" i="16"/>
  <c r="L461" i="16"/>
  <c r="I462" i="16"/>
  <c r="J462" i="16"/>
  <c r="K462" i="16"/>
  <c r="L462" i="16"/>
  <c r="I463" i="16"/>
  <c r="J463" i="16"/>
  <c r="K463" i="16"/>
  <c r="L463" i="16"/>
  <c r="I464" i="16"/>
  <c r="J464" i="16"/>
  <c r="K464" i="16"/>
  <c r="L464" i="16"/>
  <c r="I465" i="16"/>
  <c r="J465" i="16"/>
  <c r="K465" i="16"/>
  <c r="L465" i="16"/>
  <c r="I466" i="16"/>
  <c r="J466" i="16"/>
  <c r="K466" i="16"/>
  <c r="L466" i="16"/>
  <c r="I467" i="16"/>
  <c r="J467" i="16"/>
  <c r="K467" i="16"/>
  <c r="L467" i="16"/>
  <c r="I468" i="16"/>
  <c r="J468" i="16"/>
  <c r="K468" i="16"/>
  <c r="L468" i="16"/>
  <c r="I469" i="16"/>
  <c r="J469" i="16"/>
  <c r="K469" i="16"/>
  <c r="L469" i="16"/>
  <c r="I470" i="16"/>
  <c r="J470" i="16"/>
  <c r="K470" i="16"/>
  <c r="L470" i="16"/>
  <c r="I471" i="16"/>
  <c r="J471" i="16"/>
  <c r="K471" i="16"/>
  <c r="L471" i="16"/>
  <c r="I472" i="16"/>
  <c r="J472" i="16"/>
  <c r="K472" i="16"/>
  <c r="L472" i="16"/>
  <c r="I473" i="16"/>
  <c r="J473" i="16"/>
  <c r="K473" i="16"/>
  <c r="L473" i="16"/>
  <c r="I474" i="16"/>
  <c r="J474" i="16"/>
  <c r="K474" i="16"/>
  <c r="L474" i="16"/>
  <c r="I475" i="16"/>
  <c r="J475" i="16"/>
  <c r="K475" i="16"/>
  <c r="L475" i="16"/>
  <c r="I476" i="16"/>
  <c r="J476" i="16"/>
  <c r="K476" i="16"/>
  <c r="L476" i="16"/>
  <c r="I477" i="16"/>
  <c r="J477" i="16"/>
  <c r="K477" i="16"/>
  <c r="L477" i="16"/>
  <c r="I478" i="16"/>
  <c r="J478" i="16"/>
  <c r="K478" i="16"/>
  <c r="L478" i="16"/>
  <c r="I479" i="16"/>
  <c r="J479" i="16"/>
  <c r="K479" i="16"/>
  <c r="L479" i="16"/>
  <c r="I480" i="16"/>
  <c r="J480" i="16"/>
  <c r="K480" i="16"/>
  <c r="L480" i="16"/>
  <c r="I481" i="16"/>
  <c r="J481" i="16"/>
  <c r="K481" i="16"/>
  <c r="L481" i="16"/>
  <c r="I482" i="16"/>
  <c r="J482" i="16"/>
  <c r="K482" i="16"/>
  <c r="L482" i="16"/>
  <c r="I483" i="16"/>
  <c r="J483" i="16"/>
  <c r="K483" i="16"/>
  <c r="L483" i="16"/>
  <c r="I484" i="16"/>
  <c r="J484" i="16"/>
  <c r="K484" i="16"/>
  <c r="L484" i="16"/>
  <c r="I485" i="16"/>
  <c r="J485" i="16"/>
  <c r="K485" i="16"/>
  <c r="L485" i="16"/>
  <c r="I486" i="16"/>
  <c r="J486" i="16"/>
  <c r="K486" i="16"/>
  <c r="L486" i="16"/>
  <c r="I487" i="16"/>
  <c r="J487" i="16"/>
  <c r="K487" i="16"/>
  <c r="L487" i="16"/>
  <c r="I488" i="16"/>
  <c r="J488" i="16"/>
  <c r="K488" i="16"/>
  <c r="L488" i="16"/>
  <c r="I489" i="16"/>
  <c r="J489" i="16"/>
  <c r="K489" i="16"/>
  <c r="L489" i="16"/>
  <c r="I490" i="16"/>
  <c r="J490" i="16"/>
  <c r="K490" i="16"/>
  <c r="L490" i="16"/>
  <c r="I491" i="16"/>
  <c r="J491" i="16"/>
  <c r="K491" i="16"/>
  <c r="L491" i="16"/>
  <c r="I492" i="16"/>
  <c r="J492" i="16"/>
  <c r="K492" i="16"/>
  <c r="L492" i="16"/>
  <c r="I493" i="16"/>
  <c r="J493" i="16"/>
  <c r="K493" i="16"/>
  <c r="L493" i="16"/>
  <c r="I494" i="16"/>
  <c r="J494" i="16"/>
  <c r="K494" i="16"/>
  <c r="L494" i="16"/>
  <c r="I495" i="16"/>
  <c r="J495" i="16"/>
  <c r="K495" i="16"/>
  <c r="L495" i="16"/>
  <c r="I496" i="16"/>
  <c r="J496" i="16"/>
  <c r="K496" i="16"/>
  <c r="L496" i="16"/>
  <c r="I497" i="16"/>
  <c r="J497" i="16"/>
  <c r="K497" i="16"/>
  <c r="L497" i="16"/>
  <c r="H35" i="15"/>
  <c r="H33" i="15"/>
  <c r="E28" i="15"/>
  <c r="F15" i="15"/>
  <c r="F13" i="15"/>
  <c r="C7" i="15"/>
  <c r="C8" i="15" s="1"/>
  <c r="L39" i="14"/>
  <c r="L37" i="14"/>
  <c r="L36" i="14"/>
  <c r="K39" i="14"/>
  <c r="K37" i="14"/>
  <c r="K36" i="14"/>
  <c r="R28" i="14"/>
  <c r="R23" i="14"/>
  <c r="Q21" i="14"/>
  <c r="Q20" i="14"/>
  <c r="R30" i="14" s="1"/>
  <c r="M28" i="14"/>
  <c r="L21" i="14"/>
  <c r="L20" i="14"/>
  <c r="M30" i="14" s="1"/>
  <c r="H30" i="14"/>
  <c r="H28" i="14"/>
  <c r="H23" i="14"/>
  <c r="H21" i="14"/>
  <c r="G21" i="14"/>
  <c r="G20" i="14"/>
  <c r="F8" i="14"/>
  <c r="F7" i="14"/>
  <c r="I24" i="17" l="1"/>
  <c r="G14" i="17"/>
  <c r="G17" i="17" s="1"/>
  <c r="G21" i="17" s="1"/>
  <c r="G19" i="17"/>
  <c r="L499" i="16"/>
  <c r="R406" i="16" s="1"/>
  <c r="I499" i="16"/>
  <c r="O230" i="16" s="1"/>
  <c r="K499" i="16"/>
  <c r="Q376" i="16" s="1"/>
  <c r="J499" i="16"/>
  <c r="P457" i="16" s="1"/>
  <c r="Q85" i="16"/>
  <c r="P285" i="16"/>
  <c r="P219" i="16"/>
  <c r="P175" i="16"/>
  <c r="P11" i="16"/>
  <c r="Q140" i="16"/>
  <c r="Q132" i="16"/>
  <c r="Q130" i="16"/>
  <c r="Q58" i="16"/>
  <c r="Q48" i="16"/>
  <c r="Q46" i="16"/>
  <c r="Q40" i="16"/>
  <c r="Q16" i="16"/>
  <c r="R32" i="14"/>
  <c r="M23" i="14"/>
  <c r="P45" i="16" l="1"/>
  <c r="Q98" i="16"/>
  <c r="P55" i="16"/>
  <c r="Q80" i="16"/>
  <c r="P47" i="16"/>
  <c r="Q14" i="16"/>
  <c r="Q124" i="16"/>
  <c r="P87" i="16"/>
  <c r="Q30" i="16"/>
  <c r="Q90" i="16"/>
  <c r="Q164" i="16"/>
  <c r="P127" i="16"/>
  <c r="Q24" i="16"/>
  <c r="Q82" i="16"/>
  <c r="Q146" i="16"/>
  <c r="P95" i="16"/>
  <c r="Q32" i="16"/>
  <c r="Q96" i="16"/>
  <c r="Q172" i="16"/>
  <c r="P141" i="16"/>
  <c r="P63" i="16"/>
  <c r="Q64" i="16"/>
  <c r="Q106" i="16"/>
  <c r="Q148" i="16"/>
  <c r="P27" i="16"/>
  <c r="P71" i="16"/>
  <c r="P111" i="16"/>
  <c r="P157" i="16"/>
  <c r="P201" i="16"/>
  <c r="P253" i="16"/>
  <c r="Q231" i="16"/>
  <c r="P21" i="16"/>
  <c r="P193" i="16"/>
  <c r="Q66" i="16"/>
  <c r="Q112" i="16"/>
  <c r="Q156" i="16"/>
  <c r="P29" i="16"/>
  <c r="P77" i="16"/>
  <c r="P119" i="16"/>
  <c r="P159" i="16"/>
  <c r="P207" i="16"/>
  <c r="P269" i="16"/>
  <c r="Q379" i="16"/>
  <c r="P109" i="16"/>
  <c r="P151" i="16"/>
  <c r="P251" i="16"/>
  <c r="Q74" i="16"/>
  <c r="Q114" i="16"/>
  <c r="Q162" i="16"/>
  <c r="P37" i="16"/>
  <c r="P79" i="16"/>
  <c r="P125" i="16"/>
  <c r="P167" i="16"/>
  <c r="P209" i="16"/>
  <c r="P271" i="16"/>
  <c r="P362" i="16"/>
  <c r="P93" i="16"/>
  <c r="P135" i="16"/>
  <c r="P177" i="16"/>
  <c r="P221" i="16"/>
  <c r="P301" i="16"/>
  <c r="P185" i="16"/>
  <c r="P235" i="16"/>
  <c r="P319" i="16"/>
  <c r="P13" i="16"/>
  <c r="P61" i="16"/>
  <c r="P103" i="16"/>
  <c r="P143" i="16"/>
  <c r="P191" i="16"/>
  <c r="P237" i="16"/>
  <c r="P337" i="16"/>
  <c r="P62" i="16"/>
  <c r="P252" i="16"/>
  <c r="Q410" i="16"/>
  <c r="P303" i="16"/>
  <c r="P339" i="16"/>
  <c r="Q235" i="16"/>
  <c r="P278" i="16"/>
  <c r="P254" i="16"/>
  <c r="Q50" i="16"/>
  <c r="Q68" i="16"/>
  <c r="Q84" i="16"/>
  <c r="Q100" i="16"/>
  <c r="Q116" i="16"/>
  <c r="Q134" i="16"/>
  <c r="Q150" i="16"/>
  <c r="Q166" i="16"/>
  <c r="P15" i="16"/>
  <c r="P31" i="16"/>
  <c r="P49" i="16"/>
  <c r="P65" i="16"/>
  <c r="P81" i="16"/>
  <c r="P97" i="16"/>
  <c r="P113" i="16"/>
  <c r="P129" i="16"/>
  <c r="P145" i="16"/>
  <c r="P161" i="16"/>
  <c r="P179" i="16"/>
  <c r="P195" i="16"/>
  <c r="P211" i="16"/>
  <c r="P223" i="16"/>
  <c r="P239" i="16"/>
  <c r="P255" i="16"/>
  <c r="P273" i="16"/>
  <c r="P289" i="16"/>
  <c r="P305" i="16"/>
  <c r="P325" i="16"/>
  <c r="P341" i="16"/>
  <c r="Q123" i="16"/>
  <c r="Q269" i="16"/>
  <c r="P280" i="16"/>
  <c r="P412" i="16"/>
  <c r="P328" i="16"/>
  <c r="P124" i="16"/>
  <c r="P276" i="16"/>
  <c r="P479" i="16"/>
  <c r="Q34" i="16"/>
  <c r="Q20" i="16"/>
  <c r="Q36" i="16"/>
  <c r="Q52" i="16"/>
  <c r="Q70" i="16"/>
  <c r="Q86" i="16"/>
  <c r="Q102" i="16"/>
  <c r="Q120" i="16"/>
  <c r="Q136" i="16"/>
  <c r="Q152" i="16"/>
  <c r="Q168" i="16"/>
  <c r="P17" i="16"/>
  <c r="P33" i="16"/>
  <c r="P51" i="16"/>
  <c r="P67" i="16"/>
  <c r="P83" i="16"/>
  <c r="P99" i="16"/>
  <c r="P115" i="16"/>
  <c r="P131" i="16"/>
  <c r="P147" i="16"/>
  <c r="P163" i="16"/>
  <c r="P181" i="16"/>
  <c r="P197" i="16"/>
  <c r="P213" i="16"/>
  <c r="P225" i="16"/>
  <c r="P241" i="16"/>
  <c r="P257" i="16"/>
  <c r="P275" i="16"/>
  <c r="P291" i="16"/>
  <c r="P307" i="16"/>
  <c r="P327" i="16"/>
  <c r="P343" i="16"/>
  <c r="Q125" i="16"/>
  <c r="Q271" i="16"/>
  <c r="P284" i="16"/>
  <c r="P418" i="16"/>
  <c r="P334" i="16"/>
  <c r="P126" i="16"/>
  <c r="P428" i="16"/>
  <c r="P489" i="16"/>
  <c r="P287" i="16"/>
  <c r="P321" i="16"/>
  <c r="Q87" i="16"/>
  <c r="Q381" i="16"/>
  <c r="P380" i="16"/>
  <c r="P76" i="16"/>
  <c r="Q18" i="16"/>
  <c r="Q22" i="16"/>
  <c r="Q38" i="16"/>
  <c r="Q56" i="16"/>
  <c r="Q72" i="16"/>
  <c r="Q88" i="16"/>
  <c r="Q104" i="16"/>
  <c r="Q122" i="16"/>
  <c r="Q138" i="16"/>
  <c r="Q154" i="16"/>
  <c r="Q170" i="16"/>
  <c r="P19" i="16"/>
  <c r="P35" i="16"/>
  <c r="P53" i="16"/>
  <c r="P69" i="16"/>
  <c r="P85" i="16"/>
  <c r="P101" i="16"/>
  <c r="P117" i="16"/>
  <c r="P133" i="16"/>
  <c r="P149" i="16"/>
  <c r="P165" i="16"/>
  <c r="P183" i="16"/>
  <c r="P199" i="16"/>
  <c r="P43" i="16"/>
  <c r="P227" i="16"/>
  <c r="P243" i="16"/>
  <c r="P259" i="16"/>
  <c r="P277" i="16"/>
  <c r="P293" i="16"/>
  <c r="P309" i="16"/>
  <c r="P329" i="16"/>
  <c r="Q19" i="16"/>
  <c r="Q159" i="16"/>
  <c r="Q305" i="16"/>
  <c r="P290" i="16"/>
  <c r="P424" i="16"/>
  <c r="P492" i="16"/>
  <c r="P140" i="16"/>
  <c r="P436" i="16"/>
  <c r="P461" i="16"/>
  <c r="P188" i="16"/>
  <c r="P476" i="16"/>
  <c r="P465" i="16"/>
  <c r="P171" i="16"/>
  <c r="P245" i="16"/>
  <c r="P279" i="16"/>
  <c r="P295" i="16"/>
  <c r="P331" i="16"/>
  <c r="Q21" i="16"/>
  <c r="Q307" i="16"/>
  <c r="P456" i="16"/>
  <c r="Q10" i="16"/>
  <c r="Q26" i="16"/>
  <c r="Q42" i="16"/>
  <c r="Q60" i="16"/>
  <c r="Q76" i="16"/>
  <c r="Q92" i="16"/>
  <c r="Q108" i="16"/>
  <c r="Q126" i="16"/>
  <c r="Q142" i="16"/>
  <c r="Q158" i="16"/>
  <c r="Q174" i="16"/>
  <c r="P23" i="16"/>
  <c r="P39" i="16"/>
  <c r="P57" i="16"/>
  <c r="P73" i="16"/>
  <c r="P89" i="16"/>
  <c r="P105" i="16"/>
  <c r="P121" i="16"/>
  <c r="P137" i="16"/>
  <c r="P153" i="16"/>
  <c r="P169" i="16"/>
  <c r="P187" i="16"/>
  <c r="P203" i="16"/>
  <c r="P215" i="16"/>
  <c r="P231" i="16"/>
  <c r="P247" i="16"/>
  <c r="P265" i="16"/>
  <c r="P281" i="16"/>
  <c r="P297" i="16"/>
  <c r="P315" i="16"/>
  <c r="P333" i="16"/>
  <c r="Q51" i="16"/>
  <c r="Q195" i="16"/>
  <c r="Q341" i="16"/>
  <c r="P336" i="16"/>
  <c r="P480" i="16"/>
  <c r="P12" i="16"/>
  <c r="P190" i="16"/>
  <c r="P389" i="16"/>
  <c r="P229" i="16"/>
  <c r="P261" i="16"/>
  <c r="P311" i="16"/>
  <c r="Q161" i="16"/>
  <c r="P324" i="16"/>
  <c r="Q12" i="16"/>
  <c r="Q28" i="16"/>
  <c r="Q44" i="16"/>
  <c r="Q62" i="16"/>
  <c r="Q78" i="16"/>
  <c r="Q94" i="16"/>
  <c r="Q110" i="16"/>
  <c r="Q128" i="16"/>
  <c r="Q144" i="16"/>
  <c r="Q160" i="16"/>
  <c r="Q176" i="16"/>
  <c r="P25" i="16"/>
  <c r="P41" i="16"/>
  <c r="P59" i="16"/>
  <c r="P75" i="16"/>
  <c r="P91" i="16"/>
  <c r="P107" i="16"/>
  <c r="P123" i="16"/>
  <c r="P139" i="16"/>
  <c r="P155" i="16"/>
  <c r="P173" i="16"/>
  <c r="P189" i="16"/>
  <c r="P205" i="16"/>
  <c r="P217" i="16"/>
  <c r="P233" i="16"/>
  <c r="P249" i="16"/>
  <c r="P267" i="16"/>
  <c r="P283" i="16"/>
  <c r="P299" i="16"/>
  <c r="P317" i="16"/>
  <c r="P335" i="16"/>
  <c r="Q53" i="16"/>
  <c r="Q197" i="16"/>
  <c r="Q343" i="16"/>
  <c r="P348" i="16"/>
  <c r="P494" i="16"/>
  <c r="P60" i="16"/>
  <c r="P204" i="16"/>
  <c r="Q468" i="16"/>
  <c r="P395" i="16"/>
  <c r="O72" i="16"/>
  <c r="O134" i="16"/>
  <c r="O102" i="16"/>
  <c r="O166" i="16"/>
  <c r="O198" i="16"/>
  <c r="O463" i="16"/>
  <c r="O22" i="16"/>
  <c r="O46" i="16"/>
  <c r="R62" i="16"/>
  <c r="R126" i="16"/>
  <c r="R258" i="16"/>
  <c r="R45" i="16"/>
  <c r="R237" i="16"/>
  <c r="R413" i="16"/>
  <c r="R40" i="16"/>
  <c r="R146" i="16"/>
  <c r="R32" i="16"/>
  <c r="R104" i="16"/>
  <c r="R20" i="16"/>
  <c r="R36" i="16"/>
  <c r="R60" i="16"/>
  <c r="R76" i="16"/>
  <c r="R92" i="16"/>
  <c r="R108" i="16"/>
  <c r="R124" i="16"/>
  <c r="R142" i="16"/>
  <c r="R158" i="16"/>
  <c r="R174" i="16"/>
  <c r="R206" i="16"/>
  <c r="R244" i="16"/>
  <c r="R308" i="16"/>
  <c r="R31" i="16"/>
  <c r="R95" i="16"/>
  <c r="R159" i="16"/>
  <c r="R223" i="16"/>
  <c r="R293" i="16"/>
  <c r="Q69" i="16"/>
  <c r="Q143" i="16"/>
  <c r="Q215" i="16"/>
  <c r="Q289" i="16"/>
  <c r="Q363" i="16"/>
  <c r="R333" i="16"/>
  <c r="R399" i="16"/>
  <c r="R465" i="16"/>
  <c r="Q216" i="16"/>
  <c r="R496" i="16"/>
  <c r="Q460" i="16"/>
  <c r="R22" i="16"/>
  <c r="R78" i="16"/>
  <c r="R144" i="16"/>
  <c r="R210" i="16"/>
  <c r="R109" i="16"/>
  <c r="R347" i="16"/>
  <c r="R128" i="16"/>
  <c r="R24" i="16"/>
  <c r="R64" i="16"/>
  <c r="R112" i="16"/>
  <c r="R178" i="16"/>
  <c r="R212" i="16"/>
  <c r="R324" i="16"/>
  <c r="R111" i="16"/>
  <c r="R351" i="16"/>
  <c r="R483" i="16"/>
  <c r="R354" i="16"/>
  <c r="R10" i="16"/>
  <c r="R26" i="16"/>
  <c r="R42" i="16"/>
  <c r="R50" i="16"/>
  <c r="R66" i="16"/>
  <c r="R82" i="16"/>
  <c r="R98" i="16"/>
  <c r="R114" i="16"/>
  <c r="R132" i="16"/>
  <c r="R148" i="16"/>
  <c r="R164" i="16"/>
  <c r="R180" i="16"/>
  <c r="R222" i="16"/>
  <c r="R274" i="16"/>
  <c r="R338" i="16"/>
  <c r="R61" i="16"/>
  <c r="R125" i="16"/>
  <c r="R189" i="16"/>
  <c r="R255" i="16"/>
  <c r="Q35" i="16"/>
  <c r="Q103" i="16"/>
  <c r="Q177" i="16"/>
  <c r="Q251" i="16"/>
  <c r="Q323" i="16"/>
  <c r="R277" i="16"/>
  <c r="R365" i="16"/>
  <c r="R429" i="16"/>
  <c r="R392" i="16"/>
  <c r="Q427" i="16"/>
  <c r="R110" i="16"/>
  <c r="R162" i="16"/>
  <c r="R260" i="16"/>
  <c r="R175" i="16"/>
  <c r="R415" i="16"/>
  <c r="R12" i="16"/>
  <c r="R28" i="16"/>
  <c r="R44" i="16"/>
  <c r="R52" i="16"/>
  <c r="R68" i="16"/>
  <c r="R84" i="16"/>
  <c r="R100" i="16"/>
  <c r="R116" i="16"/>
  <c r="R134" i="16"/>
  <c r="R150" i="16"/>
  <c r="R166" i="16"/>
  <c r="R182" i="16"/>
  <c r="R226" i="16"/>
  <c r="R276" i="16"/>
  <c r="R340" i="16"/>
  <c r="R63" i="16"/>
  <c r="R127" i="16"/>
  <c r="R191" i="16"/>
  <c r="R257" i="16"/>
  <c r="Q37" i="16"/>
  <c r="Q107" i="16"/>
  <c r="Q179" i="16"/>
  <c r="Q253" i="16"/>
  <c r="Q325" i="16"/>
  <c r="R299" i="16"/>
  <c r="R367" i="16"/>
  <c r="R433" i="16"/>
  <c r="R492" i="16"/>
  <c r="R482" i="16"/>
  <c r="R442" i="16"/>
  <c r="R390" i="16"/>
  <c r="R477" i="16"/>
  <c r="R461" i="16"/>
  <c r="R445" i="16"/>
  <c r="R427" i="16"/>
  <c r="R411" i="16"/>
  <c r="R395" i="16"/>
  <c r="R379" i="16"/>
  <c r="R363" i="16"/>
  <c r="R345" i="16"/>
  <c r="R329" i="16"/>
  <c r="R313" i="16"/>
  <c r="R243" i="16"/>
  <c r="R289" i="16"/>
  <c r="R271" i="16"/>
  <c r="R253" i="16"/>
  <c r="R235" i="16"/>
  <c r="R219" i="16"/>
  <c r="R203" i="16"/>
  <c r="R187" i="16"/>
  <c r="R171" i="16"/>
  <c r="R155" i="16"/>
  <c r="R139" i="16"/>
  <c r="R123" i="16"/>
  <c r="R107" i="16"/>
  <c r="R91" i="16"/>
  <c r="R75" i="16"/>
  <c r="R59" i="16"/>
  <c r="R43" i="16"/>
  <c r="R27" i="16"/>
  <c r="R11" i="16"/>
  <c r="R336" i="16"/>
  <c r="R320" i="16"/>
  <c r="R304" i="16"/>
  <c r="R288" i="16"/>
  <c r="R272" i="16"/>
  <c r="R256" i="16"/>
  <c r="R240" i="16"/>
  <c r="R224" i="16"/>
  <c r="R208" i="16"/>
  <c r="R192" i="16"/>
  <c r="R480" i="16"/>
  <c r="R428" i="16"/>
  <c r="R388" i="16"/>
  <c r="R497" i="16"/>
  <c r="R475" i="16"/>
  <c r="R459" i="16"/>
  <c r="R443" i="16"/>
  <c r="R425" i="16"/>
  <c r="R409" i="16"/>
  <c r="R393" i="16"/>
  <c r="R377" i="16"/>
  <c r="R361" i="16"/>
  <c r="R343" i="16"/>
  <c r="R327" i="16"/>
  <c r="R309" i="16"/>
  <c r="R287" i="16"/>
  <c r="R269" i="16"/>
  <c r="R251" i="16"/>
  <c r="R233" i="16"/>
  <c r="R217" i="16"/>
  <c r="R201" i="16"/>
  <c r="R185" i="16"/>
  <c r="R169" i="16"/>
  <c r="R153" i="16"/>
  <c r="R137" i="16"/>
  <c r="R121" i="16"/>
  <c r="R105" i="16"/>
  <c r="R89" i="16"/>
  <c r="R73" i="16"/>
  <c r="R57" i="16"/>
  <c r="R41" i="16"/>
  <c r="R25" i="16"/>
  <c r="R352" i="16"/>
  <c r="R334" i="16"/>
  <c r="R318" i="16"/>
  <c r="R302" i="16"/>
  <c r="R286" i="16"/>
  <c r="R270" i="16"/>
  <c r="R254" i="16"/>
  <c r="R400" i="16"/>
  <c r="R478" i="16"/>
  <c r="R426" i="16"/>
  <c r="R374" i="16"/>
  <c r="R493" i="16"/>
  <c r="R473" i="16"/>
  <c r="R457" i="16"/>
  <c r="R441" i="16"/>
  <c r="R423" i="16"/>
  <c r="R407" i="16"/>
  <c r="R391" i="16"/>
  <c r="R375" i="16"/>
  <c r="R359" i="16"/>
  <c r="R341" i="16"/>
  <c r="R325" i="16"/>
  <c r="R307" i="16"/>
  <c r="R285" i="16"/>
  <c r="R267" i="16"/>
  <c r="R249" i="16"/>
  <c r="R231" i="16"/>
  <c r="R215" i="16"/>
  <c r="R199" i="16"/>
  <c r="R183" i="16"/>
  <c r="R167" i="16"/>
  <c r="R151" i="16"/>
  <c r="R135" i="16"/>
  <c r="R119" i="16"/>
  <c r="R103" i="16"/>
  <c r="R87" i="16"/>
  <c r="R71" i="16"/>
  <c r="R55" i="16"/>
  <c r="R39" i="16"/>
  <c r="R23" i="16"/>
  <c r="R348" i="16"/>
  <c r="R332" i="16"/>
  <c r="R316" i="16"/>
  <c r="R300" i="16"/>
  <c r="R284" i="16"/>
  <c r="R268" i="16"/>
  <c r="R252" i="16"/>
  <c r="R236" i="16"/>
  <c r="R220" i="16"/>
  <c r="R204" i="16"/>
  <c r="R188" i="16"/>
  <c r="R485" i="16"/>
  <c r="R384" i="16"/>
  <c r="R462" i="16"/>
  <c r="R424" i="16"/>
  <c r="R372" i="16"/>
  <c r="R491" i="16"/>
  <c r="R471" i="16"/>
  <c r="R455" i="16"/>
  <c r="R439" i="16"/>
  <c r="R421" i="16"/>
  <c r="R405" i="16"/>
  <c r="R389" i="16"/>
  <c r="R373" i="16"/>
  <c r="R357" i="16"/>
  <c r="R339" i="16"/>
  <c r="R323" i="16"/>
  <c r="R305" i="16"/>
  <c r="R283" i="16"/>
  <c r="R265" i="16"/>
  <c r="R247" i="16"/>
  <c r="R229" i="16"/>
  <c r="R213" i="16"/>
  <c r="R197" i="16"/>
  <c r="R181" i="16"/>
  <c r="R165" i="16"/>
  <c r="R149" i="16"/>
  <c r="R133" i="16"/>
  <c r="R117" i="16"/>
  <c r="R101" i="16"/>
  <c r="R85" i="16"/>
  <c r="R69" i="16"/>
  <c r="R53" i="16"/>
  <c r="R37" i="16"/>
  <c r="R21" i="16"/>
  <c r="R346" i="16"/>
  <c r="R330" i="16"/>
  <c r="R314" i="16"/>
  <c r="R298" i="16"/>
  <c r="R282" i="16"/>
  <c r="R266" i="16"/>
  <c r="R250" i="16"/>
  <c r="R234" i="16"/>
  <c r="R218" i="16"/>
  <c r="R202" i="16"/>
  <c r="R186" i="16"/>
  <c r="R460" i="16"/>
  <c r="R410" i="16"/>
  <c r="R370" i="16"/>
  <c r="R489" i="16"/>
  <c r="R469" i="16"/>
  <c r="R453" i="16"/>
  <c r="R437" i="16"/>
  <c r="R419" i="16"/>
  <c r="R403" i="16"/>
  <c r="R387" i="16"/>
  <c r="R371" i="16"/>
  <c r="R355" i="16"/>
  <c r="R337" i="16"/>
  <c r="R321" i="16"/>
  <c r="R303" i="16"/>
  <c r="R297" i="16"/>
  <c r="R281" i="16"/>
  <c r="R263" i="16"/>
  <c r="R245" i="16"/>
  <c r="R227" i="16"/>
  <c r="R211" i="16"/>
  <c r="R195" i="16"/>
  <c r="R179" i="16"/>
  <c r="R163" i="16"/>
  <c r="R147" i="16"/>
  <c r="R131" i="16"/>
  <c r="R115" i="16"/>
  <c r="R99" i="16"/>
  <c r="R83" i="16"/>
  <c r="R67" i="16"/>
  <c r="R51" i="16"/>
  <c r="R35" i="16"/>
  <c r="R19" i="16"/>
  <c r="R344" i="16"/>
  <c r="R328" i="16"/>
  <c r="R312" i="16"/>
  <c r="R296" i="16"/>
  <c r="R280" i="16"/>
  <c r="R264" i="16"/>
  <c r="R248" i="16"/>
  <c r="R232" i="16"/>
  <c r="R216" i="16"/>
  <c r="R200" i="16"/>
  <c r="R184" i="16"/>
  <c r="R9" i="16"/>
  <c r="R458" i="16"/>
  <c r="R408" i="16"/>
  <c r="R356" i="16"/>
  <c r="R487" i="16"/>
  <c r="R467" i="16"/>
  <c r="R451" i="16"/>
  <c r="R435" i="16"/>
  <c r="R417" i="16"/>
  <c r="R401" i="16"/>
  <c r="R385" i="16"/>
  <c r="R369" i="16"/>
  <c r="R353" i="16"/>
  <c r="R335" i="16"/>
  <c r="R319" i="16"/>
  <c r="R301" i="16"/>
  <c r="R295" i="16"/>
  <c r="R279" i="16"/>
  <c r="R259" i="16"/>
  <c r="R241" i="16"/>
  <c r="R225" i="16"/>
  <c r="R209" i="16"/>
  <c r="R193" i="16"/>
  <c r="R177" i="16"/>
  <c r="R161" i="16"/>
  <c r="R145" i="16"/>
  <c r="R129" i="16"/>
  <c r="R113" i="16"/>
  <c r="R97" i="16"/>
  <c r="R81" i="16"/>
  <c r="R65" i="16"/>
  <c r="R49" i="16"/>
  <c r="R33" i="16"/>
  <c r="R17" i="16"/>
  <c r="R342" i="16"/>
  <c r="R326" i="16"/>
  <c r="R310" i="16"/>
  <c r="R294" i="16"/>
  <c r="R278" i="16"/>
  <c r="R262" i="16"/>
  <c r="R246" i="16"/>
  <c r="R230" i="16"/>
  <c r="R214" i="16"/>
  <c r="R198" i="16"/>
  <c r="R80" i="16"/>
  <c r="R239" i="16"/>
  <c r="R14" i="16"/>
  <c r="R30" i="16"/>
  <c r="R46" i="16"/>
  <c r="R54" i="16"/>
  <c r="R70" i="16"/>
  <c r="R86" i="16"/>
  <c r="R102" i="16"/>
  <c r="R118" i="16"/>
  <c r="R136" i="16"/>
  <c r="R152" i="16"/>
  <c r="R168" i="16"/>
  <c r="R190" i="16"/>
  <c r="R228" i="16"/>
  <c r="R290" i="16"/>
  <c r="R13" i="16"/>
  <c r="R77" i="16"/>
  <c r="R141" i="16"/>
  <c r="R205" i="16"/>
  <c r="R273" i="16"/>
  <c r="R315" i="16"/>
  <c r="R381" i="16"/>
  <c r="R447" i="16"/>
  <c r="R444" i="16"/>
  <c r="R160" i="16"/>
  <c r="R130" i="16"/>
  <c r="R48" i="16"/>
  <c r="R56" i="16"/>
  <c r="R72" i="16"/>
  <c r="R120" i="16"/>
  <c r="R138" i="16"/>
  <c r="R154" i="16"/>
  <c r="R170" i="16"/>
  <c r="R194" i="16"/>
  <c r="R238" i="16"/>
  <c r="R292" i="16"/>
  <c r="R15" i="16"/>
  <c r="R79" i="16"/>
  <c r="R143" i="16"/>
  <c r="R207" i="16"/>
  <c r="R275" i="16"/>
  <c r="R317" i="16"/>
  <c r="R383" i="16"/>
  <c r="R449" i="16"/>
  <c r="Q118" i="16"/>
  <c r="Q441" i="16"/>
  <c r="Q454" i="16"/>
  <c r="Q475" i="16"/>
  <c r="Q370" i="16"/>
  <c r="Q462" i="16"/>
  <c r="Q268" i="16"/>
  <c r="Q200" i="16"/>
  <c r="Q375" i="16"/>
  <c r="Q357" i="16"/>
  <c r="Q339" i="16"/>
  <c r="Q321" i="16"/>
  <c r="Q303" i="16"/>
  <c r="Q285" i="16"/>
  <c r="Q267" i="16"/>
  <c r="Q247" i="16"/>
  <c r="Q229" i="16"/>
  <c r="Q211" i="16"/>
  <c r="Q193" i="16"/>
  <c r="Q175" i="16"/>
  <c r="Q157" i="16"/>
  <c r="Q139" i="16"/>
  <c r="Q119" i="16"/>
  <c r="Q101" i="16"/>
  <c r="Q83" i="16"/>
  <c r="Q65" i="16"/>
  <c r="Q49" i="16"/>
  <c r="Q33" i="16"/>
  <c r="Q17" i="16"/>
  <c r="Q431" i="16"/>
  <c r="Q408" i="16"/>
  <c r="Q397" i="16"/>
  <c r="Q334" i="16"/>
  <c r="Q418" i="16"/>
  <c r="Q262" i="16"/>
  <c r="Q198" i="16"/>
  <c r="Q391" i="16"/>
  <c r="Q373" i="16"/>
  <c r="Q355" i="16"/>
  <c r="Q337" i="16"/>
  <c r="Q319" i="16"/>
  <c r="Q301" i="16"/>
  <c r="Q283" i="16"/>
  <c r="Q263" i="16"/>
  <c r="Q245" i="16"/>
  <c r="Q227" i="16"/>
  <c r="Q209" i="16"/>
  <c r="Q191" i="16"/>
  <c r="Q173" i="16"/>
  <c r="Q155" i="16"/>
  <c r="Q135" i="16"/>
  <c r="Q117" i="16"/>
  <c r="Q99" i="16"/>
  <c r="Q81" i="16"/>
  <c r="Q63" i="16"/>
  <c r="Q47" i="16"/>
  <c r="Q31" i="16"/>
  <c r="Q15" i="16"/>
  <c r="Q402" i="16"/>
  <c r="Q496" i="16"/>
  <c r="Q330" i="16"/>
  <c r="Q412" i="16"/>
  <c r="Q248" i="16"/>
  <c r="Q184" i="16"/>
  <c r="Q389" i="16"/>
  <c r="Q371" i="16"/>
  <c r="Q353" i="16"/>
  <c r="Q335" i="16"/>
  <c r="Q317" i="16"/>
  <c r="Q299" i="16"/>
  <c r="Q279" i="16"/>
  <c r="Q261" i="16"/>
  <c r="Q243" i="16"/>
  <c r="Q225" i="16"/>
  <c r="Q207" i="16"/>
  <c r="Q189" i="16"/>
  <c r="Q171" i="16"/>
  <c r="Q151" i="16"/>
  <c r="Q133" i="16"/>
  <c r="Q115" i="16"/>
  <c r="Q97" i="16"/>
  <c r="Q79" i="16"/>
  <c r="Q61" i="16"/>
  <c r="Q45" i="16"/>
  <c r="Q29" i="16"/>
  <c r="Q13" i="16"/>
  <c r="Q356" i="16"/>
  <c r="Q458" i="16"/>
  <c r="Q298" i="16"/>
  <c r="Q366" i="16"/>
  <c r="Q246" i="16"/>
  <c r="Q182" i="16"/>
  <c r="Q286" i="16"/>
  <c r="Q387" i="16"/>
  <c r="Q369" i="16"/>
  <c r="Q351" i="16"/>
  <c r="Q333" i="16"/>
  <c r="Q315" i="16"/>
  <c r="Q295" i="16"/>
  <c r="Q277" i="16"/>
  <c r="Q259" i="16"/>
  <c r="Q241" i="16"/>
  <c r="Q223" i="16"/>
  <c r="Q205" i="16"/>
  <c r="Q187" i="16"/>
  <c r="Q167" i="16"/>
  <c r="Q149" i="16"/>
  <c r="Q131" i="16"/>
  <c r="Q113" i="16"/>
  <c r="Q95" i="16"/>
  <c r="Q77" i="16"/>
  <c r="Q59" i="16"/>
  <c r="Q43" i="16"/>
  <c r="Q27" i="16"/>
  <c r="Q11" i="16"/>
  <c r="Q423" i="16"/>
  <c r="Q473" i="16"/>
  <c r="Q407" i="16"/>
  <c r="Q346" i="16"/>
  <c r="Q452" i="16"/>
  <c r="Q360" i="16"/>
  <c r="Q232" i="16"/>
  <c r="Q278" i="16"/>
  <c r="Q385" i="16"/>
  <c r="Q367" i="16"/>
  <c r="Q349" i="16"/>
  <c r="Q331" i="16"/>
  <c r="Q311" i="16"/>
  <c r="Q293" i="16"/>
  <c r="Q275" i="16"/>
  <c r="Q257" i="16"/>
  <c r="Q239" i="16"/>
  <c r="Q221" i="16"/>
  <c r="Q203" i="16"/>
  <c r="Q183" i="16"/>
  <c r="Q165" i="16"/>
  <c r="Q147" i="16"/>
  <c r="Q129" i="16"/>
  <c r="Q111" i="16"/>
  <c r="Q93" i="16"/>
  <c r="Q75" i="16"/>
  <c r="Q57" i="16"/>
  <c r="Q41" i="16"/>
  <c r="Q25" i="16"/>
  <c r="Q413" i="16"/>
  <c r="Q459" i="16"/>
  <c r="Q308" i="16"/>
  <c r="Q414" i="16"/>
  <c r="Q439" i="16"/>
  <c r="Q230" i="16"/>
  <c r="Q264" i="16"/>
  <c r="Q383" i="16"/>
  <c r="Q365" i="16"/>
  <c r="Q347" i="16"/>
  <c r="Q327" i="16"/>
  <c r="Q309" i="16"/>
  <c r="Q291" i="16"/>
  <c r="Q273" i="16"/>
  <c r="Q255" i="16"/>
  <c r="Q237" i="16"/>
  <c r="Q219" i="16"/>
  <c r="Q199" i="16"/>
  <c r="Q181" i="16"/>
  <c r="Q163" i="16"/>
  <c r="Q145" i="16"/>
  <c r="Q127" i="16"/>
  <c r="Q109" i="16"/>
  <c r="Q91" i="16"/>
  <c r="Q71" i="16"/>
  <c r="Q55" i="16"/>
  <c r="Q39" i="16"/>
  <c r="Q23" i="16"/>
  <c r="R446" i="16"/>
  <c r="Q485" i="16"/>
  <c r="R38" i="16"/>
  <c r="R94" i="16"/>
  <c r="R176" i="16"/>
  <c r="R322" i="16"/>
  <c r="R173" i="16"/>
  <c r="R481" i="16"/>
  <c r="R96" i="16"/>
  <c r="R47" i="16"/>
  <c r="R16" i="16"/>
  <c r="R88" i="16"/>
  <c r="R18" i="16"/>
  <c r="R34" i="16"/>
  <c r="R58" i="16"/>
  <c r="R74" i="16"/>
  <c r="R90" i="16"/>
  <c r="R106" i="16"/>
  <c r="R122" i="16"/>
  <c r="R140" i="16"/>
  <c r="R156" i="16"/>
  <c r="R172" i="16"/>
  <c r="R196" i="16"/>
  <c r="R242" i="16"/>
  <c r="R306" i="16"/>
  <c r="R29" i="16"/>
  <c r="R93" i="16"/>
  <c r="R157" i="16"/>
  <c r="R221" i="16"/>
  <c r="R291" i="16"/>
  <c r="Q67" i="16"/>
  <c r="Q141" i="16"/>
  <c r="Q213" i="16"/>
  <c r="Q287" i="16"/>
  <c r="Q359" i="16"/>
  <c r="R331" i="16"/>
  <c r="R397" i="16"/>
  <c r="R463" i="16"/>
  <c r="Q214" i="16"/>
  <c r="R494" i="16"/>
  <c r="Q306" i="16"/>
  <c r="P433" i="16"/>
  <c r="P296" i="16"/>
  <c r="P368" i="16"/>
  <c r="P434" i="16"/>
  <c r="P378" i="16"/>
  <c r="P14" i="16"/>
  <c r="P78" i="16"/>
  <c r="P142" i="16"/>
  <c r="P206" i="16"/>
  <c r="P282" i="16"/>
  <c r="P482" i="16"/>
  <c r="P496" i="16"/>
  <c r="P439" i="16"/>
  <c r="P306" i="16"/>
  <c r="P374" i="16"/>
  <c r="P450" i="16"/>
  <c r="P384" i="16"/>
  <c r="P28" i="16"/>
  <c r="P92" i="16"/>
  <c r="P156" i="16"/>
  <c r="P220" i="16"/>
  <c r="P322" i="16"/>
  <c r="P383" i="16"/>
  <c r="P475" i="16"/>
  <c r="P426" i="16"/>
  <c r="P30" i="16"/>
  <c r="P94" i="16"/>
  <c r="P158" i="16"/>
  <c r="P222" i="16"/>
  <c r="P330" i="16"/>
  <c r="P387" i="16"/>
  <c r="P323" i="16"/>
  <c r="P481" i="16"/>
  <c r="P326" i="16"/>
  <c r="P390" i="16"/>
  <c r="P460" i="16"/>
  <c r="P9" i="16"/>
  <c r="P432" i="16"/>
  <c r="P44" i="16"/>
  <c r="P108" i="16"/>
  <c r="P172" i="16"/>
  <c r="P236" i="16"/>
  <c r="P376" i="16"/>
  <c r="P407" i="16"/>
  <c r="P423" i="16"/>
  <c r="P359" i="16"/>
  <c r="P258" i="16"/>
  <c r="P332" i="16"/>
  <c r="P406" i="16"/>
  <c r="P466" i="16"/>
  <c r="P262" i="16"/>
  <c r="P486" i="16"/>
  <c r="P46" i="16"/>
  <c r="P110" i="16"/>
  <c r="P174" i="16"/>
  <c r="P238" i="16"/>
  <c r="P382" i="16"/>
  <c r="P415" i="16"/>
  <c r="P427" i="16"/>
  <c r="P361" i="16"/>
  <c r="O43" i="16"/>
  <c r="O267" i="16"/>
  <c r="O24" i="16"/>
  <c r="O187" i="16"/>
  <c r="O314" i="16"/>
  <c r="O495" i="16"/>
  <c r="O138" i="16"/>
  <c r="O325" i="16"/>
  <c r="O464" i="16"/>
  <c r="O316" i="16"/>
  <c r="O380" i="16"/>
  <c r="O476" i="16"/>
  <c r="O433" i="16"/>
  <c r="O497" i="16"/>
  <c r="O229" i="16"/>
  <c r="O434" i="16"/>
  <c r="O168" i="16"/>
  <c r="O45" i="16"/>
  <c r="O363" i="16"/>
  <c r="O26" i="16"/>
  <c r="O13" i="16"/>
  <c r="O365" i="16"/>
  <c r="O108" i="16"/>
  <c r="O204" i="16"/>
  <c r="O15" i="16"/>
  <c r="O49" i="16"/>
  <c r="O91" i="16"/>
  <c r="O33" i="16"/>
  <c r="O155" i="16"/>
  <c r="O201" i="16"/>
  <c r="O245" i="16"/>
  <c r="O283" i="16"/>
  <c r="O329" i="16"/>
  <c r="O375" i="16"/>
  <c r="O413" i="16"/>
  <c r="O246" i="16"/>
  <c r="O488" i="16"/>
  <c r="O266" i="16"/>
  <c r="O330" i="16"/>
  <c r="O394" i="16"/>
  <c r="O447" i="16"/>
  <c r="O139" i="16"/>
  <c r="O397" i="16"/>
  <c r="O300" i="16"/>
  <c r="O104" i="16"/>
  <c r="O11" i="16"/>
  <c r="O277" i="16"/>
  <c r="O106" i="16"/>
  <c r="O47" i="16"/>
  <c r="O235" i="16"/>
  <c r="O140" i="16"/>
  <c r="O36" i="16"/>
  <c r="O88" i="16"/>
  <c r="O150" i="16"/>
  <c r="O182" i="16"/>
  <c r="O214" i="16"/>
  <c r="O25" i="16"/>
  <c r="O59" i="16"/>
  <c r="O95" i="16"/>
  <c r="O121" i="16"/>
  <c r="O165" i="16"/>
  <c r="O203" i="16"/>
  <c r="O249" i="16"/>
  <c r="O293" i="16"/>
  <c r="O331" i="16"/>
  <c r="O379" i="16"/>
  <c r="O492" i="16"/>
  <c r="O268" i="16"/>
  <c r="O332" i="16"/>
  <c r="O396" i="16"/>
  <c r="O449" i="16"/>
  <c r="O75" i="16"/>
  <c r="O185" i="16"/>
  <c r="O313" i="16"/>
  <c r="O436" i="16"/>
  <c r="O364" i="16"/>
  <c r="O481" i="16"/>
  <c r="O136" i="16"/>
  <c r="O79" i="16"/>
  <c r="O233" i="16"/>
  <c r="O460" i="16"/>
  <c r="O470" i="16"/>
  <c r="O431" i="16"/>
  <c r="O170" i="16"/>
  <c r="O411" i="16"/>
  <c r="O56" i="16"/>
  <c r="O172" i="16"/>
  <c r="O58" i="16"/>
  <c r="O118" i="16"/>
  <c r="O10" i="16"/>
  <c r="O38" i="16"/>
  <c r="O62" i="16"/>
  <c r="O90" i="16"/>
  <c r="O120" i="16"/>
  <c r="O152" i="16"/>
  <c r="O184" i="16"/>
  <c r="O216" i="16"/>
  <c r="O27" i="16"/>
  <c r="O61" i="16"/>
  <c r="O99" i="16"/>
  <c r="O123" i="16"/>
  <c r="O169" i="16"/>
  <c r="O213" i="16"/>
  <c r="O251" i="16"/>
  <c r="O297" i="16"/>
  <c r="O341" i="16"/>
  <c r="O381" i="16"/>
  <c r="O282" i="16"/>
  <c r="O346" i="16"/>
  <c r="O410" i="16"/>
  <c r="O493" i="16"/>
  <c r="O477" i="16"/>
  <c r="O461" i="16"/>
  <c r="O445" i="16"/>
  <c r="O429" i="16"/>
  <c r="O466" i="16"/>
  <c r="O426" i="16"/>
  <c r="O408" i="16"/>
  <c r="O392" i="16"/>
  <c r="O376" i="16"/>
  <c r="O360" i="16"/>
  <c r="O344" i="16"/>
  <c r="O328" i="16"/>
  <c r="O312" i="16"/>
  <c r="O296" i="16"/>
  <c r="O280" i="16"/>
  <c r="O264" i="16"/>
  <c r="O486" i="16"/>
  <c r="O456" i="16"/>
  <c r="O428" i="16"/>
  <c r="O242" i="16"/>
  <c r="O409" i="16"/>
  <c r="O393" i="16"/>
  <c r="O377" i="16"/>
  <c r="O361" i="16"/>
  <c r="O345" i="16"/>
  <c r="O327" i="16"/>
  <c r="O311" i="16"/>
  <c r="O295" i="16"/>
  <c r="O279" i="16"/>
  <c r="O263" i="16"/>
  <c r="O247" i="16"/>
  <c r="O231" i="16"/>
  <c r="O215" i="16"/>
  <c r="O199" i="16"/>
  <c r="O183" i="16"/>
  <c r="O167" i="16"/>
  <c r="O151" i="16"/>
  <c r="O135" i="16"/>
  <c r="O97" i="16"/>
  <c r="O111" i="16"/>
  <c r="O93" i="16"/>
  <c r="O77" i="16"/>
  <c r="O491" i="16"/>
  <c r="O475" i="16"/>
  <c r="O459" i="16"/>
  <c r="O443" i="16"/>
  <c r="O427" i="16"/>
  <c r="O462" i="16"/>
  <c r="O424" i="16"/>
  <c r="O406" i="16"/>
  <c r="O390" i="16"/>
  <c r="O374" i="16"/>
  <c r="O358" i="16"/>
  <c r="O342" i="16"/>
  <c r="O326" i="16"/>
  <c r="O310" i="16"/>
  <c r="O294" i="16"/>
  <c r="O278" i="16"/>
  <c r="O262" i="16"/>
  <c r="O482" i="16"/>
  <c r="O454" i="16"/>
  <c r="O422" i="16"/>
  <c r="O489" i="16"/>
  <c r="O473" i="16"/>
  <c r="O457" i="16"/>
  <c r="O441" i="16"/>
  <c r="O425" i="16"/>
  <c r="O494" i="16"/>
  <c r="O452" i="16"/>
  <c r="O420" i="16"/>
  <c r="O404" i="16"/>
  <c r="O388" i="16"/>
  <c r="O372" i="16"/>
  <c r="O356" i="16"/>
  <c r="O340" i="16"/>
  <c r="O324" i="16"/>
  <c r="O308" i="16"/>
  <c r="O292" i="16"/>
  <c r="O276" i="16"/>
  <c r="O260" i="16"/>
  <c r="O478" i="16"/>
  <c r="O450" i="16"/>
  <c r="O254" i="16"/>
  <c r="O238" i="16"/>
  <c r="O421" i="16"/>
  <c r="O405" i="16"/>
  <c r="O389" i="16"/>
  <c r="O373" i="16"/>
  <c r="O357" i="16"/>
  <c r="O339" i="16"/>
  <c r="O323" i="16"/>
  <c r="O307" i="16"/>
  <c r="O291" i="16"/>
  <c r="O275" i="16"/>
  <c r="O259" i="16"/>
  <c r="O243" i="16"/>
  <c r="O227" i="16"/>
  <c r="O211" i="16"/>
  <c r="O195" i="16"/>
  <c r="O179" i="16"/>
  <c r="O163" i="16"/>
  <c r="O147" i="16"/>
  <c r="O131" i="16"/>
  <c r="O107" i="16"/>
  <c r="O89" i="16"/>
  <c r="O73" i="16"/>
  <c r="O57" i="16"/>
  <c r="O41" i="16"/>
  <c r="O23" i="16"/>
  <c r="O228" i="16"/>
  <c r="O212" i="16"/>
  <c r="O196" i="16"/>
  <c r="O180" i="16"/>
  <c r="O164" i="16"/>
  <c r="O148" i="16"/>
  <c r="O132" i="16"/>
  <c r="O116" i="16"/>
  <c r="O100" i="16"/>
  <c r="O82" i="16"/>
  <c r="O66" i="16"/>
  <c r="O50" i="16"/>
  <c r="O34" i="16"/>
  <c r="O18" i="16"/>
  <c r="O226" i="16"/>
  <c r="O178" i="16"/>
  <c r="O146" i="16"/>
  <c r="O114" i="16"/>
  <c r="O80" i="16"/>
  <c r="O64" i="16"/>
  <c r="O32" i="16"/>
  <c r="O103" i="16"/>
  <c r="O224" i="16"/>
  <c r="O192" i="16"/>
  <c r="O144" i="16"/>
  <c r="O487" i="16"/>
  <c r="O471" i="16"/>
  <c r="O455" i="16"/>
  <c r="O439" i="16"/>
  <c r="O423" i="16"/>
  <c r="O490" i="16"/>
  <c r="O448" i="16"/>
  <c r="O418" i="16"/>
  <c r="O402" i="16"/>
  <c r="O386" i="16"/>
  <c r="O370" i="16"/>
  <c r="O354" i="16"/>
  <c r="O338" i="16"/>
  <c r="O322" i="16"/>
  <c r="O306" i="16"/>
  <c r="O290" i="16"/>
  <c r="O274" i="16"/>
  <c r="O258" i="16"/>
  <c r="O474" i="16"/>
  <c r="O446" i="16"/>
  <c r="O252" i="16"/>
  <c r="O236" i="16"/>
  <c r="O419" i="16"/>
  <c r="O403" i="16"/>
  <c r="O387" i="16"/>
  <c r="O371" i="16"/>
  <c r="O355" i="16"/>
  <c r="O337" i="16"/>
  <c r="O321" i="16"/>
  <c r="O305" i="16"/>
  <c r="O289" i="16"/>
  <c r="O273" i="16"/>
  <c r="O257" i="16"/>
  <c r="O241" i="16"/>
  <c r="O225" i="16"/>
  <c r="O209" i="16"/>
  <c r="O193" i="16"/>
  <c r="O177" i="16"/>
  <c r="O161" i="16"/>
  <c r="O145" i="16"/>
  <c r="O129" i="16"/>
  <c r="O105" i="16"/>
  <c r="O87" i="16"/>
  <c r="O71" i="16"/>
  <c r="O55" i="16"/>
  <c r="O39" i="16"/>
  <c r="O21" i="16"/>
  <c r="O210" i="16"/>
  <c r="O194" i="16"/>
  <c r="O162" i="16"/>
  <c r="O130" i="16"/>
  <c r="O98" i="16"/>
  <c r="O48" i="16"/>
  <c r="O16" i="16"/>
  <c r="O53" i="16"/>
  <c r="O176" i="16"/>
  <c r="O128" i="16"/>
  <c r="O485" i="16"/>
  <c r="O469" i="16"/>
  <c r="O453" i="16"/>
  <c r="O437" i="16"/>
  <c r="O343" i="16"/>
  <c r="O484" i="16"/>
  <c r="O444" i="16"/>
  <c r="O416" i="16"/>
  <c r="O400" i="16"/>
  <c r="O384" i="16"/>
  <c r="O368" i="16"/>
  <c r="O352" i="16"/>
  <c r="O336" i="16"/>
  <c r="O320" i="16"/>
  <c r="O304" i="16"/>
  <c r="O288" i="16"/>
  <c r="O272" i="16"/>
  <c r="O256" i="16"/>
  <c r="O472" i="16"/>
  <c r="O442" i="16"/>
  <c r="O250" i="16"/>
  <c r="O86" i="16"/>
  <c r="O417" i="16"/>
  <c r="O401" i="16"/>
  <c r="O385" i="16"/>
  <c r="O369" i="16"/>
  <c r="O353" i="16"/>
  <c r="O335" i="16"/>
  <c r="O319" i="16"/>
  <c r="O303" i="16"/>
  <c r="O287" i="16"/>
  <c r="O271" i="16"/>
  <c r="O255" i="16"/>
  <c r="O239" i="16"/>
  <c r="O223" i="16"/>
  <c r="O207" i="16"/>
  <c r="O191" i="16"/>
  <c r="O175" i="16"/>
  <c r="O159" i="16"/>
  <c r="O143" i="16"/>
  <c r="O127" i="16"/>
  <c r="O119" i="16"/>
  <c r="O85" i="16"/>
  <c r="O69" i="16"/>
  <c r="O37" i="16"/>
  <c r="O19" i="16"/>
  <c r="O208" i="16"/>
  <c r="O160" i="16"/>
  <c r="O112" i="16"/>
  <c r="O458" i="16"/>
  <c r="O483" i="16"/>
  <c r="O467" i="16"/>
  <c r="O451" i="16"/>
  <c r="O435" i="16"/>
  <c r="O9" i="16"/>
  <c r="O480" i="16"/>
  <c r="O438" i="16"/>
  <c r="O414" i="16"/>
  <c r="O398" i="16"/>
  <c r="O382" i="16"/>
  <c r="O366" i="16"/>
  <c r="O350" i="16"/>
  <c r="O334" i="16"/>
  <c r="O318" i="16"/>
  <c r="O302" i="16"/>
  <c r="O286" i="16"/>
  <c r="O270" i="16"/>
  <c r="O496" i="16"/>
  <c r="O468" i="16"/>
  <c r="O440" i="16"/>
  <c r="O248" i="16"/>
  <c r="O415" i="16"/>
  <c r="O399" i="16"/>
  <c r="O383" i="16"/>
  <c r="O367" i="16"/>
  <c r="O351" i="16"/>
  <c r="O333" i="16"/>
  <c r="O317" i="16"/>
  <c r="O301" i="16"/>
  <c r="O285" i="16"/>
  <c r="O269" i="16"/>
  <c r="O253" i="16"/>
  <c r="O237" i="16"/>
  <c r="O221" i="16"/>
  <c r="O205" i="16"/>
  <c r="O189" i="16"/>
  <c r="O173" i="16"/>
  <c r="O157" i="16"/>
  <c r="O141" i="16"/>
  <c r="O125" i="16"/>
  <c r="O117" i="16"/>
  <c r="O101" i="16"/>
  <c r="O83" i="16"/>
  <c r="O67" i="16"/>
  <c r="O51" i="16"/>
  <c r="O35" i="16"/>
  <c r="O17" i="16"/>
  <c r="O222" i="16"/>
  <c r="O206" i="16"/>
  <c r="O190" i="16"/>
  <c r="O174" i="16"/>
  <c r="O158" i="16"/>
  <c r="O142" i="16"/>
  <c r="O126" i="16"/>
  <c r="O110" i="16"/>
  <c r="O94" i="16"/>
  <c r="O76" i="16"/>
  <c r="O60" i="16"/>
  <c r="O44" i="16"/>
  <c r="O28" i="16"/>
  <c r="O12" i="16"/>
  <c r="O52" i="16"/>
  <c r="O200" i="16"/>
  <c r="O149" i="16"/>
  <c r="O315" i="16"/>
  <c r="O240" i="16"/>
  <c r="O54" i="16"/>
  <c r="O202" i="16"/>
  <c r="O81" i="16"/>
  <c r="O197" i="16"/>
  <c r="O244" i="16"/>
  <c r="O30" i="16"/>
  <c r="O14" i="16"/>
  <c r="O68" i="16"/>
  <c r="O122" i="16"/>
  <c r="O186" i="16"/>
  <c r="O29" i="16"/>
  <c r="O109" i="16"/>
  <c r="O133" i="16"/>
  <c r="O171" i="16"/>
  <c r="O217" i="16"/>
  <c r="O261" i="16"/>
  <c r="O299" i="16"/>
  <c r="O347" i="16"/>
  <c r="O391" i="16"/>
  <c r="O284" i="16"/>
  <c r="O348" i="16"/>
  <c r="O412" i="16"/>
  <c r="O465" i="16"/>
  <c r="O115" i="16"/>
  <c r="O359" i="16"/>
  <c r="O74" i="16"/>
  <c r="O232" i="16"/>
  <c r="O407" i="16"/>
  <c r="O378" i="16"/>
  <c r="O78" i="16"/>
  <c r="O234" i="16"/>
  <c r="O153" i="16"/>
  <c r="O281" i="16"/>
  <c r="O84" i="16"/>
  <c r="O40" i="16"/>
  <c r="O92" i="16"/>
  <c r="O154" i="16"/>
  <c r="O218" i="16"/>
  <c r="O63" i="16"/>
  <c r="O20" i="16"/>
  <c r="O42" i="16"/>
  <c r="O70" i="16"/>
  <c r="O96" i="16"/>
  <c r="O124" i="16"/>
  <c r="O156" i="16"/>
  <c r="O188" i="16"/>
  <c r="O220" i="16"/>
  <c r="O31" i="16"/>
  <c r="O65" i="16"/>
  <c r="O113" i="16"/>
  <c r="O137" i="16"/>
  <c r="O181" i="16"/>
  <c r="O219" i="16"/>
  <c r="O265" i="16"/>
  <c r="O309" i="16"/>
  <c r="O349" i="16"/>
  <c r="O395" i="16"/>
  <c r="O432" i="16"/>
  <c r="O298" i="16"/>
  <c r="O362" i="16"/>
  <c r="O430" i="16"/>
  <c r="O479" i="16"/>
  <c r="P300" i="16"/>
  <c r="P342" i="16"/>
  <c r="P386" i="16"/>
  <c r="P430" i="16"/>
  <c r="P472" i="16"/>
  <c r="Q292" i="16"/>
  <c r="P288" i="16"/>
  <c r="P340" i="16"/>
  <c r="P392" i="16"/>
  <c r="P440" i="16"/>
  <c r="Q9" i="16"/>
  <c r="P16" i="16"/>
  <c r="P32" i="16"/>
  <c r="P48" i="16"/>
  <c r="P64" i="16"/>
  <c r="P80" i="16"/>
  <c r="P96" i="16"/>
  <c r="P112" i="16"/>
  <c r="P128" i="16"/>
  <c r="P144" i="16"/>
  <c r="P160" i="16"/>
  <c r="P176" i="16"/>
  <c r="P192" i="16"/>
  <c r="P208" i="16"/>
  <c r="P224" i="16"/>
  <c r="P240" i="16"/>
  <c r="P256" i="16"/>
  <c r="P286" i="16"/>
  <c r="P338" i="16"/>
  <c r="P388" i="16"/>
  <c r="P442" i="16"/>
  <c r="Q266" i="16"/>
  <c r="Q186" i="16"/>
  <c r="Q202" i="16"/>
  <c r="Q218" i="16"/>
  <c r="Q234" i="16"/>
  <c r="Q250" i="16"/>
  <c r="Q272" i="16"/>
  <c r="R358" i="16"/>
  <c r="R376" i="16"/>
  <c r="R394" i="16"/>
  <c r="R412" i="16"/>
  <c r="R430" i="16"/>
  <c r="R448" i="16"/>
  <c r="R464" i="16"/>
  <c r="R484" i="16"/>
  <c r="Q372" i="16"/>
  <c r="Q426" i="16"/>
  <c r="Q476" i="16"/>
  <c r="Q455" i="16"/>
  <c r="Q304" i="16"/>
  <c r="Q338" i="16"/>
  <c r="Q378" i="16"/>
  <c r="Q420" i="16"/>
  <c r="Q464" i="16"/>
  <c r="Q411" i="16"/>
  <c r="Q497" i="16"/>
  <c r="Q316" i="16"/>
  <c r="Q362" i="16"/>
  <c r="Q416" i="16"/>
  <c r="Q466" i="16"/>
  <c r="Q425" i="16"/>
  <c r="R416" i="16"/>
  <c r="P429" i="16"/>
  <c r="P495" i="16"/>
  <c r="Q487" i="16"/>
  <c r="P391" i="16"/>
  <c r="P431" i="16"/>
  <c r="P471" i="16"/>
  <c r="Q433" i="16"/>
  <c r="P345" i="16"/>
  <c r="P365" i="16"/>
  <c r="P399" i="16"/>
  <c r="P443" i="16"/>
  <c r="P485" i="16"/>
  <c r="Q451" i="16"/>
  <c r="P294" i="16"/>
  <c r="P346" i="16"/>
  <c r="P396" i="16"/>
  <c r="P448" i="16"/>
  <c r="P18" i="16"/>
  <c r="P34" i="16"/>
  <c r="P50" i="16"/>
  <c r="P66" i="16"/>
  <c r="P82" i="16"/>
  <c r="P98" i="16"/>
  <c r="P114" i="16"/>
  <c r="P130" i="16"/>
  <c r="P146" i="16"/>
  <c r="P162" i="16"/>
  <c r="P178" i="16"/>
  <c r="P194" i="16"/>
  <c r="P210" i="16"/>
  <c r="P226" i="16"/>
  <c r="P242" i="16"/>
  <c r="P260" i="16"/>
  <c r="P292" i="16"/>
  <c r="P344" i="16"/>
  <c r="P398" i="16"/>
  <c r="P446" i="16"/>
  <c r="Q280" i="16"/>
  <c r="Q188" i="16"/>
  <c r="Q204" i="16"/>
  <c r="Q220" i="16"/>
  <c r="Q236" i="16"/>
  <c r="Q252" i="16"/>
  <c r="Q274" i="16"/>
  <c r="R360" i="16"/>
  <c r="R378" i="16"/>
  <c r="R396" i="16"/>
  <c r="R414" i="16"/>
  <c r="R432" i="16"/>
  <c r="R450" i="16"/>
  <c r="R468" i="16"/>
  <c r="R486" i="16"/>
  <c r="Q314" i="16"/>
  <c r="Q380" i="16"/>
  <c r="Q432" i="16"/>
  <c r="Q482" i="16"/>
  <c r="Q467" i="16"/>
  <c r="Q310" i="16"/>
  <c r="Q344" i="16"/>
  <c r="Q384" i="16"/>
  <c r="Q424" i="16"/>
  <c r="Q470" i="16"/>
  <c r="Q419" i="16"/>
  <c r="R479" i="16"/>
  <c r="Q320" i="16"/>
  <c r="Q368" i="16"/>
  <c r="Q422" i="16"/>
  <c r="Q472" i="16"/>
  <c r="Q437" i="16"/>
  <c r="R440" i="16"/>
  <c r="P435" i="16"/>
  <c r="Q395" i="16"/>
  <c r="P351" i="16"/>
  <c r="P397" i="16"/>
  <c r="P437" i="16"/>
  <c r="P477" i="16"/>
  <c r="Q447" i="16"/>
  <c r="P347" i="16"/>
  <c r="P369" i="16"/>
  <c r="P405" i="16"/>
  <c r="P447" i="16"/>
  <c r="P491" i="16"/>
  <c r="Q461" i="16"/>
  <c r="P270" i="16"/>
  <c r="P312" i="16"/>
  <c r="P354" i="16"/>
  <c r="P394" i="16"/>
  <c r="P438" i="16"/>
  <c r="P484" i="16"/>
  <c r="P302" i="16"/>
  <c r="P352" i="16"/>
  <c r="P402" i="16"/>
  <c r="P454" i="16"/>
  <c r="Q270" i="16"/>
  <c r="P20" i="16"/>
  <c r="P36" i="16"/>
  <c r="P52" i="16"/>
  <c r="P68" i="16"/>
  <c r="P84" i="16"/>
  <c r="P100" i="16"/>
  <c r="P116" i="16"/>
  <c r="P132" i="16"/>
  <c r="P148" i="16"/>
  <c r="P164" i="16"/>
  <c r="P180" i="16"/>
  <c r="P196" i="16"/>
  <c r="P212" i="16"/>
  <c r="P228" i="16"/>
  <c r="P244" i="16"/>
  <c r="P264" i="16"/>
  <c r="P298" i="16"/>
  <c r="P350" i="16"/>
  <c r="P404" i="16"/>
  <c r="P452" i="16"/>
  <c r="Q288" i="16"/>
  <c r="Q190" i="16"/>
  <c r="Q206" i="16"/>
  <c r="Q222" i="16"/>
  <c r="Q238" i="16"/>
  <c r="Q254" i="16"/>
  <c r="Q276" i="16"/>
  <c r="R362" i="16"/>
  <c r="R380" i="16"/>
  <c r="R398" i="16"/>
  <c r="R418" i="16"/>
  <c r="R434" i="16"/>
  <c r="R452" i="16"/>
  <c r="R470" i="16"/>
  <c r="R488" i="16"/>
  <c r="Q332" i="16"/>
  <c r="Q386" i="16"/>
  <c r="Q438" i="16"/>
  <c r="Q488" i="16"/>
  <c r="Q481" i="16"/>
  <c r="Q312" i="16"/>
  <c r="Q350" i="16"/>
  <c r="Q390" i="16"/>
  <c r="Q430" i="16"/>
  <c r="Q474" i="16"/>
  <c r="Q429" i="16"/>
  <c r="R495" i="16"/>
  <c r="Q324" i="16"/>
  <c r="Q374" i="16"/>
  <c r="Q428" i="16"/>
  <c r="Q478" i="16"/>
  <c r="Q449" i="16"/>
  <c r="R472" i="16"/>
  <c r="P449" i="16"/>
  <c r="Q405" i="16"/>
  <c r="P363" i="16"/>
  <c r="P403" i="16"/>
  <c r="P441" i="16"/>
  <c r="P483" i="16"/>
  <c r="Q457" i="16"/>
  <c r="P349" i="16"/>
  <c r="P373" i="16"/>
  <c r="P411" i="16"/>
  <c r="P453" i="16"/>
  <c r="P497" i="16"/>
  <c r="Q471" i="16"/>
  <c r="Q73" i="16"/>
  <c r="Q89" i="16"/>
  <c r="Q105" i="16"/>
  <c r="Q121" i="16"/>
  <c r="Q137" i="16"/>
  <c r="Q153" i="16"/>
  <c r="Q169" i="16"/>
  <c r="Q185" i="16"/>
  <c r="Q201" i="16"/>
  <c r="Q217" i="16"/>
  <c r="Q233" i="16"/>
  <c r="Q249" i="16"/>
  <c r="Q265" i="16"/>
  <c r="Q281" i="16"/>
  <c r="Q297" i="16"/>
  <c r="Q313" i="16"/>
  <c r="Q329" i="16"/>
  <c r="Q345" i="16"/>
  <c r="Q361" i="16"/>
  <c r="Q377" i="16"/>
  <c r="Q393" i="16"/>
  <c r="P274" i="16"/>
  <c r="P318" i="16"/>
  <c r="P358" i="16"/>
  <c r="P400" i="16"/>
  <c r="P444" i="16"/>
  <c r="P488" i="16"/>
  <c r="P308" i="16"/>
  <c r="P360" i="16"/>
  <c r="P408" i="16"/>
  <c r="P462" i="16"/>
  <c r="Q284" i="16"/>
  <c r="P22" i="16"/>
  <c r="P38" i="16"/>
  <c r="P54" i="16"/>
  <c r="P70" i="16"/>
  <c r="P86" i="16"/>
  <c r="P102" i="16"/>
  <c r="P118" i="16"/>
  <c r="P134" i="16"/>
  <c r="P150" i="16"/>
  <c r="P166" i="16"/>
  <c r="P182" i="16"/>
  <c r="P198" i="16"/>
  <c r="P214" i="16"/>
  <c r="P230" i="16"/>
  <c r="P246" i="16"/>
  <c r="P266" i="16"/>
  <c r="P304" i="16"/>
  <c r="P356" i="16"/>
  <c r="P410" i="16"/>
  <c r="P458" i="16"/>
  <c r="Q54" i="16"/>
  <c r="Q192" i="16"/>
  <c r="Q208" i="16"/>
  <c r="Q224" i="16"/>
  <c r="Q240" i="16"/>
  <c r="Q256" i="16"/>
  <c r="Q282" i="16"/>
  <c r="R364" i="16"/>
  <c r="R382" i="16"/>
  <c r="R402" i="16"/>
  <c r="R420" i="16"/>
  <c r="R436" i="16"/>
  <c r="R454" i="16"/>
  <c r="R474" i="16"/>
  <c r="R490" i="16"/>
  <c r="Q342" i="16"/>
  <c r="Q392" i="16"/>
  <c r="Q444" i="16"/>
  <c r="Q494" i="16"/>
  <c r="Q495" i="16"/>
  <c r="Q318" i="16"/>
  <c r="Q352" i="16"/>
  <c r="Q396" i="16"/>
  <c r="Q436" i="16"/>
  <c r="Q480" i="16"/>
  <c r="Q443" i="16"/>
  <c r="Q296" i="16"/>
  <c r="Q328" i="16"/>
  <c r="Q382" i="16"/>
  <c r="Q434" i="16"/>
  <c r="Q484" i="16"/>
  <c r="Q463" i="16"/>
  <c r="P377" i="16"/>
  <c r="P459" i="16"/>
  <c r="Q417" i="16"/>
  <c r="P367" i="16"/>
  <c r="P409" i="16"/>
  <c r="P445" i="16"/>
  <c r="P487" i="16"/>
  <c r="Q469" i="16"/>
  <c r="P353" i="16"/>
  <c r="P379" i="16"/>
  <c r="P417" i="16"/>
  <c r="Q399" i="16"/>
  <c r="Q483" i="16"/>
  <c r="P263" i="16"/>
  <c r="P313" i="16"/>
  <c r="P314" i="16"/>
  <c r="P366" i="16"/>
  <c r="P414" i="16"/>
  <c r="P468" i="16"/>
  <c r="Q294" i="16"/>
  <c r="P24" i="16"/>
  <c r="P40" i="16"/>
  <c r="P56" i="16"/>
  <c r="P72" i="16"/>
  <c r="P88" i="16"/>
  <c r="P104" i="16"/>
  <c r="P120" i="16"/>
  <c r="P136" i="16"/>
  <c r="P152" i="16"/>
  <c r="P168" i="16"/>
  <c r="P184" i="16"/>
  <c r="P200" i="16"/>
  <c r="P216" i="16"/>
  <c r="P232" i="16"/>
  <c r="P248" i="16"/>
  <c r="P268" i="16"/>
  <c r="P310" i="16"/>
  <c r="P364" i="16"/>
  <c r="P416" i="16"/>
  <c r="P464" i="16"/>
  <c r="Q178" i="16"/>
  <c r="Q194" i="16"/>
  <c r="Q210" i="16"/>
  <c r="Q226" i="16"/>
  <c r="Q242" i="16"/>
  <c r="Q258" i="16"/>
  <c r="Q290" i="16"/>
  <c r="R366" i="16"/>
  <c r="R386" i="16"/>
  <c r="R404" i="16"/>
  <c r="R422" i="16"/>
  <c r="R438" i="16"/>
  <c r="R456" i="16"/>
  <c r="R476" i="16"/>
  <c r="Q348" i="16"/>
  <c r="Q398" i="16"/>
  <c r="Q450" i="16"/>
  <c r="Q403" i="16"/>
  <c r="P474" i="16"/>
  <c r="Q322" i="16"/>
  <c r="Q358" i="16"/>
  <c r="Q400" i="16"/>
  <c r="Q442" i="16"/>
  <c r="Q486" i="16"/>
  <c r="Q453" i="16"/>
  <c r="Q300" i="16"/>
  <c r="Q336" i="16"/>
  <c r="Q388" i="16"/>
  <c r="Q440" i="16"/>
  <c r="Q492" i="16"/>
  <c r="Q477" i="16"/>
  <c r="P393" i="16"/>
  <c r="P467" i="16"/>
  <c r="Q435" i="16"/>
  <c r="P371" i="16"/>
  <c r="P413" i="16"/>
  <c r="P451" i="16"/>
  <c r="P493" i="16"/>
  <c r="Q479" i="16"/>
  <c r="P355" i="16"/>
  <c r="P381" i="16"/>
  <c r="P421" i="16"/>
  <c r="P463" i="16"/>
  <c r="Q409" i="16"/>
  <c r="Q491" i="16"/>
  <c r="P320" i="16"/>
  <c r="P372" i="16"/>
  <c r="P420" i="16"/>
  <c r="P478" i="16"/>
  <c r="P10" i="16"/>
  <c r="P26" i="16"/>
  <c r="P42" i="16"/>
  <c r="P58" i="16"/>
  <c r="P74" i="16"/>
  <c r="P90" i="16"/>
  <c r="P106" i="16"/>
  <c r="P122" i="16"/>
  <c r="P138" i="16"/>
  <c r="P154" i="16"/>
  <c r="P170" i="16"/>
  <c r="P186" i="16"/>
  <c r="P202" i="16"/>
  <c r="P218" i="16"/>
  <c r="P234" i="16"/>
  <c r="P250" i="16"/>
  <c r="P272" i="16"/>
  <c r="P316" i="16"/>
  <c r="P370" i="16"/>
  <c r="P422" i="16"/>
  <c r="P470" i="16"/>
  <c r="Q180" i="16"/>
  <c r="Q196" i="16"/>
  <c r="Q212" i="16"/>
  <c r="Q228" i="16"/>
  <c r="Q244" i="16"/>
  <c r="Q260" i="16"/>
  <c r="Q354" i="16"/>
  <c r="Q404" i="16"/>
  <c r="Q456" i="16"/>
  <c r="Q415" i="16"/>
  <c r="P490" i="16"/>
  <c r="Q326" i="16"/>
  <c r="Q364" i="16"/>
  <c r="Q406" i="16"/>
  <c r="Q448" i="16"/>
  <c r="Q490" i="16"/>
  <c r="Q465" i="16"/>
  <c r="Q302" i="16"/>
  <c r="Q340" i="16"/>
  <c r="Q394" i="16"/>
  <c r="Q446" i="16"/>
  <c r="R261" i="16"/>
  <c r="R349" i="16"/>
  <c r="R350" i="16"/>
  <c r="R368" i="16"/>
  <c r="R431" i="16"/>
  <c r="R466" i="16"/>
  <c r="Q489" i="16"/>
  <c r="P401" i="16"/>
  <c r="P473" i="16"/>
  <c r="Q445" i="16"/>
  <c r="P375" i="16"/>
  <c r="P419" i="16"/>
  <c r="P455" i="16"/>
  <c r="Q401" i="16"/>
  <c r="Q493" i="16"/>
  <c r="P357" i="16"/>
  <c r="P385" i="16"/>
  <c r="P425" i="16"/>
  <c r="P469" i="16"/>
  <c r="Q421" i="16"/>
  <c r="R311" i="16"/>
  <c r="L49" i="13"/>
  <c r="M49" i="13" s="1"/>
  <c r="F61" i="13"/>
  <c r="F68" i="13" s="1"/>
  <c r="N49" i="13" s="1"/>
  <c r="I20" i="13"/>
  <c r="I27" i="13" s="1"/>
  <c r="I55" i="13"/>
  <c r="I54" i="13"/>
  <c r="K36" i="13"/>
  <c r="K42" i="13"/>
  <c r="K40" i="13"/>
  <c r="N21" i="13"/>
  <c r="N27" i="13"/>
  <c r="N25" i="13"/>
  <c r="W8" i="16" l="1" a="1"/>
  <c r="W8" i="16" s="1"/>
  <c r="W13" i="16" s="1"/>
  <c r="F66" i="13"/>
  <c r="I25" i="13"/>
  <c r="Z13" i="16" l="1"/>
  <c r="X13" i="16"/>
  <c r="Y13" i="16"/>
  <c r="F158" i="12"/>
  <c r="F165" i="12" s="1"/>
  <c r="M158" i="12"/>
  <c r="N158" i="12" s="1"/>
  <c r="K159" i="12"/>
  <c r="K165" i="12"/>
  <c r="K163" i="12"/>
  <c r="F163" i="12"/>
  <c r="Q127" i="12"/>
  <c r="Q131" i="12"/>
  <c r="Q129" i="12"/>
  <c r="Q133" i="12" s="1"/>
  <c r="L125" i="12"/>
  <c r="L131" i="12" s="1"/>
  <c r="G131" i="12"/>
  <c r="G129" i="12"/>
  <c r="G133" i="12" s="1"/>
  <c r="Z15" i="16" l="1"/>
  <c r="Z17" i="16" s="1"/>
  <c r="Z19" i="16" s="1"/>
  <c r="F167" i="12"/>
  <c r="O158" i="12" s="1"/>
  <c r="K167" i="12"/>
  <c r="L126" i="12"/>
  <c r="L129" i="12"/>
  <c r="L133" i="12" s="1"/>
  <c r="J85" i="12" l="1"/>
  <c r="J84" i="12"/>
  <c r="J83" i="12"/>
  <c r="J82" i="12"/>
  <c r="J81" i="12"/>
  <c r="J80" i="12"/>
  <c r="K79" i="12"/>
  <c r="H77" i="12"/>
  <c r="L79" i="12" s="1"/>
  <c r="K68" i="12"/>
  <c r="H66" i="12"/>
  <c r="L68" i="12" s="1"/>
  <c r="K57" i="12"/>
  <c r="H57" i="12"/>
  <c r="L57" i="12" s="1"/>
  <c r="J42" i="12"/>
  <c r="J43" i="12"/>
  <c r="J44" i="12"/>
  <c r="J45" i="12"/>
  <c r="J46" i="12"/>
  <c r="J41" i="12"/>
  <c r="K40" i="12"/>
  <c r="H38" i="12"/>
  <c r="L40" i="12" s="1"/>
  <c r="J31" i="12"/>
  <c r="J32" i="12"/>
  <c r="J33" i="12"/>
  <c r="J34" i="12"/>
  <c r="J35" i="12"/>
  <c r="J30" i="12"/>
  <c r="K29" i="12"/>
  <c r="H27" i="12"/>
  <c r="L29" i="12" s="1"/>
  <c r="J20" i="12"/>
  <c r="J21" i="12"/>
  <c r="J22" i="12"/>
  <c r="J23" i="12"/>
  <c r="J24" i="12"/>
  <c r="J19" i="12"/>
  <c r="K18" i="12"/>
  <c r="H18" i="12"/>
  <c r="L18" i="12" s="1"/>
  <c r="F49" i="11"/>
  <c r="G48" i="11" s="1"/>
  <c r="F40" i="11" a="1"/>
  <c r="F40" i="11" s="1"/>
  <c r="F38" i="11"/>
  <c r="F32" i="11"/>
  <c r="E34" i="11"/>
  <c r="E35" i="11"/>
  <c r="E36" i="11"/>
  <c r="E33" i="11"/>
  <c r="F34" i="11" s="1"/>
  <c r="E32" i="11"/>
  <c r="F35" i="11"/>
  <c r="F36" i="11"/>
  <c r="I24" i="11"/>
  <c r="G24" i="11"/>
  <c r="E24" i="11"/>
  <c r="I23" i="11"/>
  <c r="G23" i="11"/>
  <c r="E23" i="11"/>
  <c r="F20" i="11"/>
  <c r="F17" i="11"/>
  <c r="F18" i="11" s="1"/>
  <c r="F19" i="11" s="1"/>
  <c r="E12" i="11"/>
  <c r="H10" i="11"/>
  <c r="D10" i="11"/>
  <c r="D8" i="11"/>
  <c r="K57" i="10"/>
  <c r="K55" i="10"/>
  <c r="K51" i="10"/>
  <c r="K52" i="10"/>
  <c r="K50" i="10"/>
  <c r="J51" i="10"/>
  <c r="J52" i="10"/>
  <c r="J50" i="10"/>
  <c r="I51" i="10"/>
  <c r="I52" i="10"/>
  <c r="I50" i="10"/>
  <c r="H54" i="10"/>
  <c r="H51" i="10"/>
  <c r="H52" i="10"/>
  <c r="H50" i="10"/>
  <c r="G29" i="10"/>
  <c r="G27" i="10"/>
  <c r="G22" i="10"/>
  <c r="G21" i="10"/>
  <c r="F23" i="10"/>
  <c r="L124" i="9"/>
  <c r="M102" i="9"/>
  <c r="M103" i="9"/>
  <c r="M101" i="9"/>
  <c r="K111" i="9"/>
  <c r="I111" i="9"/>
  <c r="K106" i="9"/>
  <c r="K110" i="9" s="1"/>
  <c r="G105" i="9"/>
  <c r="F105" i="9"/>
  <c r="H103" i="9" s="1"/>
  <c r="K103" i="9"/>
  <c r="J103" i="9"/>
  <c r="K102" i="9"/>
  <c r="J102" i="9"/>
  <c r="K101" i="9"/>
  <c r="J101" i="9"/>
  <c r="R86" i="9"/>
  <c r="P85" i="9"/>
  <c r="P79" i="9"/>
  <c r="P80" i="9"/>
  <c r="P78" i="9"/>
  <c r="O88" i="9"/>
  <c r="O87" i="9"/>
  <c r="O83" i="9"/>
  <c r="O79" i="9"/>
  <c r="O80" i="9"/>
  <c r="O78" i="9"/>
  <c r="N80" i="9"/>
  <c r="N79" i="9"/>
  <c r="N78" i="9"/>
  <c r="F86" i="9"/>
  <c r="M82" i="9"/>
  <c r="M79" i="9"/>
  <c r="M80" i="9"/>
  <c r="M78" i="9"/>
  <c r="K88" i="9"/>
  <c r="K87" i="9"/>
  <c r="K83" i="9"/>
  <c r="K79" i="9"/>
  <c r="K80" i="9"/>
  <c r="K78" i="9"/>
  <c r="J80" i="9"/>
  <c r="J79" i="9"/>
  <c r="J78" i="9"/>
  <c r="I88" i="9"/>
  <c r="I87" i="9"/>
  <c r="I83" i="9"/>
  <c r="I79" i="9"/>
  <c r="I80" i="9"/>
  <c r="I78" i="9"/>
  <c r="H80" i="9"/>
  <c r="H79" i="9"/>
  <c r="H78" i="9"/>
  <c r="G82" i="9"/>
  <c r="F82" i="9"/>
  <c r="G47" i="11" l="1"/>
  <c r="G53" i="11" s="1"/>
  <c r="G55" i="11"/>
  <c r="F33" i="11"/>
  <c r="I17" i="11"/>
  <c r="E18" i="11" s="1"/>
  <c r="G18" i="11" s="1"/>
  <c r="I18" i="11" s="1"/>
  <c r="E19" i="11" s="1"/>
  <c r="M105" i="9"/>
  <c r="N103" i="9" s="1"/>
  <c r="O103" i="9" s="1"/>
  <c r="F109" i="9"/>
  <c r="H101" i="9"/>
  <c r="I103" i="9"/>
  <c r="P103" i="9"/>
  <c r="H102" i="9"/>
  <c r="O111" i="9"/>
  <c r="G19" i="11" l="1"/>
  <c r="I19" i="11" s="1"/>
  <c r="E20" i="11" s="1"/>
  <c r="N102" i="9"/>
  <c r="O102" i="9" s="1"/>
  <c r="N101" i="9"/>
  <c r="O101" i="9" s="1"/>
  <c r="O106" i="9" s="1"/>
  <c r="O110" i="9" s="1"/>
  <c r="I101" i="9"/>
  <c r="P101" i="9"/>
  <c r="I102" i="9"/>
  <c r="I106" i="9" s="1"/>
  <c r="I110" i="9" s="1"/>
  <c r="P102" i="9"/>
  <c r="P108" i="9" s="1"/>
  <c r="G20" i="11" l="1"/>
  <c r="I20" i="11" s="1"/>
  <c r="E21" i="11" s="1"/>
  <c r="R109" i="9"/>
  <c r="G21" i="11" l="1"/>
  <c r="I21" i="11" s="1"/>
  <c r="E22" i="11" s="1"/>
  <c r="H48" i="9"/>
  <c r="H57" i="9"/>
  <c r="G57" i="9"/>
  <c r="H56" i="9"/>
  <c r="G56" i="9"/>
  <c r="H55" i="9"/>
  <c r="G55" i="9"/>
  <c r="H54" i="9"/>
  <c r="G54" i="9"/>
  <c r="H53" i="9"/>
  <c r="G53" i="9"/>
  <c r="H52" i="9"/>
  <c r="G52" i="9"/>
  <c r="K26" i="9"/>
  <c r="O38" i="9" s="1"/>
  <c r="L26" i="9"/>
  <c r="K27" i="9"/>
  <c r="L27" i="9"/>
  <c r="K28" i="9"/>
  <c r="L28" i="9"/>
  <c r="K29" i="9"/>
  <c r="L29" i="9"/>
  <c r="K30" i="9"/>
  <c r="L30" i="9"/>
  <c r="L25" i="9"/>
  <c r="K25" i="9"/>
  <c r="I44" i="7" a="1"/>
  <c r="I44" i="7" s="1"/>
  <c r="F42" i="7"/>
  <c r="E42" i="7"/>
  <c r="I42" i="7" s="1"/>
  <c r="H32" i="7"/>
  <c r="G22" i="11" l="1"/>
  <c r="I22" i="11" s="1"/>
  <c r="G59" i="9"/>
  <c r="I57" i="9" s="1"/>
  <c r="O52" i="9"/>
  <c r="Q38" i="9"/>
  <c r="M64" i="9"/>
  <c r="I52" i="9"/>
  <c r="H59" i="9"/>
  <c r="K56" i="9" s="1"/>
  <c r="L56" i="9" s="1"/>
  <c r="O56" i="9"/>
  <c r="O57" i="9"/>
  <c r="O55" i="9"/>
  <c r="K32" i="9"/>
  <c r="M25" i="9" s="1"/>
  <c r="O25" i="9" s="1"/>
  <c r="O54" i="9"/>
  <c r="O53" i="9"/>
  <c r="L32" i="9"/>
  <c r="P29" i="9" s="1"/>
  <c r="Q29" i="9" s="1"/>
  <c r="F7" i="7"/>
  <c r="G7" i="7" s="1"/>
  <c r="F8" i="7"/>
  <c r="G8" i="7" s="1"/>
  <c r="F9" i="7"/>
  <c r="G9" i="7" s="1"/>
  <c r="F10" i="7"/>
  <c r="G10" i="7" s="1"/>
  <c r="F11" i="7"/>
  <c r="G11" i="7" s="1"/>
  <c r="F12" i="7"/>
  <c r="G12" i="7" s="1"/>
  <c r="F13" i="7"/>
  <c r="G13" i="7" s="1"/>
  <c r="F14" i="7"/>
  <c r="G14" i="7" s="1"/>
  <c r="F15" i="7"/>
  <c r="G15" i="7" s="1"/>
  <c r="F16" i="7"/>
  <c r="G16" i="7" s="1"/>
  <c r="F17" i="7"/>
  <c r="G17" i="7" s="1"/>
  <c r="F18" i="7"/>
  <c r="G18" i="7" s="1"/>
  <c r="F19" i="7"/>
  <c r="G19" i="7" s="1"/>
  <c r="F20" i="7"/>
  <c r="G20" i="7" s="1"/>
  <c r="F21" i="7"/>
  <c r="G21" i="7" s="1"/>
  <c r="F22" i="7"/>
  <c r="G22" i="7" s="1"/>
  <c r="F23" i="7"/>
  <c r="G23" i="7" s="1"/>
  <c r="F24" i="7"/>
  <c r="G24" i="7" s="1"/>
  <c r="F25" i="7"/>
  <c r="G25" i="7" s="1"/>
  <c r="F26" i="7"/>
  <c r="G26" i="7" s="1"/>
  <c r="F6" i="7"/>
  <c r="K60" i="6"/>
  <c r="L60" i="6"/>
  <c r="M60" i="6" s="1"/>
  <c r="N60" i="6"/>
  <c r="O60" i="6"/>
  <c r="L61" i="6" s="1"/>
  <c r="K61" i="6"/>
  <c r="N61" i="6"/>
  <c r="K62" i="6"/>
  <c r="N62" i="6"/>
  <c r="K63" i="6"/>
  <c r="N63" i="6"/>
  <c r="K64" i="6"/>
  <c r="N64" i="6"/>
  <c r="K65" i="6"/>
  <c r="N65" i="6"/>
  <c r="K66" i="6"/>
  <c r="N66" i="6"/>
  <c r="K67" i="6"/>
  <c r="N67" i="6"/>
  <c r="K68" i="6"/>
  <c r="N68" i="6"/>
  <c r="K69" i="6"/>
  <c r="N69" i="6"/>
  <c r="K70" i="6"/>
  <c r="N70" i="6"/>
  <c r="K71" i="6"/>
  <c r="N71" i="6"/>
  <c r="K72" i="6"/>
  <c r="N72" i="6"/>
  <c r="K73" i="6"/>
  <c r="N73" i="6"/>
  <c r="K74" i="6"/>
  <c r="N74" i="6"/>
  <c r="K75" i="6"/>
  <c r="N75" i="6"/>
  <c r="K76" i="6"/>
  <c r="N76" i="6"/>
  <c r="K77" i="6"/>
  <c r="N77" i="6"/>
  <c r="K78" i="6"/>
  <c r="N78" i="6"/>
  <c r="K79" i="6"/>
  <c r="N79" i="6"/>
  <c r="K80" i="6"/>
  <c r="N80" i="6"/>
  <c r="K81" i="6"/>
  <c r="N81" i="6"/>
  <c r="K82" i="6"/>
  <c r="N82" i="6"/>
  <c r="K83" i="6"/>
  <c r="N83" i="6"/>
  <c r="K84" i="6"/>
  <c r="N84" i="6"/>
  <c r="K85" i="6"/>
  <c r="N85" i="6"/>
  <c r="K86" i="6"/>
  <c r="N86" i="6"/>
  <c r="K87" i="6"/>
  <c r="N87" i="6"/>
  <c r="K88" i="6"/>
  <c r="N88" i="6"/>
  <c r="K89" i="6"/>
  <c r="N89" i="6"/>
  <c r="K90" i="6"/>
  <c r="N90" i="6"/>
  <c r="K91" i="6"/>
  <c r="N91" i="6"/>
  <c r="K92" i="6"/>
  <c r="N92" i="6"/>
  <c r="K93" i="6"/>
  <c r="N93" i="6"/>
  <c r="K94" i="6"/>
  <c r="N94" i="6"/>
  <c r="K95" i="6"/>
  <c r="N95" i="6"/>
  <c r="K96" i="6"/>
  <c r="N96" i="6"/>
  <c r="K97" i="6"/>
  <c r="N97" i="6"/>
  <c r="K98" i="6"/>
  <c r="N98" i="6"/>
  <c r="K99" i="6"/>
  <c r="N99" i="6"/>
  <c r="K100" i="6"/>
  <c r="N100" i="6"/>
  <c r="K101" i="6"/>
  <c r="N101" i="6"/>
  <c r="K102" i="6"/>
  <c r="N102" i="6"/>
  <c r="K103" i="6"/>
  <c r="N103" i="6"/>
  <c r="K104" i="6"/>
  <c r="N104" i="6"/>
  <c r="K105" i="6"/>
  <c r="N105" i="6"/>
  <c r="K106" i="6"/>
  <c r="N106" i="6"/>
  <c r="K107" i="6"/>
  <c r="N107" i="6"/>
  <c r="K108" i="6"/>
  <c r="N108" i="6"/>
  <c r="K109" i="6"/>
  <c r="N109" i="6"/>
  <c r="K110" i="6"/>
  <c r="N110" i="6"/>
  <c r="K111" i="6"/>
  <c r="N111" i="6"/>
  <c r="K112" i="6"/>
  <c r="N112" i="6"/>
  <c r="K113" i="6"/>
  <c r="N113" i="6"/>
  <c r="K114" i="6"/>
  <c r="N114" i="6"/>
  <c r="K115" i="6"/>
  <c r="N115" i="6"/>
  <c r="K116" i="6"/>
  <c r="N116" i="6"/>
  <c r="K117" i="6"/>
  <c r="N117" i="6"/>
  <c r="K118" i="6"/>
  <c r="N118" i="6"/>
  <c r="K119" i="6"/>
  <c r="N119" i="6"/>
  <c r="K120" i="6"/>
  <c r="N120" i="6"/>
  <c r="K121" i="6"/>
  <c r="N121" i="6"/>
  <c r="K122" i="6"/>
  <c r="N122" i="6"/>
  <c r="K123" i="6"/>
  <c r="N123" i="6"/>
  <c r="K124" i="6"/>
  <c r="N124" i="6"/>
  <c r="K125" i="6"/>
  <c r="N125" i="6"/>
  <c r="K126" i="6"/>
  <c r="N126" i="6"/>
  <c r="K127" i="6"/>
  <c r="N127" i="6"/>
  <c r="K128" i="6"/>
  <c r="N128" i="6"/>
  <c r="K129" i="6"/>
  <c r="N129" i="6"/>
  <c r="K130" i="6"/>
  <c r="N130" i="6"/>
  <c r="K131" i="6"/>
  <c r="N131" i="6"/>
  <c r="K132" i="6"/>
  <c r="N132" i="6"/>
  <c r="K133" i="6"/>
  <c r="N133" i="6"/>
  <c r="K134" i="6"/>
  <c r="N134" i="6"/>
  <c r="K135" i="6"/>
  <c r="N135" i="6"/>
  <c r="K136" i="6"/>
  <c r="N136" i="6"/>
  <c r="K137" i="6"/>
  <c r="N137" i="6"/>
  <c r="K138" i="6"/>
  <c r="N138" i="6"/>
  <c r="K139" i="6"/>
  <c r="N139" i="6"/>
  <c r="K140" i="6"/>
  <c r="N140" i="6"/>
  <c r="K141" i="6"/>
  <c r="N141" i="6"/>
  <c r="K142" i="6"/>
  <c r="N142" i="6"/>
  <c r="K143" i="6"/>
  <c r="N143" i="6"/>
  <c r="K144" i="6"/>
  <c r="N144" i="6"/>
  <c r="K145" i="6"/>
  <c r="N145" i="6"/>
  <c r="K146" i="6"/>
  <c r="N146" i="6"/>
  <c r="K147" i="6"/>
  <c r="N147" i="6"/>
  <c r="K148" i="6"/>
  <c r="N148" i="6"/>
  <c r="K149" i="6"/>
  <c r="N149" i="6"/>
  <c r="K150" i="6"/>
  <c r="N150" i="6"/>
  <c r="K151" i="6"/>
  <c r="N151" i="6"/>
  <c r="K152" i="6"/>
  <c r="N152" i="6"/>
  <c r="K153" i="6"/>
  <c r="N153" i="6"/>
  <c r="K154" i="6"/>
  <c r="N154" i="6"/>
  <c r="K155" i="6"/>
  <c r="N155" i="6"/>
  <c r="K156" i="6"/>
  <c r="N156" i="6"/>
  <c r="K157" i="6"/>
  <c r="N157" i="6"/>
  <c r="K158" i="6"/>
  <c r="N158" i="6"/>
  <c r="K159" i="6"/>
  <c r="N159" i="6"/>
  <c r="K160" i="6"/>
  <c r="N160" i="6"/>
  <c r="K161" i="6"/>
  <c r="N161" i="6"/>
  <c r="K162" i="6"/>
  <c r="N162" i="6"/>
  <c r="K163" i="6"/>
  <c r="N163" i="6"/>
  <c r="K164" i="6"/>
  <c r="N164" i="6"/>
  <c r="K165" i="6"/>
  <c r="N165" i="6"/>
  <c r="K166" i="6"/>
  <c r="N166" i="6"/>
  <c r="K167" i="6"/>
  <c r="N167" i="6"/>
  <c r="K168" i="6"/>
  <c r="N168" i="6"/>
  <c r="K169" i="6"/>
  <c r="N169" i="6"/>
  <c r="K170" i="6"/>
  <c r="N170" i="6"/>
  <c r="K171" i="6"/>
  <c r="N171" i="6"/>
  <c r="K172" i="6"/>
  <c r="N172" i="6"/>
  <c r="K173" i="6"/>
  <c r="N173" i="6"/>
  <c r="K174" i="6"/>
  <c r="N174" i="6"/>
  <c r="K175" i="6"/>
  <c r="N175" i="6"/>
  <c r="K176" i="6"/>
  <c r="N176" i="6"/>
  <c r="K177" i="6"/>
  <c r="N177" i="6"/>
  <c r="K178" i="6"/>
  <c r="N178" i="6"/>
  <c r="K179" i="6"/>
  <c r="N179" i="6"/>
  <c r="K180" i="6"/>
  <c r="N180" i="6"/>
  <c r="K181" i="6"/>
  <c r="N181" i="6"/>
  <c r="K182" i="6"/>
  <c r="N182" i="6"/>
  <c r="K183" i="6"/>
  <c r="N183" i="6"/>
  <c r="K184" i="6"/>
  <c r="N184" i="6"/>
  <c r="K185" i="6"/>
  <c r="N185" i="6"/>
  <c r="K186" i="6"/>
  <c r="N186" i="6"/>
  <c r="K187" i="6"/>
  <c r="N187" i="6"/>
  <c r="K188" i="6"/>
  <c r="N188" i="6"/>
  <c r="K189" i="6"/>
  <c r="N189" i="6"/>
  <c r="K190" i="6"/>
  <c r="N190" i="6"/>
  <c r="K191" i="6"/>
  <c r="N191" i="6"/>
  <c r="K192" i="6"/>
  <c r="N192" i="6"/>
  <c r="K193" i="6"/>
  <c r="N193" i="6"/>
  <c r="K194" i="6"/>
  <c r="N194" i="6"/>
  <c r="K195" i="6"/>
  <c r="N195" i="6"/>
  <c r="K196" i="6"/>
  <c r="N196" i="6"/>
  <c r="K197" i="6"/>
  <c r="N197" i="6"/>
  <c r="K198" i="6"/>
  <c r="N198" i="6"/>
  <c r="K199" i="6"/>
  <c r="N199" i="6"/>
  <c r="K200" i="6"/>
  <c r="N200" i="6"/>
  <c r="K201" i="6"/>
  <c r="N201" i="6"/>
  <c r="K202" i="6"/>
  <c r="N202" i="6"/>
  <c r="K203" i="6"/>
  <c r="N203" i="6"/>
  <c r="K204" i="6"/>
  <c r="N204" i="6"/>
  <c r="K205" i="6"/>
  <c r="N205" i="6"/>
  <c r="K206" i="6"/>
  <c r="N206" i="6"/>
  <c r="K207" i="6"/>
  <c r="N207" i="6"/>
  <c r="K208" i="6"/>
  <c r="N208" i="6"/>
  <c r="K209" i="6"/>
  <c r="N209" i="6"/>
  <c r="K210" i="6"/>
  <c r="N210" i="6"/>
  <c r="K211" i="6"/>
  <c r="N211" i="6"/>
  <c r="K212" i="6"/>
  <c r="N212" i="6"/>
  <c r="K213" i="6"/>
  <c r="N213" i="6"/>
  <c r="K214" i="6"/>
  <c r="N214" i="6"/>
  <c r="K215" i="6"/>
  <c r="N215" i="6"/>
  <c r="K216" i="6"/>
  <c r="N216" i="6"/>
  <c r="K217" i="6"/>
  <c r="N217" i="6"/>
  <c r="K218" i="6"/>
  <c r="N218" i="6"/>
  <c r="K219" i="6"/>
  <c r="N219" i="6"/>
  <c r="K220" i="6"/>
  <c r="N220" i="6"/>
  <c r="K221" i="6"/>
  <c r="N221" i="6"/>
  <c r="K222" i="6"/>
  <c r="N222" i="6"/>
  <c r="K223" i="6"/>
  <c r="N223" i="6"/>
  <c r="K224" i="6"/>
  <c r="N224" i="6"/>
  <c r="K225" i="6"/>
  <c r="N225" i="6"/>
  <c r="K226" i="6"/>
  <c r="N226" i="6"/>
  <c r="K227" i="6"/>
  <c r="N227" i="6"/>
  <c r="K228" i="6"/>
  <c r="N228" i="6"/>
  <c r="K229" i="6"/>
  <c r="N229" i="6"/>
  <c r="K230" i="6"/>
  <c r="N230" i="6"/>
  <c r="K231" i="6"/>
  <c r="N231" i="6"/>
  <c r="K232" i="6"/>
  <c r="N232" i="6"/>
  <c r="K233" i="6"/>
  <c r="N233" i="6"/>
  <c r="K234" i="6"/>
  <c r="N234" i="6"/>
  <c r="K235" i="6"/>
  <c r="N235" i="6"/>
  <c r="K236" i="6"/>
  <c r="N236" i="6"/>
  <c r="K237" i="6"/>
  <c r="N237" i="6"/>
  <c r="K238" i="6"/>
  <c r="N238" i="6"/>
  <c r="K239" i="6"/>
  <c r="N239" i="6"/>
  <c r="K240" i="6"/>
  <c r="N240" i="6"/>
  <c r="K241" i="6"/>
  <c r="N241" i="6"/>
  <c r="K242" i="6"/>
  <c r="N242" i="6"/>
  <c r="K243" i="6"/>
  <c r="N243" i="6"/>
  <c r="K244" i="6"/>
  <c r="N244" i="6"/>
  <c r="K245" i="6"/>
  <c r="N245" i="6"/>
  <c r="K246" i="6"/>
  <c r="N246" i="6"/>
  <c r="K247" i="6"/>
  <c r="N247" i="6"/>
  <c r="K248" i="6"/>
  <c r="N248" i="6"/>
  <c r="K249" i="6"/>
  <c r="N249" i="6"/>
  <c r="K250" i="6"/>
  <c r="N250" i="6"/>
  <c r="K251" i="6"/>
  <c r="N251" i="6"/>
  <c r="K252" i="6"/>
  <c r="N252" i="6"/>
  <c r="K253" i="6"/>
  <c r="N253" i="6"/>
  <c r="K254" i="6"/>
  <c r="N254" i="6"/>
  <c r="K255" i="6"/>
  <c r="N255" i="6"/>
  <c r="K256" i="6"/>
  <c r="N256" i="6"/>
  <c r="K257" i="6"/>
  <c r="N257" i="6"/>
  <c r="K258" i="6"/>
  <c r="N258" i="6"/>
  <c r="K259" i="6"/>
  <c r="N259" i="6"/>
  <c r="K260" i="6"/>
  <c r="N260" i="6"/>
  <c r="K261" i="6"/>
  <c r="N261" i="6"/>
  <c r="K262" i="6"/>
  <c r="N262" i="6"/>
  <c r="K263" i="6"/>
  <c r="N263" i="6"/>
  <c r="K264" i="6"/>
  <c r="N264" i="6"/>
  <c r="K265" i="6"/>
  <c r="N265" i="6"/>
  <c r="K266" i="6"/>
  <c r="N266" i="6"/>
  <c r="K267" i="6"/>
  <c r="N267" i="6"/>
  <c r="K268" i="6"/>
  <c r="N268" i="6"/>
  <c r="K269" i="6"/>
  <c r="N269" i="6"/>
  <c r="K270" i="6"/>
  <c r="N270" i="6"/>
  <c r="K271" i="6"/>
  <c r="N271" i="6"/>
  <c r="K272" i="6"/>
  <c r="N272" i="6"/>
  <c r="K273" i="6"/>
  <c r="N273" i="6"/>
  <c r="K274" i="6"/>
  <c r="N274" i="6"/>
  <c r="K275" i="6"/>
  <c r="N275" i="6"/>
  <c r="K276" i="6"/>
  <c r="N276" i="6"/>
  <c r="K277" i="6"/>
  <c r="N277" i="6"/>
  <c r="K278" i="6"/>
  <c r="N278" i="6"/>
  <c r="K279" i="6"/>
  <c r="N279" i="6"/>
  <c r="K280" i="6"/>
  <c r="N280" i="6"/>
  <c r="K281" i="6"/>
  <c r="N281" i="6"/>
  <c r="K282" i="6"/>
  <c r="N282" i="6"/>
  <c r="K283" i="6"/>
  <c r="N283" i="6"/>
  <c r="K284" i="6"/>
  <c r="N284" i="6"/>
  <c r="K285" i="6"/>
  <c r="N285" i="6"/>
  <c r="K286" i="6"/>
  <c r="N286" i="6"/>
  <c r="K287" i="6"/>
  <c r="N287" i="6"/>
  <c r="K288" i="6"/>
  <c r="N288" i="6"/>
  <c r="K289" i="6"/>
  <c r="N289" i="6"/>
  <c r="K290" i="6"/>
  <c r="N290" i="6"/>
  <c r="K291" i="6"/>
  <c r="N291" i="6"/>
  <c r="K292" i="6"/>
  <c r="N292" i="6"/>
  <c r="K293" i="6"/>
  <c r="N293" i="6"/>
  <c r="K294" i="6"/>
  <c r="N294" i="6"/>
  <c r="K295" i="6"/>
  <c r="N295" i="6"/>
  <c r="K296" i="6"/>
  <c r="N296" i="6"/>
  <c r="K297" i="6"/>
  <c r="N297" i="6"/>
  <c r="K298" i="6"/>
  <c r="N298" i="6"/>
  <c r="K299" i="6"/>
  <c r="N299" i="6"/>
  <c r="K300" i="6"/>
  <c r="N300" i="6"/>
  <c r="K301" i="6"/>
  <c r="N301" i="6"/>
  <c r="K302" i="6"/>
  <c r="N302" i="6"/>
  <c r="K303" i="6"/>
  <c r="N303" i="6"/>
  <c r="K304" i="6"/>
  <c r="N304" i="6"/>
  <c r="K305" i="6"/>
  <c r="N305" i="6"/>
  <c r="K306" i="6"/>
  <c r="N306" i="6"/>
  <c r="K307" i="6"/>
  <c r="N307" i="6"/>
  <c r="K308" i="6"/>
  <c r="N308" i="6"/>
  <c r="K309" i="6"/>
  <c r="N309" i="6"/>
  <c r="K310" i="6"/>
  <c r="N310" i="6"/>
  <c r="K311" i="6"/>
  <c r="N311" i="6"/>
  <c r="K312" i="6"/>
  <c r="N312" i="6"/>
  <c r="K313" i="6"/>
  <c r="N313" i="6"/>
  <c r="K314" i="6"/>
  <c r="N314" i="6"/>
  <c r="K315" i="6"/>
  <c r="N315" i="6"/>
  <c r="K316" i="6"/>
  <c r="N316" i="6"/>
  <c r="K317" i="6"/>
  <c r="N317" i="6"/>
  <c r="K318" i="6"/>
  <c r="N318" i="6"/>
  <c r="K319" i="6"/>
  <c r="N319" i="6"/>
  <c r="K320" i="6"/>
  <c r="N320" i="6"/>
  <c r="K321" i="6"/>
  <c r="N321" i="6"/>
  <c r="O59" i="6"/>
  <c r="N59" i="6"/>
  <c r="N58" i="6"/>
  <c r="M58" i="6"/>
  <c r="K59" i="6"/>
  <c r="O58" i="6"/>
  <c r="L59" i="6" s="1"/>
  <c r="M59" i="6" s="1"/>
  <c r="L58" i="6"/>
  <c r="K58" i="6"/>
  <c r="O57" i="6"/>
  <c r="M57" i="6"/>
  <c r="F24" i="6"/>
  <c r="G24" i="6" s="1"/>
  <c r="H24" i="6"/>
  <c r="I24" i="6"/>
  <c r="F25" i="6" s="1"/>
  <c r="G25" i="6"/>
  <c r="I25" i="6" s="1"/>
  <c r="F26" i="6" s="1"/>
  <c r="G26" i="6" s="1"/>
  <c r="H25" i="6"/>
  <c r="H26" i="6"/>
  <c r="I26" i="6"/>
  <c r="F27" i="6" s="1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23" i="6"/>
  <c r="G23" i="6"/>
  <c r="I23" i="6"/>
  <c r="F23" i="6"/>
  <c r="I22" i="6"/>
  <c r="H22" i="6"/>
  <c r="G22" i="6"/>
  <c r="G17" i="6"/>
  <c r="K13" i="6"/>
  <c r="G15" i="6"/>
  <c r="N19" i="5"/>
  <c r="N20" i="5" s="1"/>
  <c r="Q18" i="5"/>
  <c r="M19" i="5" s="1"/>
  <c r="G23" i="5"/>
  <c r="H19" i="5"/>
  <c r="D19" i="5"/>
  <c r="F17" i="5"/>
  <c r="G17" i="5"/>
  <c r="F29" i="4"/>
  <c r="F30" i="4" s="1"/>
  <c r="F31" i="4" s="1"/>
  <c r="F32" i="4" s="1"/>
  <c r="F33" i="4" s="1"/>
  <c r="I28" i="4"/>
  <c r="E29" i="4" s="1"/>
  <c r="G29" i="4" s="1"/>
  <c r="G23" i="4"/>
  <c r="D20" i="4"/>
  <c r="H20" i="4"/>
  <c r="K18" i="4"/>
  <c r="H18" i="4" s="1"/>
  <c r="G96" i="2"/>
  <c r="G90" i="2"/>
  <c r="G78" i="2"/>
  <c r="I78" i="2" s="1"/>
  <c r="E79" i="2" s="1"/>
  <c r="G79" i="2" s="1"/>
  <c r="I79" i="2" s="1"/>
  <c r="E80" i="2" s="1"/>
  <c r="G67" i="2"/>
  <c r="K59" i="2"/>
  <c r="I59" i="2"/>
  <c r="G59" i="2"/>
  <c r="G62" i="2" s="1"/>
  <c r="F49" i="2"/>
  <c r="F50" i="2"/>
  <c r="F51" i="2"/>
  <c r="F48" i="2"/>
  <c r="F47" i="2"/>
  <c r="G47" i="2" s="1"/>
  <c r="G33" i="2"/>
  <c r="I25" i="2"/>
  <c r="G25" i="2"/>
  <c r="F15" i="2"/>
  <c r="F16" i="2"/>
  <c r="F17" i="2"/>
  <c r="F14" i="2"/>
  <c r="F13" i="2"/>
  <c r="H13" i="2" s="1"/>
  <c r="E14" i="2" s="1"/>
  <c r="G14" i="2" s="1"/>
  <c r="H53" i="3"/>
  <c r="H40" i="3"/>
  <c r="H38" i="3"/>
  <c r="H36" i="3"/>
  <c r="E12" i="3"/>
  <c r="F12" i="3"/>
  <c r="G12" i="3"/>
  <c r="H12" i="3"/>
  <c r="I12" i="3"/>
  <c r="J12" i="3"/>
  <c r="K12" i="3"/>
  <c r="L12" i="3"/>
  <c r="M12" i="3"/>
  <c r="N12" i="3"/>
  <c r="O12" i="3"/>
  <c r="P12" i="3"/>
  <c r="E13" i="3"/>
  <c r="F13" i="3"/>
  <c r="G13" i="3"/>
  <c r="H13" i="3"/>
  <c r="I13" i="3"/>
  <c r="J13" i="3"/>
  <c r="K13" i="3"/>
  <c r="L13" i="3"/>
  <c r="M13" i="3"/>
  <c r="N13" i="3"/>
  <c r="O13" i="3"/>
  <c r="P13" i="3"/>
  <c r="E14" i="3"/>
  <c r="F14" i="3"/>
  <c r="G14" i="3"/>
  <c r="H14" i="3"/>
  <c r="I14" i="3"/>
  <c r="J14" i="3"/>
  <c r="K14" i="3"/>
  <c r="L14" i="3"/>
  <c r="M14" i="3"/>
  <c r="N14" i="3"/>
  <c r="O14" i="3"/>
  <c r="P14" i="3"/>
  <c r="E15" i="3"/>
  <c r="F15" i="3"/>
  <c r="G15" i="3"/>
  <c r="H15" i="3"/>
  <c r="I15" i="3"/>
  <c r="J15" i="3"/>
  <c r="K15" i="3"/>
  <c r="L15" i="3"/>
  <c r="M15" i="3"/>
  <c r="N15" i="3"/>
  <c r="O15" i="3"/>
  <c r="P15" i="3"/>
  <c r="E16" i="3"/>
  <c r="F16" i="3"/>
  <c r="G16" i="3"/>
  <c r="H16" i="3"/>
  <c r="I16" i="3"/>
  <c r="J16" i="3"/>
  <c r="K16" i="3"/>
  <c r="L16" i="3"/>
  <c r="M16" i="3"/>
  <c r="N16" i="3"/>
  <c r="O16" i="3"/>
  <c r="P16" i="3"/>
  <c r="E17" i="3"/>
  <c r="F17" i="3"/>
  <c r="G17" i="3"/>
  <c r="H17" i="3"/>
  <c r="I17" i="3"/>
  <c r="J17" i="3"/>
  <c r="K17" i="3"/>
  <c r="L17" i="3"/>
  <c r="M17" i="3"/>
  <c r="N17" i="3"/>
  <c r="O17" i="3"/>
  <c r="P17" i="3"/>
  <c r="E18" i="3"/>
  <c r="F18" i="3"/>
  <c r="G18" i="3"/>
  <c r="H18" i="3"/>
  <c r="I18" i="3"/>
  <c r="J18" i="3"/>
  <c r="K18" i="3"/>
  <c r="L18" i="3"/>
  <c r="M18" i="3"/>
  <c r="N18" i="3"/>
  <c r="O18" i="3"/>
  <c r="P18" i="3"/>
  <c r="E19" i="3"/>
  <c r="F19" i="3"/>
  <c r="G19" i="3"/>
  <c r="H19" i="3"/>
  <c r="I19" i="3"/>
  <c r="J19" i="3"/>
  <c r="K19" i="3"/>
  <c r="L19" i="3"/>
  <c r="M19" i="3"/>
  <c r="N19" i="3"/>
  <c r="O19" i="3"/>
  <c r="P19" i="3"/>
  <c r="E20" i="3"/>
  <c r="F20" i="3"/>
  <c r="G20" i="3"/>
  <c r="H20" i="3"/>
  <c r="I20" i="3"/>
  <c r="J20" i="3"/>
  <c r="K20" i="3"/>
  <c r="L20" i="3"/>
  <c r="M20" i="3"/>
  <c r="N20" i="3"/>
  <c r="O20" i="3"/>
  <c r="P20" i="3"/>
  <c r="E21" i="3"/>
  <c r="F21" i="3"/>
  <c r="G21" i="3"/>
  <c r="H21" i="3"/>
  <c r="I21" i="3"/>
  <c r="J21" i="3"/>
  <c r="K21" i="3"/>
  <c r="L21" i="3"/>
  <c r="M21" i="3"/>
  <c r="N21" i="3"/>
  <c r="O21" i="3"/>
  <c r="P21" i="3"/>
  <c r="E22" i="3"/>
  <c r="F22" i="3"/>
  <c r="G22" i="3"/>
  <c r="H22" i="3"/>
  <c r="I22" i="3"/>
  <c r="J22" i="3"/>
  <c r="K22" i="3"/>
  <c r="L22" i="3"/>
  <c r="M22" i="3"/>
  <c r="N22" i="3"/>
  <c r="O22" i="3"/>
  <c r="P22" i="3"/>
  <c r="E23" i="3"/>
  <c r="F23" i="3"/>
  <c r="G23" i="3"/>
  <c r="H23" i="3"/>
  <c r="I23" i="3"/>
  <c r="J23" i="3"/>
  <c r="K23" i="3"/>
  <c r="L23" i="3"/>
  <c r="M23" i="3"/>
  <c r="N23" i="3"/>
  <c r="O23" i="3"/>
  <c r="P23" i="3"/>
  <c r="E24" i="3"/>
  <c r="F24" i="3"/>
  <c r="G24" i="3"/>
  <c r="H24" i="3"/>
  <c r="I24" i="3"/>
  <c r="J24" i="3"/>
  <c r="K24" i="3"/>
  <c r="L24" i="3"/>
  <c r="M24" i="3"/>
  <c r="N24" i="3"/>
  <c r="O24" i="3"/>
  <c r="P24" i="3"/>
  <c r="E25" i="3"/>
  <c r="F25" i="3"/>
  <c r="G25" i="3"/>
  <c r="H25" i="3"/>
  <c r="I25" i="3"/>
  <c r="J25" i="3"/>
  <c r="K25" i="3"/>
  <c r="L25" i="3"/>
  <c r="M25" i="3"/>
  <c r="N25" i="3"/>
  <c r="O25" i="3"/>
  <c r="P25" i="3"/>
  <c r="E26" i="3"/>
  <c r="F26" i="3"/>
  <c r="G26" i="3"/>
  <c r="H26" i="3"/>
  <c r="I26" i="3"/>
  <c r="J26" i="3"/>
  <c r="K26" i="3"/>
  <c r="L26" i="3"/>
  <c r="M26" i="3"/>
  <c r="N26" i="3"/>
  <c r="O26" i="3"/>
  <c r="P26" i="3"/>
  <c r="E27" i="3"/>
  <c r="F27" i="3"/>
  <c r="G27" i="3"/>
  <c r="H27" i="3"/>
  <c r="I27" i="3"/>
  <c r="J27" i="3"/>
  <c r="K27" i="3"/>
  <c r="L27" i="3"/>
  <c r="M27" i="3"/>
  <c r="N27" i="3"/>
  <c r="O27" i="3"/>
  <c r="P27" i="3"/>
  <c r="E28" i="3"/>
  <c r="F28" i="3"/>
  <c r="G28" i="3"/>
  <c r="H28" i="3"/>
  <c r="I28" i="3"/>
  <c r="J28" i="3"/>
  <c r="K28" i="3"/>
  <c r="L28" i="3"/>
  <c r="M28" i="3"/>
  <c r="N28" i="3"/>
  <c r="O28" i="3"/>
  <c r="P28" i="3"/>
  <c r="E29" i="3"/>
  <c r="F29" i="3"/>
  <c r="G29" i="3"/>
  <c r="H29" i="3"/>
  <c r="I29" i="3"/>
  <c r="J29" i="3"/>
  <c r="K29" i="3"/>
  <c r="L29" i="3"/>
  <c r="M29" i="3"/>
  <c r="N29" i="3"/>
  <c r="O29" i="3"/>
  <c r="P29" i="3"/>
  <c r="E30" i="3"/>
  <c r="F30" i="3"/>
  <c r="G30" i="3"/>
  <c r="H30" i="3"/>
  <c r="I30" i="3"/>
  <c r="J30" i="3"/>
  <c r="K30" i="3"/>
  <c r="L30" i="3"/>
  <c r="M30" i="3"/>
  <c r="N30" i="3"/>
  <c r="O30" i="3"/>
  <c r="P30" i="3"/>
  <c r="F11" i="3"/>
  <c r="G11" i="3"/>
  <c r="H11" i="3"/>
  <c r="I11" i="3"/>
  <c r="J11" i="3"/>
  <c r="K11" i="3"/>
  <c r="L11" i="3"/>
  <c r="M11" i="3"/>
  <c r="N11" i="3"/>
  <c r="O11" i="3"/>
  <c r="P11" i="3"/>
  <c r="E11" i="3"/>
  <c r="I54" i="9" l="1"/>
  <c r="I56" i="9"/>
  <c r="J56" i="9" s="1"/>
  <c r="I53" i="9"/>
  <c r="J53" i="9" s="1"/>
  <c r="M26" i="9"/>
  <c r="O26" i="9" s="1"/>
  <c r="M28" i="9"/>
  <c r="O28" i="9" s="1"/>
  <c r="I55" i="9"/>
  <c r="J55" i="9" s="1"/>
  <c r="G61" i="9"/>
  <c r="M29" i="9"/>
  <c r="O29" i="9" s="1"/>
  <c r="M30" i="9"/>
  <c r="O30" i="9" s="1"/>
  <c r="M27" i="9"/>
  <c r="O27" i="9" s="1"/>
  <c r="O60" i="9"/>
  <c r="P52" i="9" s="1"/>
  <c r="Q52" i="9" s="1"/>
  <c r="J54" i="9"/>
  <c r="M56" i="9"/>
  <c r="J52" i="9"/>
  <c r="K52" i="9"/>
  <c r="L52" i="9" s="1"/>
  <c r="K53" i="9"/>
  <c r="L53" i="9" s="1"/>
  <c r="K57" i="9"/>
  <c r="L57" i="9" s="1"/>
  <c r="J57" i="9"/>
  <c r="K54" i="9"/>
  <c r="L54" i="9" s="1"/>
  <c r="K55" i="9"/>
  <c r="L55" i="9" s="1"/>
  <c r="P27" i="9"/>
  <c r="Q27" i="9" s="1"/>
  <c r="P28" i="9"/>
  <c r="Q28" i="9" s="1"/>
  <c r="P26" i="9"/>
  <c r="Q26" i="9" s="1"/>
  <c r="P30" i="9"/>
  <c r="Q30" i="9" s="1"/>
  <c r="P25" i="9"/>
  <c r="Q25" i="9" s="1"/>
  <c r="J28" i="7"/>
  <c r="H28" i="7"/>
  <c r="G6" i="7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30" i="7" s="1"/>
  <c r="J30" i="7" a="1"/>
  <c r="J30" i="7" s="1"/>
  <c r="M61" i="6"/>
  <c r="O61" i="6" s="1"/>
  <c r="L62" i="6" s="1"/>
  <c r="G27" i="6"/>
  <c r="I27" i="6"/>
  <c r="F28" i="6" s="1"/>
  <c r="O19" i="5"/>
  <c r="Q19" i="5" s="1"/>
  <c r="M20" i="5" s="1"/>
  <c r="I29" i="4"/>
  <c r="E30" i="4" s="1"/>
  <c r="G30" i="4" s="1"/>
  <c r="I30" i="4" s="1"/>
  <c r="E31" i="4" s="1"/>
  <c r="G31" i="4" s="1"/>
  <c r="G28" i="2"/>
  <c r="H47" i="2"/>
  <c r="E48" i="2" s="1"/>
  <c r="G48" i="2" s="1"/>
  <c r="G80" i="2"/>
  <c r="I80" i="2" s="1"/>
  <c r="E81" i="2" s="1"/>
  <c r="G81" i="2" s="1"/>
  <c r="I81" i="2" s="1"/>
  <c r="E82" i="2" s="1"/>
  <c r="G82" i="2" s="1"/>
  <c r="I82" i="2" s="1"/>
  <c r="H14" i="2"/>
  <c r="E15" i="2" s="1"/>
  <c r="O34" i="9" l="1"/>
  <c r="O36" i="9" s="1"/>
  <c r="M53" i="9"/>
  <c r="P56" i="9"/>
  <c r="Q56" i="9" s="1"/>
  <c r="P57" i="9"/>
  <c r="Q57" i="9" s="1"/>
  <c r="P53" i="9"/>
  <c r="Q53" i="9" s="1"/>
  <c r="P54" i="9"/>
  <c r="Q54" i="9" s="1"/>
  <c r="P55" i="9"/>
  <c r="Q55" i="9" s="1"/>
  <c r="M52" i="9"/>
  <c r="M55" i="9"/>
  <c r="M57" i="9"/>
  <c r="Q34" i="9"/>
  <c r="Q36" i="9" s="1"/>
  <c r="M54" i="9"/>
  <c r="M62" i="6"/>
  <c r="O62" i="6" s="1"/>
  <c r="L63" i="6" s="1"/>
  <c r="G28" i="6"/>
  <c r="I28" i="6" s="1"/>
  <c r="F29" i="6" s="1"/>
  <c r="O20" i="5"/>
  <c r="Q20" i="5" s="1"/>
  <c r="M21" i="5" s="1"/>
  <c r="I31" i="4"/>
  <c r="E32" i="4" s="1"/>
  <c r="G32" i="4" s="1"/>
  <c r="I32" i="4" s="1"/>
  <c r="E33" i="4" s="1"/>
  <c r="H48" i="2"/>
  <c r="E49" i="2" s="1"/>
  <c r="G15" i="2"/>
  <c r="H15" i="2" s="1"/>
  <c r="E16" i="2" s="1"/>
  <c r="Q61" i="9" l="1"/>
  <c r="Q63" i="9" s="1"/>
  <c r="M60" i="9"/>
  <c r="M62" i="9" s="1"/>
  <c r="M63" i="6"/>
  <c r="O63" i="6" s="1"/>
  <c r="L64" i="6" s="1"/>
  <c r="G29" i="6"/>
  <c r="I29" i="6"/>
  <c r="F30" i="6" s="1"/>
  <c r="O21" i="5"/>
  <c r="Q21" i="5" s="1"/>
  <c r="M22" i="5" s="1"/>
  <c r="O22" i="5" s="1"/>
  <c r="Q22" i="5" s="1"/>
  <c r="M23" i="5" s="1"/>
  <c r="G33" i="4"/>
  <c r="I33" i="4" s="1"/>
  <c r="E34" i="4" s="1"/>
  <c r="G49" i="2"/>
  <c r="H49" i="2"/>
  <c r="E50" i="2" s="1"/>
  <c r="G50" i="2" s="1"/>
  <c r="H50" i="2" s="1"/>
  <c r="E51" i="2" s="1"/>
  <c r="G51" i="2" s="1"/>
  <c r="H51" i="2" s="1"/>
  <c r="G16" i="2"/>
  <c r="H16" i="2" s="1"/>
  <c r="E17" i="2" s="1"/>
  <c r="G17" i="2" s="1"/>
  <c r="H17" i="2" s="1"/>
  <c r="M64" i="6" l="1"/>
  <c r="O64" i="6" s="1"/>
  <c r="L65" i="6" s="1"/>
  <c r="G30" i="6"/>
  <c r="I30" i="6"/>
  <c r="F31" i="6" s="1"/>
  <c r="O23" i="5"/>
  <c r="Q23" i="5" s="1"/>
  <c r="M24" i="5" s="1"/>
  <c r="G34" i="4"/>
  <c r="I34" i="4" s="1"/>
  <c r="E35" i="4" s="1"/>
  <c r="I97" i="1"/>
  <c r="I89" i="1"/>
  <c r="K77" i="1"/>
  <c r="Q64" i="1"/>
  <c r="I68" i="1"/>
  <c r="N64" i="1"/>
  <c r="L64" i="1"/>
  <c r="J64" i="1"/>
  <c r="H64" i="1"/>
  <c r="H54" i="1"/>
  <c r="H40" i="1"/>
  <c r="H38" i="1"/>
  <c r="H36" i="1"/>
  <c r="E12" i="1"/>
  <c r="F12" i="1"/>
  <c r="G12" i="1"/>
  <c r="H12" i="1"/>
  <c r="I12" i="1"/>
  <c r="J12" i="1"/>
  <c r="K12" i="1"/>
  <c r="L12" i="1"/>
  <c r="M12" i="1"/>
  <c r="N12" i="1"/>
  <c r="O12" i="1"/>
  <c r="P12" i="1"/>
  <c r="E13" i="1"/>
  <c r="F13" i="1"/>
  <c r="G13" i="1"/>
  <c r="H13" i="1"/>
  <c r="I13" i="1"/>
  <c r="J13" i="1"/>
  <c r="K13" i="1"/>
  <c r="L13" i="1"/>
  <c r="M13" i="1"/>
  <c r="N13" i="1"/>
  <c r="O13" i="1"/>
  <c r="P13" i="1"/>
  <c r="E14" i="1"/>
  <c r="F14" i="1"/>
  <c r="G14" i="1"/>
  <c r="H14" i="1"/>
  <c r="I14" i="1"/>
  <c r="J14" i="1"/>
  <c r="K14" i="1"/>
  <c r="L14" i="1"/>
  <c r="M14" i="1"/>
  <c r="N14" i="1"/>
  <c r="O14" i="1"/>
  <c r="P14" i="1"/>
  <c r="E15" i="1"/>
  <c r="F15" i="1"/>
  <c r="G15" i="1"/>
  <c r="H15" i="1"/>
  <c r="I15" i="1"/>
  <c r="J15" i="1"/>
  <c r="K15" i="1"/>
  <c r="L15" i="1"/>
  <c r="M15" i="1"/>
  <c r="N15" i="1"/>
  <c r="O15" i="1"/>
  <c r="P15" i="1"/>
  <c r="E16" i="1"/>
  <c r="F16" i="1"/>
  <c r="G16" i="1"/>
  <c r="H16" i="1"/>
  <c r="I16" i="1"/>
  <c r="J16" i="1"/>
  <c r="K16" i="1"/>
  <c r="L16" i="1"/>
  <c r="M16" i="1"/>
  <c r="N16" i="1"/>
  <c r="O16" i="1"/>
  <c r="P16" i="1"/>
  <c r="E17" i="1"/>
  <c r="F17" i="1"/>
  <c r="G17" i="1"/>
  <c r="H17" i="1"/>
  <c r="I17" i="1"/>
  <c r="J17" i="1"/>
  <c r="K17" i="1"/>
  <c r="L17" i="1"/>
  <c r="M17" i="1"/>
  <c r="N17" i="1"/>
  <c r="O17" i="1"/>
  <c r="P17" i="1"/>
  <c r="E18" i="1"/>
  <c r="F18" i="1"/>
  <c r="G18" i="1"/>
  <c r="H18" i="1"/>
  <c r="I18" i="1"/>
  <c r="J18" i="1"/>
  <c r="K18" i="1"/>
  <c r="L18" i="1"/>
  <c r="M18" i="1"/>
  <c r="N18" i="1"/>
  <c r="O18" i="1"/>
  <c r="P18" i="1"/>
  <c r="E19" i="1"/>
  <c r="F19" i="1"/>
  <c r="G19" i="1"/>
  <c r="H19" i="1"/>
  <c r="I19" i="1"/>
  <c r="J19" i="1"/>
  <c r="K19" i="1"/>
  <c r="L19" i="1"/>
  <c r="M19" i="1"/>
  <c r="N19" i="1"/>
  <c r="O19" i="1"/>
  <c r="P19" i="1"/>
  <c r="E20" i="1"/>
  <c r="F20" i="1"/>
  <c r="G20" i="1"/>
  <c r="H20" i="1"/>
  <c r="I20" i="1"/>
  <c r="J20" i="1"/>
  <c r="K20" i="1"/>
  <c r="L20" i="1"/>
  <c r="M20" i="1"/>
  <c r="N20" i="1"/>
  <c r="O20" i="1"/>
  <c r="P20" i="1"/>
  <c r="E21" i="1"/>
  <c r="F21" i="1"/>
  <c r="G21" i="1"/>
  <c r="H21" i="1"/>
  <c r="I21" i="1"/>
  <c r="J21" i="1"/>
  <c r="K21" i="1"/>
  <c r="L21" i="1"/>
  <c r="M21" i="1"/>
  <c r="N21" i="1"/>
  <c r="O21" i="1"/>
  <c r="P21" i="1"/>
  <c r="E22" i="1"/>
  <c r="F22" i="1"/>
  <c r="G22" i="1"/>
  <c r="H22" i="1"/>
  <c r="I22" i="1"/>
  <c r="J22" i="1"/>
  <c r="K22" i="1"/>
  <c r="L22" i="1"/>
  <c r="M22" i="1"/>
  <c r="N22" i="1"/>
  <c r="O22" i="1"/>
  <c r="P22" i="1"/>
  <c r="E23" i="1"/>
  <c r="F23" i="1"/>
  <c r="G23" i="1"/>
  <c r="H23" i="1"/>
  <c r="I23" i="1"/>
  <c r="J23" i="1"/>
  <c r="K23" i="1"/>
  <c r="L23" i="1"/>
  <c r="M23" i="1"/>
  <c r="N23" i="1"/>
  <c r="O23" i="1"/>
  <c r="P23" i="1"/>
  <c r="E24" i="1"/>
  <c r="F24" i="1"/>
  <c r="G24" i="1"/>
  <c r="H24" i="1"/>
  <c r="I24" i="1"/>
  <c r="J24" i="1"/>
  <c r="K24" i="1"/>
  <c r="L24" i="1"/>
  <c r="M24" i="1"/>
  <c r="N24" i="1"/>
  <c r="O24" i="1"/>
  <c r="P24" i="1"/>
  <c r="E25" i="1"/>
  <c r="F25" i="1"/>
  <c r="G25" i="1"/>
  <c r="H25" i="1"/>
  <c r="I25" i="1"/>
  <c r="J25" i="1"/>
  <c r="K25" i="1"/>
  <c r="L25" i="1"/>
  <c r="M25" i="1"/>
  <c r="N25" i="1"/>
  <c r="O25" i="1"/>
  <c r="P25" i="1"/>
  <c r="E26" i="1"/>
  <c r="F26" i="1"/>
  <c r="G26" i="1"/>
  <c r="H26" i="1"/>
  <c r="I26" i="1"/>
  <c r="J26" i="1"/>
  <c r="K26" i="1"/>
  <c r="L26" i="1"/>
  <c r="M26" i="1"/>
  <c r="N26" i="1"/>
  <c r="O26" i="1"/>
  <c r="P26" i="1"/>
  <c r="E27" i="1"/>
  <c r="F27" i="1"/>
  <c r="G27" i="1"/>
  <c r="H27" i="1"/>
  <c r="I27" i="1"/>
  <c r="J27" i="1"/>
  <c r="K27" i="1"/>
  <c r="L27" i="1"/>
  <c r="M27" i="1"/>
  <c r="N27" i="1"/>
  <c r="O27" i="1"/>
  <c r="P27" i="1"/>
  <c r="E28" i="1"/>
  <c r="F28" i="1"/>
  <c r="G28" i="1"/>
  <c r="H28" i="1"/>
  <c r="I28" i="1"/>
  <c r="J28" i="1"/>
  <c r="K28" i="1"/>
  <c r="L28" i="1"/>
  <c r="M28" i="1"/>
  <c r="N28" i="1"/>
  <c r="O28" i="1"/>
  <c r="P28" i="1"/>
  <c r="E29" i="1"/>
  <c r="F29" i="1"/>
  <c r="G29" i="1"/>
  <c r="H29" i="1"/>
  <c r="I29" i="1"/>
  <c r="J29" i="1"/>
  <c r="K29" i="1"/>
  <c r="L29" i="1"/>
  <c r="M29" i="1"/>
  <c r="N29" i="1"/>
  <c r="O29" i="1"/>
  <c r="P29" i="1"/>
  <c r="E30" i="1"/>
  <c r="F30" i="1"/>
  <c r="G30" i="1"/>
  <c r="H30" i="1"/>
  <c r="I30" i="1"/>
  <c r="J30" i="1"/>
  <c r="K30" i="1"/>
  <c r="L30" i="1"/>
  <c r="M30" i="1"/>
  <c r="N30" i="1"/>
  <c r="O30" i="1"/>
  <c r="P30" i="1"/>
  <c r="F11" i="1"/>
  <c r="G11" i="1"/>
  <c r="H11" i="1"/>
  <c r="I11" i="1"/>
  <c r="J11" i="1"/>
  <c r="K11" i="1"/>
  <c r="L11" i="1"/>
  <c r="M11" i="1"/>
  <c r="N11" i="1"/>
  <c r="O11" i="1"/>
  <c r="P11" i="1"/>
  <c r="E11" i="1"/>
  <c r="M65" i="6" l="1"/>
  <c r="O65" i="6" s="1"/>
  <c r="L66" i="6" s="1"/>
  <c r="G31" i="6"/>
  <c r="I31" i="6"/>
  <c r="F32" i="6" s="1"/>
  <c r="O24" i="5"/>
  <c r="Q24" i="5" s="1"/>
  <c r="G35" i="4"/>
  <c r="I35" i="4" s="1"/>
  <c r="E36" i="4" s="1"/>
  <c r="G36" i="4" s="1"/>
  <c r="I36" i="4" s="1"/>
  <c r="E37" i="4" s="1"/>
  <c r="M66" i="6" l="1"/>
  <c r="O66" i="6" s="1"/>
  <c r="L67" i="6" s="1"/>
  <c r="G32" i="6"/>
  <c r="I32" i="6"/>
  <c r="F33" i="6" s="1"/>
  <c r="G37" i="4"/>
  <c r="I37" i="4" s="1"/>
  <c r="E38" i="4" s="1"/>
  <c r="M67" i="6" l="1"/>
  <c r="O67" i="6"/>
  <c r="L68" i="6" s="1"/>
  <c r="G33" i="6"/>
  <c r="I33" i="6" s="1"/>
  <c r="F34" i="6" s="1"/>
  <c r="G38" i="4"/>
  <c r="I38" i="4" s="1"/>
  <c r="E39" i="4" s="1"/>
  <c r="M68" i="6" l="1"/>
  <c r="O68" i="6" s="1"/>
  <c r="L69" i="6" s="1"/>
  <c r="G34" i="6"/>
  <c r="I34" i="6"/>
  <c r="F35" i="6" s="1"/>
  <c r="G39" i="4"/>
  <c r="I39" i="4" s="1"/>
  <c r="E40" i="4" s="1"/>
  <c r="O69" i="6" l="1"/>
  <c r="L70" i="6" s="1"/>
  <c r="M69" i="6"/>
  <c r="G35" i="6"/>
  <c r="I35" i="6" s="1"/>
  <c r="F36" i="6" s="1"/>
  <c r="G40" i="4"/>
  <c r="I40" i="4" s="1"/>
  <c r="E41" i="4" s="1"/>
  <c r="M70" i="6" l="1"/>
  <c r="O70" i="6" s="1"/>
  <c r="L71" i="6" s="1"/>
  <c r="G36" i="6"/>
  <c r="I36" i="6"/>
  <c r="F37" i="6" s="1"/>
  <c r="G41" i="4"/>
  <c r="I41" i="4" s="1"/>
  <c r="M71" i="6" l="1"/>
  <c r="O71" i="6"/>
  <c r="L72" i="6" s="1"/>
  <c r="G37" i="6"/>
  <c r="I37" i="6" s="1"/>
  <c r="F38" i="6" s="1"/>
  <c r="O72" i="6" l="1"/>
  <c r="L73" i="6" s="1"/>
  <c r="M72" i="6"/>
  <c r="G38" i="6"/>
  <c r="I38" i="6" s="1"/>
  <c r="F39" i="6" s="1"/>
  <c r="M73" i="6" l="1"/>
  <c r="O73" i="6" s="1"/>
  <c r="L74" i="6" s="1"/>
  <c r="G39" i="6"/>
  <c r="I39" i="6" s="1"/>
  <c r="F40" i="6" s="1"/>
  <c r="M74" i="6" l="1"/>
  <c r="O74" i="6"/>
  <c r="L75" i="6" s="1"/>
  <c r="G40" i="6"/>
  <c r="I40" i="6" s="1"/>
  <c r="F41" i="6" s="1"/>
  <c r="M75" i="6" l="1"/>
  <c r="O75" i="6"/>
  <c r="L76" i="6" s="1"/>
  <c r="G41" i="6"/>
  <c r="I41" i="6" s="1"/>
  <c r="F42" i="6" s="1"/>
  <c r="M76" i="6" l="1"/>
  <c r="O76" i="6"/>
  <c r="L77" i="6" s="1"/>
  <c r="G42" i="6"/>
  <c r="I42" i="6"/>
  <c r="F43" i="6" s="1"/>
  <c r="M77" i="6" l="1"/>
  <c r="O77" i="6" s="1"/>
  <c r="L78" i="6" s="1"/>
  <c r="G43" i="6"/>
  <c r="I43" i="6"/>
  <c r="F44" i="6" s="1"/>
  <c r="M78" i="6" l="1"/>
  <c r="O78" i="6" s="1"/>
  <c r="L79" i="6" s="1"/>
  <c r="G44" i="6"/>
  <c r="I44" i="6"/>
  <c r="F45" i="6" s="1"/>
  <c r="M79" i="6" l="1"/>
  <c r="O79" i="6" s="1"/>
  <c r="L80" i="6" s="1"/>
  <c r="G45" i="6"/>
  <c r="I45" i="6"/>
  <c r="F46" i="6" s="1"/>
  <c r="M80" i="6" l="1"/>
  <c r="O80" i="6" s="1"/>
  <c r="L81" i="6" s="1"/>
  <c r="G46" i="6"/>
  <c r="I46" i="6"/>
  <c r="F47" i="6" s="1"/>
  <c r="M81" i="6" l="1"/>
  <c r="O81" i="6" s="1"/>
  <c r="L82" i="6" s="1"/>
  <c r="G47" i="6"/>
  <c r="I47" i="6"/>
  <c r="F48" i="6" s="1"/>
  <c r="M82" i="6" l="1"/>
  <c r="O82" i="6" s="1"/>
  <c r="L83" i="6" s="1"/>
  <c r="G48" i="6"/>
  <c r="I48" i="6"/>
  <c r="F49" i="6" s="1"/>
  <c r="M83" i="6" l="1"/>
  <c r="O83" i="6"/>
  <c r="L84" i="6" s="1"/>
  <c r="G49" i="6"/>
  <c r="I49" i="6" s="1"/>
  <c r="F50" i="6" s="1"/>
  <c r="M84" i="6" l="1"/>
  <c r="O84" i="6" s="1"/>
  <c r="L85" i="6" s="1"/>
  <c r="G50" i="6"/>
  <c r="I50" i="6"/>
  <c r="F51" i="6" s="1"/>
  <c r="M85" i="6" l="1"/>
  <c r="O85" i="6" s="1"/>
  <c r="L86" i="6" s="1"/>
  <c r="G51" i="6"/>
  <c r="I51" i="6"/>
  <c r="F52" i="6" s="1"/>
  <c r="M86" i="6" l="1"/>
  <c r="O86" i="6"/>
  <c r="L87" i="6" s="1"/>
  <c r="G52" i="6"/>
  <c r="I52" i="6"/>
  <c r="F53" i="6" s="1"/>
  <c r="M87" i="6" l="1"/>
  <c r="O87" i="6"/>
  <c r="L88" i="6" s="1"/>
  <c r="G53" i="6"/>
  <c r="I53" i="6"/>
  <c r="F54" i="6" s="1"/>
  <c r="M88" i="6" l="1"/>
  <c r="O88" i="6" s="1"/>
  <c r="L89" i="6" s="1"/>
  <c r="G54" i="6"/>
  <c r="I54" i="6"/>
  <c r="F55" i="6" s="1"/>
  <c r="M89" i="6" l="1"/>
  <c r="O89" i="6" s="1"/>
  <c r="L90" i="6" s="1"/>
  <c r="G55" i="6"/>
  <c r="I55" i="6" s="1"/>
  <c r="F56" i="6" s="1"/>
  <c r="M90" i="6" l="1"/>
  <c r="O90" i="6"/>
  <c r="L91" i="6" s="1"/>
  <c r="G56" i="6"/>
  <c r="I56" i="6"/>
  <c r="F57" i="6" s="1"/>
  <c r="M91" i="6" l="1"/>
  <c r="O91" i="6"/>
  <c r="L92" i="6" s="1"/>
  <c r="G57" i="6"/>
  <c r="I57" i="6" s="1"/>
  <c r="F58" i="6" s="1"/>
  <c r="M92" i="6" l="1"/>
  <c r="O92" i="6"/>
  <c r="L93" i="6" s="1"/>
  <c r="G58" i="6"/>
  <c r="I58" i="6"/>
  <c r="F59" i="6" s="1"/>
  <c r="M93" i="6" l="1"/>
  <c r="O93" i="6" s="1"/>
  <c r="L94" i="6" s="1"/>
  <c r="G59" i="6"/>
  <c r="I59" i="6"/>
  <c r="F60" i="6" s="1"/>
  <c r="M94" i="6" l="1"/>
  <c r="O94" i="6" s="1"/>
  <c r="L95" i="6" s="1"/>
  <c r="G60" i="6"/>
  <c r="I60" i="6"/>
  <c r="F61" i="6" s="1"/>
  <c r="M95" i="6" l="1"/>
  <c r="O95" i="6" s="1"/>
  <c r="L96" i="6" s="1"/>
  <c r="G61" i="6"/>
  <c r="I61" i="6"/>
  <c r="F62" i="6" s="1"/>
  <c r="M96" i="6" l="1"/>
  <c r="O96" i="6" s="1"/>
  <c r="L97" i="6" s="1"/>
  <c r="G62" i="6"/>
  <c r="I62" i="6"/>
  <c r="F63" i="6" s="1"/>
  <c r="M97" i="6" l="1"/>
  <c r="O97" i="6" s="1"/>
  <c r="L98" i="6" s="1"/>
  <c r="G63" i="6"/>
  <c r="I63" i="6"/>
  <c r="F64" i="6" s="1"/>
  <c r="M98" i="6" l="1"/>
  <c r="O98" i="6"/>
  <c r="L99" i="6" s="1"/>
  <c r="G64" i="6"/>
  <c r="I64" i="6" s="1"/>
  <c r="F65" i="6" s="1"/>
  <c r="M99" i="6" l="1"/>
  <c r="O99" i="6"/>
  <c r="L100" i="6" s="1"/>
  <c r="I65" i="6"/>
  <c r="F66" i="6" s="1"/>
  <c r="G65" i="6"/>
  <c r="M100" i="6" l="1"/>
  <c r="O100" i="6"/>
  <c r="L101" i="6" s="1"/>
  <c r="G66" i="6"/>
  <c r="I66" i="6"/>
  <c r="F67" i="6" s="1"/>
  <c r="M101" i="6" l="1"/>
  <c r="O101" i="6" s="1"/>
  <c r="L102" i="6" s="1"/>
  <c r="G67" i="6"/>
  <c r="I67" i="6" s="1"/>
  <c r="F68" i="6" s="1"/>
  <c r="M102" i="6" l="1"/>
  <c r="O102" i="6"/>
  <c r="L103" i="6" s="1"/>
  <c r="G68" i="6"/>
  <c r="I68" i="6"/>
  <c r="F69" i="6" s="1"/>
  <c r="M103" i="6" l="1"/>
  <c r="O103" i="6"/>
  <c r="L104" i="6" s="1"/>
  <c r="G69" i="6"/>
  <c r="I69" i="6"/>
  <c r="F70" i="6" s="1"/>
  <c r="M104" i="6" l="1"/>
  <c r="O104" i="6" s="1"/>
  <c r="L105" i="6" s="1"/>
  <c r="G70" i="6"/>
  <c r="I70" i="6"/>
  <c r="F71" i="6" s="1"/>
  <c r="M105" i="6" l="1"/>
  <c r="O105" i="6" s="1"/>
  <c r="L106" i="6" s="1"/>
  <c r="I71" i="6"/>
  <c r="F72" i="6" s="1"/>
  <c r="G71" i="6"/>
  <c r="M106" i="6" l="1"/>
  <c r="O106" i="6"/>
  <c r="L107" i="6" s="1"/>
  <c r="G72" i="6"/>
  <c r="I72" i="6"/>
  <c r="F73" i="6" s="1"/>
  <c r="M107" i="6" l="1"/>
  <c r="O107" i="6" s="1"/>
  <c r="L108" i="6" s="1"/>
  <c r="G73" i="6"/>
  <c r="I73" i="6" s="1"/>
  <c r="F74" i="6" s="1"/>
  <c r="M108" i="6" l="1"/>
  <c r="O108" i="6"/>
  <c r="L109" i="6" s="1"/>
  <c r="G74" i="6"/>
  <c r="I74" i="6"/>
  <c r="F75" i="6" s="1"/>
  <c r="M109" i="6" l="1"/>
  <c r="O109" i="6" s="1"/>
  <c r="L110" i="6" s="1"/>
  <c r="G75" i="6"/>
  <c r="I75" i="6"/>
  <c r="F76" i="6" s="1"/>
  <c r="M110" i="6" l="1"/>
  <c r="O110" i="6"/>
  <c r="L111" i="6" s="1"/>
  <c r="G76" i="6"/>
  <c r="I76" i="6"/>
  <c r="F77" i="6" s="1"/>
  <c r="M111" i="6" l="1"/>
  <c r="O111" i="6"/>
  <c r="L112" i="6" s="1"/>
  <c r="G77" i="6"/>
  <c r="I77" i="6"/>
  <c r="F78" i="6" s="1"/>
  <c r="M112" i="6" l="1"/>
  <c r="O112" i="6" s="1"/>
  <c r="L113" i="6" s="1"/>
  <c r="G78" i="6"/>
  <c r="I78" i="6"/>
  <c r="F79" i="6" s="1"/>
  <c r="M113" i="6" l="1"/>
  <c r="O113" i="6"/>
  <c r="L114" i="6" s="1"/>
  <c r="G79" i="6"/>
  <c r="I79" i="6" s="1"/>
  <c r="F80" i="6" s="1"/>
  <c r="M114" i="6" l="1"/>
  <c r="O114" i="6" s="1"/>
  <c r="L115" i="6" s="1"/>
  <c r="G80" i="6"/>
  <c r="I80" i="6" s="1"/>
  <c r="F81" i="6" s="1"/>
  <c r="M115" i="6" l="1"/>
  <c r="O115" i="6" s="1"/>
  <c r="L116" i="6" s="1"/>
  <c r="G81" i="6"/>
  <c r="I81" i="6" s="1"/>
  <c r="F82" i="6" s="1"/>
  <c r="M116" i="6" l="1"/>
  <c r="O116" i="6" s="1"/>
  <c r="L117" i="6" s="1"/>
  <c r="G82" i="6"/>
  <c r="I82" i="6"/>
  <c r="F83" i="6" s="1"/>
  <c r="M117" i="6" l="1"/>
  <c r="O117" i="6" s="1"/>
  <c r="L118" i="6" s="1"/>
  <c r="G83" i="6"/>
  <c r="I83" i="6"/>
  <c r="F84" i="6" s="1"/>
  <c r="M118" i="6" l="1"/>
  <c r="O118" i="6" s="1"/>
  <c r="L119" i="6" s="1"/>
  <c r="G84" i="6"/>
  <c r="I84" i="6"/>
  <c r="F85" i="6" s="1"/>
  <c r="M119" i="6" l="1"/>
  <c r="O119" i="6" s="1"/>
  <c r="L120" i="6" s="1"/>
  <c r="G85" i="6"/>
  <c r="I85" i="6"/>
  <c r="F86" i="6" s="1"/>
  <c r="M120" i="6" l="1"/>
  <c r="O120" i="6" s="1"/>
  <c r="L121" i="6" s="1"/>
  <c r="G86" i="6"/>
  <c r="I86" i="6"/>
  <c r="F87" i="6" s="1"/>
  <c r="M121" i="6" l="1"/>
  <c r="O121" i="6"/>
  <c r="L122" i="6" s="1"/>
  <c r="G87" i="6"/>
  <c r="I87" i="6" s="1"/>
  <c r="F88" i="6" s="1"/>
  <c r="M122" i="6" l="1"/>
  <c r="O122" i="6"/>
  <c r="L123" i="6" s="1"/>
  <c r="G88" i="6"/>
  <c r="I88" i="6"/>
  <c r="F89" i="6" s="1"/>
  <c r="M123" i="6" l="1"/>
  <c r="O123" i="6"/>
  <c r="L124" i="6" s="1"/>
  <c r="G89" i="6"/>
  <c r="I89" i="6" s="1"/>
  <c r="F90" i="6" s="1"/>
  <c r="M124" i="6" l="1"/>
  <c r="O124" i="6"/>
  <c r="L125" i="6" s="1"/>
  <c r="G90" i="6"/>
  <c r="I90" i="6"/>
  <c r="F91" i="6" s="1"/>
  <c r="M125" i="6" l="1"/>
  <c r="O125" i="6" s="1"/>
  <c r="L126" i="6" s="1"/>
  <c r="G91" i="6"/>
  <c r="I91" i="6"/>
  <c r="F92" i="6" s="1"/>
  <c r="M126" i="6" l="1"/>
  <c r="O126" i="6"/>
  <c r="L127" i="6" s="1"/>
  <c r="G92" i="6"/>
  <c r="I92" i="6"/>
  <c r="F93" i="6" s="1"/>
  <c r="M127" i="6" l="1"/>
  <c r="O127" i="6"/>
  <c r="L128" i="6" s="1"/>
  <c r="G93" i="6"/>
  <c r="I93" i="6"/>
  <c r="F94" i="6" s="1"/>
  <c r="M128" i="6" l="1"/>
  <c r="O128" i="6" s="1"/>
  <c r="L129" i="6" s="1"/>
  <c r="G94" i="6"/>
  <c r="I94" i="6"/>
  <c r="F95" i="6" s="1"/>
  <c r="M129" i="6" l="1"/>
  <c r="O129" i="6"/>
  <c r="L130" i="6" s="1"/>
  <c r="G95" i="6"/>
  <c r="I95" i="6"/>
  <c r="F96" i="6" s="1"/>
  <c r="M130" i="6" l="1"/>
  <c r="O130" i="6" s="1"/>
  <c r="L131" i="6" s="1"/>
  <c r="G96" i="6"/>
  <c r="I96" i="6" s="1"/>
  <c r="F97" i="6" s="1"/>
  <c r="M131" i="6" l="1"/>
  <c r="O131" i="6" s="1"/>
  <c r="L132" i="6" s="1"/>
  <c r="I97" i="6"/>
  <c r="F98" i="6" s="1"/>
  <c r="G97" i="6"/>
  <c r="M132" i="6" l="1"/>
  <c r="O132" i="6"/>
  <c r="L133" i="6" s="1"/>
  <c r="G98" i="6"/>
  <c r="I98" i="6"/>
  <c r="F99" i="6" s="1"/>
  <c r="M133" i="6" l="1"/>
  <c r="O133" i="6" s="1"/>
  <c r="L134" i="6" s="1"/>
  <c r="G99" i="6"/>
  <c r="I99" i="6"/>
  <c r="F100" i="6" s="1"/>
  <c r="M134" i="6" l="1"/>
  <c r="O134" i="6" s="1"/>
  <c r="L135" i="6" s="1"/>
  <c r="G100" i="6"/>
  <c r="I100" i="6"/>
  <c r="F101" i="6" s="1"/>
  <c r="M135" i="6" l="1"/>
  <c r="O135" i="6"/>
  <c r="L136" i="6" s="1"/>
  <c r="G101" i="6"/>
  <c r="I101" i="6" s="1"/>
  <c r="F102" i="6" s="1"/>
  <c r="M136" i="6" l="1"/>
  <c r="O136" i="6" s="1"/>
  <c r="L137" i="6" s="1"/>
  <c r="G102" i="6"/>
  <c r="I102" i="6"/>
  <c r="F103" i="6" s="1"/>
  <c r="M137" i="6" l="1"/>
  <c r="O137" i="6"/>
  <c r="L138" i="6" s="1"/>
  <c r="G103" i="6"/>
  <c r="I103" i="6"/>
  <c r="F104" i="6" s="1"/>
  <c r="M138" i="6" l="1"/>
  <c r="O138" i="6"/>
  <c r="L139" i="6" s="1"/>
  <c r="G104" i="6"/>
  <c r="I104" i="6" s="1"/>
  <c r="F105" i="6" s="1"/>
  <c r="M139" i="6" l="1"/>
  <c r="O139" i="6"/>
  <c r="L140" i="6" s="1"/>
  <c r="I105" i="6"/>
  <c r="F106" i="6" s="1"/>
  <c r="G105" i="6"/>
  <c r="M140" i="6" l="1"/>
  <c r="O140" i="6"/>
  <c r="L141" i="6" s="1"/>
  <c r="G106" i="6"/>
  <c r="I106" i="6" s="1"/>
  <c r="F107" i="6" s="1"/>
  <c r="M141" i="6" l="1"/>
  <c r="O141" i="6" s="1"/>
  <c r="L142" i="6" s="1"/>
  <c r="G107" i="6"/>
  <c r="I107" i="6"/>
  <c r="F108" i="6" s="1"/>
  <c r="M142" i="6" l="1"/>
  <c r="O142" i="6" s="1"/>
  <c r="L143" i="6" s="1"/>
  <c r="G108" i="6"/>
  <c r="I108" i="6"/>
  <c r="F109" i="6" s="1"/>
  <c r="M143" i="6" l="1"/>
  <c r="O143" i="6"/>
  <c r="L144" i="6" s="1"/>
  <c r="G109" i="6"/>
  <c r="I109" i="6"/>
  <c r="F110" i="6" s="1"/>
  <c r="M144" i="6" l="1"/>
  <c r="O144" i="6" s="1"/>
  <c r="L145" i="6" s="1"/>
  <c r="G110" i="6"/>
  <c r="I110" i="6"/>
  <c r="F111" i="6" s="1"/>
  <c r="M145" i="6" l="1"/>
  <c r="O145" i="6"/>
  <c r="L146" i="6" s="1"/>
  <c r="G111" i="6"/>
  <c r="I111" i="6" s="1"/>
  <c r="F112" i="6" s="1"/>
  <c r="M146" i="6" l="1"/>
  <c r="O146" i="6"/>
  <c r="L147" i="6" s="1"/>
  <c r="G112" i="6"/>
  <c r="I112" i="6"/>
  <c r="F113" i="6" s="1"/>
  <c r="M147" i="6" l="1"/>
  <c r="O147" i="6"/>
  <c r="L148" i="6" s="1"/>
  <c r="G113" i="6"/>
  <c r="I113" i="6" s="1"/>
  <c r="F114" i="6" s="1"/>
  <c r="M148" i="6" l="1"/>
  <c r="O148" i="6"/>
  <c r="L149" i="6" s="1"/>
  <c r="G114" i="6"/>
  <c r="I114" i="6" s="1"/>
  <c r="F115" i="6" s="1"/>
  <c r="M149" i="6" l="1"/>
  <c r="O149" i="6" s="1"/>
  <c r="L150" i="6" s="1"/>
  <c r="I115" i="6"/>
  <c r="F116" i="6" s="1"/>
  <c r="G115" i="6"/>
  <c r="M150" i="6" l="1"/>
  <c r="O150" i="6"/>
  <c r="L151" i="6" s="1"/>
  <c r="G116" i="6"/>
  <c r="I116" i="6" s="1"/>
  <c r="F117" i="6" s="1"/>
  <c r="M151" i="6" l="1"/>
  <c r="O151" i="6"/>
  <c r="L152" i="6" s="1"/>
  <c r="G117" i="6"/>
  <c r="I117" i="6" s="1"/>
  <c r="F118" i="6" s="1"/>
  <c r="M152" i="6" l="1"/>
  <c r="O152" i="6" s="1"/>
  <c r="L153" i="6" s="1"/>
  <c r="G118" i="6"/>
  <c r="I118" i="6" s="1"/>
  <c r="F119" i="6" s="1"/>
  <c r="M153" i="6" l="1"/>
  <c r="O153" i="6"/>
  <c r="L154" i="6" s="1"/>
  <c r="G119" i="6"/>
  <c r="I119" i="6"/>
  <c r="F120" i="6" s="1"/>
  <c r="M154" i="6" l="1"/>
  <c r="O154" i="6"/>
  <c r="L155" i="6" s="1"/>
  <c r="G120" i="6"/>
  <c r="I120" i="6"/>
  <c r="F121" i="6" s="1"/>
  <c r="M155" i="6" l="1"/>
  <c r="O155" i="6"/>
  <c r="L156" i="6" s="1"/>
  <c r="G121" i="6"/>
  <c r="I121" i="6" s="1"/>
  <c r="F122" i="6" s="1"/>
  <c r="M156" i="6" l="1"/>
  <c r="O156" i="6"/>
  <c r="L157" i="6" s="1"/>
  <c r="G122" i="6"/>
  <c r="I122" i="6"/>
  <c r="F123" i="6" s="1"/>
  <c r="M157" i="6" l="1"/>
  <c r="O157" i="6" s="1"/>
  <c r="L158" i="6" s="1"/>
  <c r="G123" i="6"/>
  <c r="I123" i="6"/>
  <c r="F124" i="6" s="1"/>
  <c r="M158" i="6" l="1"/>
  <c r="O158" i="6"/>
  <c r="L159" i="6" s="1"/>
  <c r="G124" i="6"/>
  <c r="I124" i="6"/>
  <c r="F125" i="6" s="1"/>
  <c r="M159" i="6" l="1"/>
  <c r="O159" i="6"/>
  <c r="L160" i="6" s="1"/>
  <c r="G125" i="6"/>
  <c r="I125" i="6"/>
  <c r="F126" i="6" s="1"/>
  <c r="M160" i="6" l="1"/>
  <c r="O160" i="6" s="1"/>
  <c r="L161" i="6" s="1"/>
  <c r="G126" i="6"/>
  <c r="I126" i="6"/>
  <c r="F127" i="6" s="1"/>
  <c r="M161" i="6" l="1"/>
  <c r="O161" i="6" s="1"/>
  <c r="L162" i="6" s="1"/>
  <c r="G127" i="6"/>
  <c r="I127" i="6"/>
  <c r="F128" i="6" s="1"/>
  <c r="M162" i="6" l="1"/>
  <c r="O162" i="6"/>
  <c r="L163" i="6" s="1"/>
  <c r="G128" i="6"/>
  <c r="I128" i="6" s="1"/>
  <c r="F129" i="6" s="1"/>
  <c r="M163" i="6" l="1"/>
  <c r="O163" i="6" s="1"/>
  <c r="L164" i="6" s="1"/>
  <c r="G129" i="6"/>
  <c r="I129" i="6" s="1"/>
  <c r="F130" i="6" s="1"/>
  <c r="M164" i="6" l="1"/>
  <c r="O164" i="6"/>
  <c r="L165" i="6" s="1"/>
  <c r="G130" i="6"/>
  <c r="I130" i="6"/>
  <c r="F131" i="6" s="1"/>
  <c r="M165" i="6" l="1"/>
  <c r="O165" i="6" s="1"/>
  <c r="L166" i="6" s="1"/>
  <c r="G131" i="6"/>
  <c r="I131" i="6"/>
  <c r="F132" i="6" s="1"/>
  <c r="M166" i="6" l="1"/>
  <c r="O166" i="6"/>
  <c r="L167" i="6" s="1"/>
  <c r="G132" i="6"/>
  <c r="I132" i="6"/>
  <c r="F133" i="6" s="1"/>
  <c r="M167" i="6" l="1"/>
  <c r="O167" i="6"/>
  <c r="L168" i="6" s="1"/>
  <c r="G133" i="6"/>
  <c r="I133" i="6"/>
  <c r="F134" i="6" s="1"/>
  <c r="M168" i="6" l="1"/>
  <c r="O168" i="6" s="1"/>
  <c r="L169" i="6" s="1"/>
  <c r="G134" i="6"/>
  <c r="I134" i="6"/>
  <c r="F135" i="6" s="1"/>
  <c r="M169" i="6" l="1"/>
  <c r="O169" i="6" s="1"/>
  <c r="L170" i="6" s="1"/>
  <c r="G135" i="6"/>
  <c r="I135" i="6"/>
  <c r="F136" i="6" s="1"/>
  <c r="M170" i="6" l="1"/>
  <c r="O170" i="6"/>
  <c r="L171" i="6" s="1"/>
  <c r="G136" i="6"/>
  <c r="I136" i="6"/>
  <c r="F137" i="6" s="1"/>
  <c r="M171" i="6" l="1"/>
  <c r="O171" i="6" s="1"/>
  <c r="L172" i="6" s="1"/>
  <c r="G137" i="6"/>
  <c r="I137" i="6" s="1"/>
  <c r="F138" i="6" s="1"/>
  <c r="M172" i="6" l="1"/>
  <c r="O172" i="6"/>
  <c r="L173" i="6" s="1"/>
  <c r="G138" i="6"/>
  <c r="I138" i="6" s="1"/>
  <c r="F139" i="6" s="1"/>
  <c r="M173" i="6" l="1"/>
  <c r="O173" i="6" s="1"/>
  <c r="L174" i="6" s="1"/>
  <c r="G139" i="6"/>
  <c r="I139" i="6" s="1"/>
  <c r="F140" i="6" s="1"/>
  <c r="M174" i="6" l="1"/>
  <c r="O174" i="6"/>
  <c r="L175" i="6" s="1"/>
  <c r="G140" i="6"/>
  <c r="I140" i="6"/>
  <c r="F141" i="6" s="1"/>
  <c r="M175" i="6" l="1"/>
  <c r="O175" i="6"/>
  <c r="L176" i="6" s="1"/>
  <c r="G141" i="6"/>
  <c r="I141" i="6"/>
  <c r="F142" i="6" s="1"/>
  <c r="M176" i="6" l="1"/>
  <c r="O176" i="6" s="1"/>
  <c r="L177" i="6" s="1"/>
  <c r="G142" i="6"/>
  <c r="I142" i="6"/>
  <c r="F143" i="6" s="1"/>
  <c r="M177" i="6" l="1"/>
  <c r="O177" i="6"/>
  <c r="L178" i="6" s="1"/>
  <c r="G143" i="6"/>
  <c r="I143" i="6"/>
  <c r="F144" i="6" s="1"/>
  <c r="M178" i="6" l="1"/>
  <c r="O178" i="6"/>
  <c r="L179" i="6" s="1"/>
  <c r="G144" i="6"/>
  <c r="I144" i="6"/>
  <c r="F145" i="6" s="1"/>
  <c r="M179" i="6" l="1"/>
  <c r="O179" i="6"/>
  <c r="L180" i="6" s="1"/>
  <c r="G145" i="6"/>
  <c r="I145" i="6" s="1"/>
  <c r="F146" i="6" s="1"/>
  <c r="M180" i="6" l="1"/>
  <c r="O180" i="6"/>
  <c r="L181" i="6" s="1"/>
  <c r="G146" i="6"/>
  <c r="I146" i="6"/>
  <c r="F147" i="6" s="1"/>
  <c r="M181" i="6" l="1"/>
  <c r="O181" i="6" s="1"/>
  <c r="L182" i="6" s="1"/>
  <c r="G147" i="6"/>
  <c r="I147" i="6" s="1"/>
  <c r="F148" i="6" s="1"/>
  <c r="M182" i="6" l="1"/>
  <c r="O182" i="6"/>
  <c r="L183" i="6" s="1"/>
  <c r="G148" i="6"/>
  <c r="I148" i="6"/>
  <c r="F149" i="6" s="1"/>
  <c r="M183" i="6" l="1"/>
  <c r="O183" i="6"/>
  <c r="L184" i="6" s="1"/>
  <c r="G149" i="6"/>
  <c r="I149" i="6"/>
  <c r="F150" i="6" s="1"/>
  <c r="M184" i="6" l="1"/>
  <c r="O184" i="6" s="1"/>
  <c r="L185" i="6" s="1"/>
  <c r="G150" i="6"/>
  <c r="I150" i="6"/>
  <c r="F151" i="6" s="1"/>
  <c r="M185" i="6" l="1"/>
  <c r="O185" i="6"/>
  <c r="L186" i="6" s="1"/>
  <c r="G151" i="6"/>
  <c r="I151" i="6"/>
  <c r="F152" i="6" s="1"/>
  <c r="M186" i="6" l="1"/>
  <c r="O186" i="6" s="1"/>
  <c r="L187" i="6" s="1"/>
  <c r="G152" i="6"/>
  <c r="I152" i="6"/>
  <c r="F153" i="6" s="1"/>
  <c r="M187" i="6" l="1"/>
  <c r="O187" i="6"/>
  <c r="L188" i="6" s="1"/>
  <c r="G153" i="6"/>
  <c r="I153" i="6" s="1"/>
  <c r="F154" i="6" s="1"/>
  <c r="M188" i="6" l="1"/>
  <c r="O188" i="6" s="1"/>
  <c r="L189" i="6" s="1"/>
  <c r="G154" i="6"/>
  <c r="I154" i="6"/>
  <c r="F155" i="6" s="1"/>
  <c r="O189" i="6" l="1"/>
  <c r="L190" i="6" s="1"/>
  <c r="M189" i="6"/>
  <c r="G155" i="6"/>
  <c r="I155" i="6" s="1"/>
  <c r="F156" i="6" s="1"/>
  <c r="M190" i="6" l="1"/>
  <c r="O190" i="6"/>
  <c r="L191" i="6" s="1"/>
  <c r="G156" i="6"/>
  <c r="I156" i="6"/>
  <c r="F157" i="6" s="1"/>
  <c r="M191" i="6" l="1"/>
  <c r="O191" i="6" s="1"/>
  <c r="L192" i="6" s="1"/>
  <c r="G157" i="6"/>
  <c r="I157" i="6"/>
  <c r="F158" i="6" s="1"/>
  <c r="M192" i="6" l="1"/>
  <c r="O192" i="6" s="1"/>
  <c r="L193" i="6" s="1"/>
  <c r="G158" i="6"/>
  <c r="I158" i="6"/>
  <c r="F159" i="6" s="1"/>
  <c r="M193" i="6" l="1"/>
  <c r="O193" i="6"/>
  <c r="L194" i="6" s="1"/>
  <c r="G159" i="6"/>
  <c r="I159" i="6"/>
  <c r="F160" i="6" s="1"/>
  <c r="M194" i="6" l="1"/>
  <c r="O194" i="6" s="1"/>
  <c r="L195" i="6" s="1"/>
  <c r="G160" i="6"/>
  <c r="I160" i="6"/>
  <c r="F161" i="6" s="1"/>
  <c r="M195" i="6" l="1"/>
  <c r="O195" i="6"/>
  <c r="L196" i="6" s="1"/>
  <c r="G161" i="6"/>
  <c r="I161" i="6" s="1"/>
  <c r="F162" i="6" s="1"/>
  <c r="M196" i="6" l="1"/>
  <c r="O196" i="6"/>
  <c r="L197" i="6" s="1"/>
  <c r="G162" i="6"/>
  <c r="I162" i="6"/>
  <c r="F163" i="6" s="1"/>
  <c r="M197" i="6" l="1"/>
  <c r="O197" i="6" s="1"/>
  <c r="L198" i="6" s="1"/>
  <c r="G163" i="6"/>
  <c r="I163" i="6" s="1"/>
  <c r="F164" i="6" s="1"/>
  <c r="M198" i="6" l="1"/>
  <c r="O198" i="6" s="1"/>
  <c r="L199" i="6" s="1"/>
  <c r="G164" i="6"/>
  <c r="I164" i="6"/>
  <c r="F165" i="6" s="1"/>
  <c r="M199" i="6" l="1"/>
  <c r="O199" i="6" s="1"/>
  <c r="L200" i="6" s="1"/>
  <c r="G165" i="6"/>
  <c r="I165" i="6"/>
  <c r="F166" i="6" s="1"/>
  <c r="M200" i="6" l="1"/>
  <c r="O200" i="6" s="1"/>
  <c r="L201" i="6" s="1"/>
  <c r="G166" i="6"/>
  <c r="I166" i="6" s="1"/>
  <c r="F167" i="6" s="1"/>
  <c r="M201" i="6" l="1"/>
  <c r="O201" i="6" s="1"/>
  <c r="L202" i="6" s="1"/>
  <c r="G167" i="6"/>
  <c r="I167" i="6"/>
  <c r="F168" i="6" s="1"/>
  <c r="M202" i="6" l="1"/>
  <c r="O202" i="6" s="1"/>
  <c r="L203" i="6" s="1"/>
  <c r="G168" i="6"/>
  <c r="I168" i="6"/>
  <c r="F169" i="6" s="1"/>
  <c r="O203" i="6" l="1"/>
  <c r="L204" i="6" s="1"/>
  <c r="M203" i="6"/>
  <c r="G169" i="6"/>
  <c r="I169" i="6" s="1"/>
  <c r="F170" i="6" s="1"/>
  <c r="M204" i="6" l="1"/>
  <c r="O204" i="6" s="1"/>
  <c r="L205" i="6" s="1"/>
  <c r="G170" i="6"/>
  <c r="I170" i="6"/>
  <c r="F171" i="6" s="1"/>
  <c r="O205" i="6" l="1"/>
  <c r="L206" i="6" s="1"/>
  <c r="M205" i="6"/>
  <c r="G171" i="6"/>
  <c r="I171" i="6" s="1"/>
  <c r="F172" i="6" s="1"/>
  <c r="O206" i="6" l="1"/>
  <c r="L207" i="6" s="1"/>
  <c r="M206" i="6"/>
  <c r="G172" i="6"/>
  <c r="I172" i="6"/>
  <c r="F173" i="6" s="1"/>
  <c r="M207" i="6" l="1"/>
  <c r="O207" i="6" s="1"/>
  <c r="L208" i="6" s="1"/>
  <c r="G173" i="6"/>
  <c r="I173" i="6"/>
  <c r="F174" i="6" s="1"/>
  <c r="O208" i="6" l="1"/>
  <c r="L209" i="6" s="1"/>
  <c r="M208" i="6"/>
  <c r="G174" i="6"/>
  <c r="I174" i="6"/>
  <c r="F175" i="6" s="1"/>
  <c r="M209" i="6" l="1"/>
  <c r="O209" i="6"/>
  <c r="L210" i="6" s="1"/>
  <c r="G175" i="6"/>
  <c r="I175" i="6"/>
  <c r="F176" i="6" s="1"/>
  <c r="M210" i="6" l="1"/>
  <c r="O210" i="6" s="1"/>
  <c r="L211" i="6" s="1"/>
  <c r="G176" i="6"/>
  <c r="I176" i="6"/>
  <c r="F177" i="6" s="1"/>
  <c r="M211" i="6" l="1"/>
  <c r="O211" i="6" s="1"/>
  <c r="L212" i="6" s="1"/>
  <c r="G177" i="6"/>
  <c r="I177" i="6" s="1"/>
  <c r="F178" i="6" s="1"/>
  <c r="M212" i="6" l="1"/>
  <c r="O212" i="6"/>
  <c r="L213" i="6" s="1"/>
  <c r="G178" i="6"/>
  <c r="I178" i="6" s="1"/>
  <c r="F179" i="6" s="1"/>
  <c r="M213" i="6" l="1"/>
  <c r="O213" i="6" s="1"/>
  <c r="L214" i="6" s="1"/>
  <c r="G179" i="6"/>
  <c r="I179" i="6"/>
  <c r="F180" i="6" s="1"/>
  <c r="M214" i="6" l="1"/>
  <c r="O214" i="6"/>
  <c r="L215" i="6" s="1"/>
  <c r="G180" i="6"/>
  <c r="I180" i="6"/>
  <c r="F181" i="6" s="1"/>
  <c r="M215" i="6" l="1"/>
  <c r="O215" i="6" s="1"/>
  <c r="L216" i="6" s="1"/>
  <c r="G181" i="6"/>
  <c r="I181" i="6"/>
  <c r="F182" i="6" s="1"/>
  <c r="M216" i="6" l="1"/>
  <c r="O216" i="6" s="1"/>
  <c r="L217" i="6" s="1"/>
  <c r="G182" i="6"/>
  <c r="I182" i="6"/>
  <c r="F183" i="6" s="1"/>
  <c r="M217" i="6" l="1"/>
  <c r="O217" i="6" s="1"/>
  <c r="L218" i="6" s="1"/>
  <c r="G183" i="6"/>
  <c r="I183" i="6"/>
  <c r="F184" i="6" s="1"/>
  <c r="M218" i="6" l="1"/>
  <c r="O218" i="6"/>
  <c r="L219" i="6" s="1"/>
  <c r="G184" i="6"/>
  <c r="I184" i="6"/>
  <c r="F185" i="6" s="1"/>
  <c r="M219" i="6" l="1"/>
  <c r="O219" i="6"/>
  <c r="L220" i="6" s="1"/>
  <c r="G185" i="6"/>
  <c r="I185" i="6" s="1"/>
  <c r="F186" i="6" s="1"/>
  <c r="M220" i="6" l="1"/>
  <c r="O220" i="6"/>
  <c r="L221" i="6" s="1"/>
  <c r="G186" i="6"/>
  <c r="I186" i="6"/>
  <c r="F187" i="6" s="1"/>
  <c r="M221" i="6" l="1"/>
  <c r="O221" i="6" s="1"/>
  <c r="L222" i="6" s="1"/>
  <c r="G187" i="6"/>
  <c r="I187" i="6" s="1"/>
  <c r="F188" i="6" s="1"/>
  <c r="M222" i="6" l="1"/>
  <c r="O222" i="6"/>
  <c r="L223" i="6" s="1"/>
  <c r="G188" i="6"/>
  <c r="I188" i="6" s="1"/>
  <c r="F189" i="6" s="1"/>
  <c r="M223" i="6" l="1"/>
  <c r="O223" i="6"/>
  <c r="L224" i="6" s="1"/>
  <c r="G189" i="6"/>
  <c r="I189" i="6" s="1"/>
  <c r="F190" i="6" s="1"/>
  <c r="M224" i="6" l="1"/>
  <c r="O224" i="6" s="1"/>
  <c r="L225" i="6" s="1"/>
  <c r="G190" i="6"/>
  <c r="I190" i="6" s="1"/>
  <c r="F191" i="6" s="1"/>
  <c r="M225" i="6" l="1"/>
  <c r="O225" i="6" s="1"/>
  <c r="L226" i="6" s="1"/>
  <c r="G191" i="6"/>
  <c r="I191" i="6"/>
  <c r="F192" i="6" s="1"/>
  <c r="M226" i="6" l="1"/>
  <c r="O226" i="6"/>
  <c r="L227" i="6" s="1"/>
  <c r="G192" i="6"/>
  <c r="I192" i="6"/>
  <c r="F193" i="6" s="1"/>
  <c r="M227" i="6" l="1"/>
  <c r="O227" i="6" s="1"/>
  <c r="L228" i="6" s="1"/>
  <c r="G193" i="6"/>
  <c r="I193" i="6"/>
  <c r="F194" i="6" s="1"/>
  <c r="M228" i="6" l="1"/>
  <c r="O228" i="6" s="1"/>
  <c r="L229" i="6" s="1"/>
  <c r="G194" i="6"/>
  <c r="I194" i="6"/>
  <c r="F195" i="6" s="1"/>
  <c r="M229" i="6" l="1"/>
  <c r="O229" i="6" s="1"/>
  <c r="L230" i="6" s="1"/>
  <c r="G195" i="6"/>
  <c r="I195" i="6"/>
  <c r="F196" i="6" s="1"/>
  <c r="M230" i="6" l="1"/>
  <c r="O230" i="6"/>
  <c r="L231" i="6" s="1"/>
  <c r="G196" i="6"/>
  <c r="I196" i="6" s="1"/>
  <c r="F197" i="6" s="1"/>
  <c r="M231" i="6" l="1"/>
  <c r="O231" i="6" s="1"/>
  <c r="L232" i="6" s="1"/>
  <c r="G197" i="6"/>
  <c r="I197" i="6" s="1"/>
  <c r="F198" i="6" s="1"/>
  <c r="M232" i="6" l="1"/>
  <c r="O232" i="6" s="1"/>
  <c r="L233" i="6" s="1"/>
  <c r="G198" i="6"/>
  <c r="I198" i="6"/>
  <c r="F199" i="6" s="1"/>
  <c r="M233" i="6" l="1"/>
  <c r="O233" i="6" s="1"/>
  <c r="L234" i="6" s="1"/>
  <c r="G199" i="6"/>
  <c r="I199" i="6"/>
  <c r="F200" i="6" s="1"/>
  <c r="M234" i="6" l="1"/>
  <c r="O234" i="6"/>
  <c r="L235" i="6" s="1"/>
  <c r="G200" i="6"/>
  <c r="I200" i="6"/>
  <c r="F201" i="6" s="1"/>
  <c r="M235" i="6" l="1"/>
  <c r="O235" i="6" s="1"/>
  <c r="L236" i="6" s="1"/>
  <c r="G201" i="6"/>
  <c r="I201" i="6"/>
  <c r="F202" i="6" s="1"/>
  <c r="M236" i="6" l="1"/>
  <c r="O236" i="6"/>
  <c r="L237" i="6" s="1"/>
  <c r="G202" i="6"/>
  <c r="I202" i="6"/>
  <c r="F203" i="6" s="1"/>
  <c r="M237" i="6" l="1"/>
  <c r="O237" i="6" s="1"/>
  <c r="L238" i="6" s="1"/>
  <c r="G203" i="6"/>
  <c r="I203" i="6"/>
  <c r="F204" i="6" s="1"/>
  <c r="M238" i="6" l="1"/>
  <c r="O238" i="6"/>
  <c r="L239" i="6" s="1"/>
  <c r="G204" i="6"/>
  <c r="I204" i="6" s="1"/>
  <c r="F205" i="6" s="1"/>
  <c r="M239" i="6" l="1"/>
  <c r="O239" i="6"/>
  <c r="L240" i="6" s="1"/>
  <c r="G205" i="6"/>
  <c r="I205" i="6" s="1"/>
  <c r="F206" i="6" s="1"/>
  <c r="M240" i="6" l="1"/>
  <c r="O240" i="6" s="1"/>
  <c r="L241" i="6" s="1"/>
  <c r="G206" i="6"/>
  <c r="I206" i="6"/>
  <c r="F207" i="6" s="1"/>
  <c r="M241" i="6" l="1"/>
  <c r="O241" i="6" s="1"/>
  <c r="L242" i="6" s="1"/>
  <c r="G207" i="6"/>
  <c r="I207" i="6"/>
  <c r="F208" i="6" s="1"/>
  <c r="M242" i="6" l="1"/>
  <c r="O242" i="6"/>
  <c r="L243" i="6" s="1"/>
  <c r="G208" i="6"/>
  <c r="I208" i="6"/>
  <c r="F209" i="6" s="1"/>
  <c r="M243" i="6" l="1"/>
  <c r="O243" i="6"/>
  <c r="L244" i="6" s="1"/>
  <c r="G209" i="6"/>
  <c r="I209" i="6"/>
  <c r="F210" i="6" s="1"/>
  <c r="M244" i="6" l="1"/>
  <c r="O244" i="6"/>
  <c r="L245" i="6" s="1"/>
  <c r="G210" i="6"/>
  <c r="I210" i="6"/>
  <c r="F211" i="6" s="1"/>
  <c r="O245" i="6" l="1"/>
  <c r="L246" i="6" s="1"/>
  <c r="M245" i="6"/>
  <c r="G211" i="6"/>
  <c r="I211" i="6"/>
  <c r="F212" i="6" s="1"/>
  <c r="M246" i="6" l="1"/>
  <c r="O246" i="6"/>
  <c r="L247" i="6" s="1"/>
  <c r="G212" i="6"/>
  <c r="I212" i="6" s="1"/>
  <c r="F213" i="6" s="1"/>
  <c r="M247" i="6" l="1"/>
  <c r="O247" i="6"/>
  <c r="L248" i="6" s="1"/>
  <c r="G213" i="6"/>
  <c r="I213" i="6"/>
  <c r="F214" i="6" s="1"/>
  <c r="M248" i="6" l="1"/>
  <c r="O248" i="6" s="1"/>
  <c r="L249" i="6" s="1"/>
  <c r="G214" i="6"/>
  <c r="I214" i="6"/>
  <c r="F215" i="6" s="1"/>
  <c r="M249" i="6" l="1"/>
  <c r="O249" i="6"/>
  <c r="L250" i="6" s="1"/>
  <c r="G215" i="6"/>
  <c r="I215" i="6"/>
  <c r="F216" i="6" s="1"/>
  <c r="M250" i="6" l="1"/>
  <c r="O250" i="6"/>
  <c r="L251" i="6" s="1"/>
  <c r="G216" i="6"/>
  <c r="I216" i="6"/>
  <c r="F217" i="6" s="1"/>
  <c r="M251" i="6" l="1"/>
  <c r="O251" i="6"/>
  <c r="L252" i="6" s="1"/>
  <c r="G217" i="6"/>
  <c r="I217" i="6"/>
  <c r="F218" i="6" s="1"/>
  <c r="M252" i="6" l="1"/>
  <c r="O252" i="6" s="1"/>
  <c r="L253" i="6" s="1"/>
  <c r="G218" i="6"/>
  <c r="I218" i="6"/>
  <c r="F219" i="6" s="1"/>
  <c r="M253" i="6" l="1"/>
  <c r="O253" i="6" s="1"/>
  <c r="L254" i="6" s="1"/>
  <c r="G219" i="6"/>
  <c r="I219" i="6"/>
  <c r="F220" i="6" s="1"/>
  <c r="M254" i="6" l="1"/>
  <c r="O254" i="6"/>
  <c r="L255" i="6" s="1"/>
  <c r="G220" i="6"/>
  <c r="I220" i="6" s="1"/>
  <c r="F221" i="6" s="1"/>
  <c r="M255" i="6" l="1"/>
  <c r="O255" i="6"/>
  <c r="L256" i="6" s="1"/>
  <c r="G221" i="6"/>
  <c r="I221" i="6"/>
  <c r="F222" i="6" s="1"/>
  <c r="M256" i="6" l="1"/>
  <c r="O256" i="6" s="1"/>
  <c r="L257" i="6" s="1"/>
  <c r="G222" i="6"/>
  <c r="I222" i="6"/>
  <c r="F223" i="6" s="1"/>
  <c r="M257" i="6" l="1"/>
  <c r="O257" i="6" s="1"/>
  <c r="L258" i="6" s="1"/>
  <c r="G223" i="6"/>
  <c r="I223" i="6"/>
  <c r="F224" i="6" s="1"/>
  <c r="M258" i="6" l="1"/>
  <c r="O258" i="6" s="1"/>
  <c r="L259" i="6" s="1"/>
  <c r="G224" i="6"/>
  <c r="I224" i="6"/>
  <c r="F225" i="6" s="1"/>
  <c r="M259" i="6" l="1"/>
  <c r="O259" i="6" s="1"/>
  <c r="L260" i="6" s="1"/>
  <c r="G225" i="6"/>
  <c r="I225" i="6"/>
  <c r="F226" i="6" s="1"/>
  <c r="M260" i="6" l="1"/>
  <c r="O260" i="6"/>
  <c r="L261" i="6" s="1"/>
  <c r="G226" i="6"/>
  <c r="I226" i="6"/>
  <c r="F227" i="6" s="1"/>
  <c r="O261" i="6" l="1"/>
  <c r="L262" i="6" s="1"/>
  <c r="M261" i="6"/>
  <c r="G227" i="6"/>
  <c r="I227" i="6"/>
  <c r="F228" i="6" s="1"/>
  <c r="O262" i="6" l="1"/>
  <c r="L263" i="6" s="1"/>
  <c r="M262" i="6"/>
  <c r="G228" i="6"/>
  <c r="I228" i="6" s="1"/>
  <c r="F229" i="6" s="1"/>
  <c r="M263" i="6" l="1"/>
  <c r="O263" i="6"/>
  <c r="L264" i="6" s="1"/>
  <c r="G229" i="6"/>
  <c r="I229" i="6"/>
  <c r="F230" i="6" s="1"/>
  <c r="M264" i="6" l="1"/>
  <c r="O264" i="6" s="1"/>
  <c r="L265" i="6" s="1"/>
  <c r="G230" i="6"/>
  <c r="I230" i="6"/>
  <c r="F231" i="6" s="1"/>
  <c r="M265" i="6" l="1"/>
  <c r="O265" i="6" s="1"/>
  <c r="L266" i="6" s="1"/>
  <c r="G231" i="6"/>
  <c r="I231" i="6"/>
  <c r="F232" i="6" s="1"/>
  <c r="M266" i="6" l="1"/>
  <c r="O266" i="6" s="1"/>
  <c r="L267" i="6" s="1"/>
  <c r="G232" i="6"/>
  <c r="I232" i="6"/>
  <c r="F233" i="6" s="1"/>
  <c r="M267" i="6" l="1"/>
  <c r="O267" i="6" s="1"/>
  <c r="L268" i="6" s="1"/>
  <c r="G233" i="6"/>
  <c r="I233" i="6" s="1"/>
  <c r="F234" i="6" s="1"/>
  <c r="M268" i="6" l="1"/>
  <c r="O268" i="6" s="1"/>
  <c r="L269" i="6" s="1"/>
  <c r="G234" i="6"/>
  <c r="I234" i="6"/>
  <c r="F235" i="6" s="1"/>
  <c r="O269" i="6" l="1"/>
  <c r="L270" i="6" s="1"/>
  <c r="M269" i="6"/>
  <c r="G235" i="6"/>
  <c r="I235" i="6"/>
  <c r="F236" i="6" s="1"/>
  <c r="O270" i="6" l="1"/>
  <c r="L271" i="6" s="1"/>
  <c r="M270" i="6"/>
  <c r="G236" i="6"/>
  <c r="I236" i="6" s="1"/>
  <c r="F237" i="6" s="1"/>
  <c r="M271" i="6" l="1"/>
  <c r="O271" i="6"/>
  <c r="L272" i="6" s="1"/>
  <c r="G237" i="6"/>
  <c r="I237" i="6"/>
  <c r="F238" i="6" s="1"/>
  <c r="M272" i="6" l="1"/>
  <c r="O272" i="6" s="1"/>
  <c r="L273" i="6" s="1"/>
  <c r="G238" i="6"/>
  <c r="I238" i="6"/>
  <c r="F239" i="6" s="1"/>
  <c r="M273" i="6" l="1"/>
  <c r="O273" i="6"/>
  <c r="L274" i="6" s="1"/>
  <c r="G239" i="6"/>
  <c r="I239" i="6"/>
  <c r="F240" i="6" s="1"/>
  <c r="M274" i="6" l="1"/>
  <c r="O274" i="6"/>
  <c r="L275" i="6" s="1"/>
  <c r="G240" i="6"/>
  <c r="I240" i="6"/>
  <c r="F241" i="6" s="1"/>
  <c r="M275" i="6" l="1"/>
  <c r="O275" i="6"/>
  <c r="L276" i="6" s="1"/>
  <c r="G241" i="6"/>
  <c r="I241" i="6"/>
  <c r="F242" i="6" s="1"/>
  <c r="M276" i="6" l="1"/>
  <c r="O276" i="6" s="1"/>
  <c r="L277" i="6" s="1"/>
  <c r="G242" i="6"/>
  <c r="I242" i="6"/>
  <c r="F243" i="6" s="1"/>
  <c r="M277" i="6" l="1"/>
  <c r="O277" i="6"/>
  <c r="L278" i="6" s="1"/>
  <c r="G243" i="6"/>
  <c r="I243" i="6"/>
  <c r="F244" i="6" s="1"/>
  <c r="M278" i="6" l="1"/>
  <c r="O278" i="6" s="1"/>
  <c r="L279" i="6" s="1"/>
  <c r="G244" i="6"/>
  <c r="I244" i="6" s="1"/>
  <c r="F245" i="6" s="1"/>
  <c r="M279" i="6" l="1"/>
  <c r="O279" i="6"/>
  <c r="L280" i="6" s="1"/>
  <c r="G245" i="6"/>
  <c r="I245" i="6" s="1"/>
  <c r="F246" i="6" s="1"/>
  <c r="M280" i="6" l="1"/>
  <c r="O280" i="6" s="1"/>
  <c r="L281" i="6" s="1"/>
  <c r="G246" i="6"/>
  <c r="I246" i="6"/>
  <c r="F247" i="6" s="1"/>
  <c r="M281" i="6" l="1"/>
  <c r="O281" i="6"/>
  <c r="L282" i="6" s="1"/>
  <c r="G247" i="6"/>
  <c r="I247" i="6"/>
  <c r="F248" i="6" s="1"/>
  <c r="M282" i="6" l="1"/>
  <c r="O282" i="6"/>
  <c r="L283" i="6" s="1"/>
  <c r="G248" i="6"/>
  <c r="I248" i="6" s="1"/>
  <c r="F249" i="6" s="1"/>
  <c r="M283" i="6" l="1"/>
  <c r="O283" i="6" s="1"/>
  <c r="L284" i="6" s="1"/>
  <c r="G249" i="6"/>
  <c r="I249" i="6"/>
  <c r="F250" i="6" s="1"/>
  <c r="M284" i="6" l="1"/>
  <c r="O284" i="6"/>
  <c r="L285" i="6" s="1"/>
  <c r="G250" i="6"/>
  <c r="I250" i="6"/>
  <c r="F251" i="6" s="1"/>
  <c r="M285" i="6" l="1"/>
  <c r="O285" i="6" s="1"/>
  <c r="L286" i="6" s="1"/>
  <c r="G251" i="6"/>
  <c r="I251" i="6"/>
  <c r="F252" i="6" s="1"/>
  <c r="M286" i="6" l="1"/>
  <c r="O286" i="6"/>
  <c r="L287" i="6" s="1"/>
  <c r="G252" i="6"/>
  <c r="I252" i="6" s="1"/>
  <c r="F253" i="6" s="1"/>
  <c r="M287" i="6" l="1"/>
  <c r="O287" i="6" s="1"/>
  <c r="L288" i="6" s="1"/>
  <c r="G253" i="6"/>
  <c r="I253" i="6"/>
  <c r="F254" i="6" s="1"/>
  <c r="M288" i="6" l="1"/>
  <c r="O288" i="6" s="1"/>
  <c r="L289" i="6" s="1"/>
  <c r="G254" i="6"/>
  <c r="I254" i="6"/>
  <c r="F255" i="6" s="1"/>
  <c r="M289" i="6" l="1"/>
  <c r="O289" i="6" s="1"/>
  <c r="L290" i="6" s="1"/>
  <c r="G255" i="6"/>
  <c r="I255" i="6"/>
  <c r="F256" i="6" s="1"/>
  <c r="M290" i="6" l="1"/>
  <c r="O290" i="6"/>
  <c r="L291" i="6" s="1"/>
  <c r="G256" i="6"/>
  <c r="I256" i="6"/>
  <c r="F257" i="6" s="1"/>
  <c r="M291" i="6" l="1"/>
  <c r="O291" i="6"/>
  <c r="L292" i="6" s="1"/>
  <c r="G257" i="6"/>
  <c r="I257" i="6"/>
  <c r="F258" i="6" s="1"/>
  <c r="O292" i="6" l="1"/>
  <c r="L293" i="6" s="1"/>
  <c r="M292" i="6"/>
  <c r="G258" i="6"/>
  <c r="I258" i="6" s="1"/>
  <c r="F259" i="6" s="1"/>
  <c r="O293" i="6" l="1"/>
  <c r="L294" i="6" s="1"/>
  <c r="M293" i="6"/>
  <c r="G259" i="6"/>
  <c r="I259" i="6"/>
  <c r="F260" i="6" s="1"/>
  <c r="M294" i="6" l="1"/>
  <c r="O294" i="6" s="1"/>
  <c r="L295" i="6" s="1"/>
  <c r="G260" i="6"/>
  <c r="I260" i="6" s="1"/>
  <c r="F261" i="6" s="1"/>
  <c r="O295" i="6" l="1"/>
  <c r="L296" i="6" s="1"/>
  <c r="M295" i="6"/>
  <c r="G261" i="6"/>
  <c r="I261" i="6"/>
  <c r="F262" i="6" s="1"/>
  <c r="M296" i="6" l="1"/>
  <c r="O296" i="6" s="1"/>
  <c r="L297" i="6" s="1"/>
  <c r="G262" i="6"/>
  <c r="I262" i="6"/>
  <c r="F263" i="6" s="1"/>
  <c r="M297" i="6" l="1"/>
  <c r="O297" i="6"/>
  <c r="L298" i="6" s="1"/>
  <c r="G263" i="6"/>
  <c r="I263" i="6"/>
  <c r="F264" i="6" s="1"/>
  <c r="M298" i="6" l="1"/>
  <c r="O298" i="6" s="1"/>
  <c r="L299" i="6" s="1"/>
  <c r="G264" i="6"/>
  <c r="I264" i="6"/>
  <c r="F265" i="6" s="1"/>
  <c r="M299" i="6" l="1"/>
  <c r="O299" i="6"/>
  <c r="L300" i="6" s="1"/>
  <c r="G265" i="6"/>
  <c r="I265" i="6" s="1"/>
  <c r="F266" i="6" s="1"/>
  <c r="M300" i="6" l="1"/>
  <c r="O300" i="6" s="1"/>
  <c r="L301" i="6" s="1"/>
  <c r="G266" i="6"/>
  <c r="I266" i="6" s="1"/>
  <c r="F267" i="6" s="1"/>
  <c r="M301" i="6" l="1"/>
  <c r="O301" i="6"/>
  <c r="L302" i="6" s="1"/>
  <c r="G267" i="6"/>
  <c r="I267" i="6" s="1"/>
  <c r="F268" i="6" s="1"/>
  <c r="M302" i="6" l="1"/>
  <c r="O302" i="6" s="1"/>
  <c r="L303" i="6" s="1"/>
  <c r="G268" i="6"/>
  <c r="I268" i="6" s="1"/>
  <c r="F269" i="6" s="1"/>
  <c r="M303" i="6" l="1"/>
  <c r="O303" i="6" s="1"/>
  <c r="L304" i="6" s="1"/>
  <c r="G269" i="6"/>
  <c r="I269" i="6"/>
  <c r="F270" i="6" s="1"/>
  <c r="M304" i="6" l="1"/>
  <c r="O304" i="6"/>
  <c r="L305" i="6" s="1"/>
  <c r="G270" i="6"/>
  <c r="I270" i="6" s="1"/>
  <c r="F271" i="6" s="1"/>
  <c r="M305" i="6" l="1"/>
  <c r="O305" i="6"/>
  <c r="L306" i="6" s="1"/>
  <c r="G271" i="6"/>
  <c r="I271" i="6"/>
  <c r="F272" i="6" s="1"/>
  <c r="M306" i="6" l="1"/>
  <c r="O306" i="6"/>
  <c r="L307" i="6" s="1"/>
  <c r="G272" i="6"/>
  <c r="I272" i="6"/>
  <c r="F273" i="6" s="1"/>
  <c r="M307" i="6" l="1"/>
  <c r="O307" i="6"/>
  <c r="L308" i="6" s="1"/>
  <c r="G273" i="6"/>
  <c r="I273" i="6"/>
  <c r="F274" i="6" s="1"/>
  <c r="M308" i="6" l="1"/>
  <c r="O308" i="6" s="1"/>
  <c r="L309" i="6" s="1"/>
  <c r="G274" i="6"/>
  <c r="I274" i="6"/>
  <c r="F275" i="6" s="1"/>
  <c r="M309" i="6" l="1"/>
  <c r="O309" i="6"/>
  <c r="L310" i="6" s="1"/>
  <c r="G275" i="6"/>
  <c r="I275" i="6"/>
  <c r="F276" i="6" s="1"/>
  <c r="M310" i="6" l="1"/>
  <c r="O310" i="6"/>
  <c r="L311" i="6" s="1"/>
  <c r="G276" i="6"/>
  <c r="I276" i="6" s="1"/>
  <c r="F277" i="6" s="1"/>
  <c r="M311" i="6" l="1"/>
  <c r="O311" i="6" s="1"/>
  <c r="L312" i="6" s="1"/>
  <c r="G277" i="6"/>
  <c r="I277" i="6"/>
  <c r="F278" i="6" s="1"/>
  <c r="M312" i="6" l="1"/>
  <c r="O312" i="6"/>
  <c r="L313" i="6" s="1"/>
  <c r="G278" i="6"/>
  <c r="I278" i="6"/>
  <c r="F279" i="6" s="1"/>
  <c r="M313" i="6" l="1"/>
  <c r="O313" i="6"/>
  <c r="L314" i="6" s="1"/>
  <c r="G279" i="6"/>
  <c r="I279" i="6"/>
  <c r="F280" i="6" s="1"/>
  <c r="M314" i="6" l="1"/>
  <c r="O314" i="6"/>
  <c r="L315" i="6" s="1"/>
  <c r="G280" i="6"/>
  <c r="I280" i="6"/>
  <c r="F281" i="6" s="1"/>
  <c r="M315" i="6" l="1"/>
  <c r="O315" i="6"/>
  <c r="L316" i="6" s="1"/>
  <c r="G281" i="6"/>
  <c r="I281" i="6" s="1"/>
  <c r="F282" i="6" s="1"/>
  <c r="M316" i="6" l="1"/>
  <c r="O316" i="6" s="1"/>
  <c r="L317" i="6" s="1"/>
  <c r="G282" i="6"/>
  <c r="I282" i="6"/>
  <c r="F283" i="6" s="1"/>
  <c r="M317" i="6" l="1"/>
  <c r="O317" i="6"/>
  <c r="L318" i="6" s="1"/>
  <c r="G283" i="6"/>
  <c r="I283" i="6"/>
  <c r="F284" i="6" s="1"/>
  <c r="M318" i="6" l="1"/>
  <c r="O318" i="6"/>
  <c r="L319" i="6" s="1"/>
  <c r="G284" i="6"/>
  <c r="I284" i="6" s="1"/>
  <c r="F285" i="6" s="1"/>
  <c r="M319" i="6" l="1"/>
  <c r="O319" i="6" s="1"/>
  <c r="L320" i="6" s="1"/>
  <c r="G285" i="6"/>
  <c r="I285" i="6"/>
  <c r="F286" i="6" s="1"/>
  <c r="M320" i="6" l="1"/>
  <c r="O320" i="6"/>
  <c r="L321" i="6" s="1"/>
  <c r="G286" i="6"/>
  <c r="I286" i="6"/>
  <c r="F287" i="6" s="1"/>
  <c r="M321" i="6" l="1"/>
  <c r="O321" i="6" s="1"/>
  <c r="G287" i="6"/>
  <c r="I287" i="6"/>
  <c r="F288" i="6" s="1"/>
  <c r="G288" i="6" l="1"/>
  <c r="I288" i="6"/>
  <c r="F289" i="6" s="1"/>
  <c r="G289" i="6" l="1"/>
  <c r="I289" i="6"/>
  <c r="F290" i="6" s="1"/>
  <c r="G290" i="6" l="1"/>
  <c r="I290" i="6"/>
  <c r="F291" i="6" s="1"/>
  <c r="G291" i="6" l="1"/>
  <c r="I291" i="6"/>
  <c r="F292" i="6" s="1"/>
  <c r="G292" i="6" l="1"/>
  <c r="I292" i="6" s="1"/>
  <c r="F293" i="6" s="1"/>
  <c r="G293" i="6" l="1"/>
  <c r="I293" i="6"/>
  <c r="F294" i="6" s="1"/>
  <c r="G294" i="6" l="1"/>
  <c r="I294" i="6"/>
  <c r="F295" i="6" s="1"/>
  <c r="G295" i="6" l="1"/>
  <c r="I295" i="6"/>
  <c r="F296" i="6" s="1"/>
  <c r="G296" i="6" l="1"/>
  <c r="I296" i="6"/>
  <c r="F297" i="6" s="1"/>
  <c r="G297" i="6" l="1"/>
  <c r="I297" i="6"/>
  <c r="F298" i="6" s="1"/>
  <c r="G298" i="6" l="1"/>
  <c r="I298" i="6"/>
  <c r="F299" i="6" s="1"/>
  <c r="G299" i="6" l="1"/>
  <c r="I299" i="6"/>
  <c r="F300" i="6" s="1"/>
  <c r="G300" i="6" l="1"/>
  <c r="I300" i="6" s="1"/>
  <c r="F301" i="6" s="1"/>
  <c r="G301" i="6" l="1"/>
  <c r="I301" i="6"/>
  <c r="F302" i="6" s="1"/>
  <c r="G302" i="6" l="1"/>
  <c r="I302" i="6"/>
  <c r="F303" i="6" s="1"/>
  <c r="G303" i="6" l="1"/>
  <c r="I303" i="6"/>
  <c r="F304" i="6" s="1"/>
  <c r="G304" i="6" l="1"/>
  <c r="I304" i="6" s="1"/>
  <c r="F305" i="6" s="1"/>
  <c r="G305" i="6" l="1"/>
  <c r="I305" i="6"/>
  <c r="F306" i="6" s="1"/>
  <c r="G306" i="6" l="1"/>
  <c r="I306" i="6" s="1"/>
  <c r="F307" i="6" s="1"/>
  <c r="G307" i="6" l="1"/>
  <c r="I307" i="6"/>
  <c r="F308" i="6" s="1"/>
  <c r="G308" i="6" l="1"/>
  <c r="I308" i="6"/>
  <c r="F309" i="6" s="1"/>
  <c r="G309" i="6" l="1"/>
  <c r="I309" i="6"/>
  <c r="F310" i="6" s="1"/>
  <c r="G310" i="6" l="1"/>
  <c r="I310" i="6"/>
  <c r="F311" i="6" s="1"/>
  <c r="G311" i="6" l="1"/>
  <c r="I311" i="6"/>
  <c r="F312" i="6" s="1"/>
  <c r="G312" i="6" l="1"/>
  <c r="I312" i="6"/>
  <c r="F313" i="6" s="1"/>
  <c r="G313" i="6" l="1"/>
  <c r="I313" i="6"/>
  <c r="F314" i="6" s="1"/>
  <c r="G314" i="6" l="1"/>
  <c r="I314" i="6"/>
  <c r="F315" i="6" s="1"/>
  <c r="G315" i="6" l="1"/>
  <c r="I315" i="6"/>
  <c r="F316" i="6" s="1"/>
  <c r="G316" i="6" l="1"/>
  <c r="I316" i="6" s="1"/>
  <c r="F317" i="6" s="1"/>
  <c r="G317" i="6" l="1"/>
  <c r="I317" i="6"/>
  <c r="F318" i="6" s="1"/>
  <c r="G318" i="6" l="1"/>
  <c r="I318" i="6"/>
  <c r="F319" i="6" s="1"/>
  <c r="G319" i="6" l="1"/>
  <c r="I319" i="6"/>
  <c r="F320" i="6" s="1"/>
  <c r="G320" i="6" l="1"/>
  <c r="I320" i="6" s="1"/>
  <c r="F321" i="6" s="1"/>
  <c r="G321" i="6" l="1"/>
  <c r="I321" i="6"/>
  <c r="R46" i="22"/>
  <c r="Q46" i="22"/>
  <c r="P46" i="22"/>
  <c r="O46" i="22"/>
  <c r="N46" i="22"/>
  <c r="R45" i="22"/>
  <c r="Q45" i="22"/>
  <c r="P45" i="22"/>
  <c r="O45" i="22"/>
  <c r="N45" i="22"/>
  <c r="R44" i="22"/>
  <c r="Q44" i="22"/>
  <c r="P44" i="22"/>
  <c r="O44" i="22"/>
  <c r="N44" i="22"/>
  <c r="R43" i="22"/>
  <c r="Q43" i="22"/>
  <c r="P43" i="22"/>
  <c r="O43" i="22"/>
  <c r="N43" i="22"/>
  <c r="R42" i="22"/>
  <c r="Q42" i="22"/>
  <c r="P42" i="22"/>
  <c r="O42" i="22"/>
  <c r="AN10" i="18"/>
  <c r="AM10" i="18"/>
  <c r="AL10" i="18"/>
  <c r="AK10" i="18"/>
  <c r="AJ10" i="18"/>
  <c r="AI10" i="18"/>
  <c r="AH10" i="18"/>
  <c r="AG10" i="18"/>
  <c r="AN9" i="18"/>
  <c r="AM9" i="18"/>
  <c r="AL9" i="18"/>
  <c r="AK9" i="18"/>
  <c r="AJ9" i="18"/>
  <c r="AI9" i="18"/>
  <c r="AH9" i="18"/>
  <c r="AG9" i="18"/>
  <c r="AN8" i="18"/>
  <c r="AM8" i="18"/>
  <c r="AL8" i="18"/>
  <c r="AK8" i="18"/>
  <c r="AJ8" i="18"/>
  <c r="AI8" i="18"/>
  <c r="AH8" i="18"/>
  <c r="AG8" i="18"/>
  <c r="AN7" i="18"/>
  <c r="AM7" i="18"/>
  <c r="AL7" i="18"/>
  <c r="AK7" i="18"/>
  <c r="AJ7" i="18"/>
  <c r="AI7" i="18"/>
  <c r="AH7" i="18"/>
  <c r="AG7" i="18"/>
  <c r="AN6" i="18"/>
  <c r="AM6" i="18"/>
  <c r="AL6" i="18"/>
  <c r="AK6" i="18"/>
  <c r="AJ6" i="18"/>
  <c r="AI6" i="18"/>
  <c r="AH6" i="18"/>
  <c r="AG6" i="18"/>
  <c r="AN5" i="18"/>
  <c r="AM5" i="18"/>
  <c r="AL5" i="18"/>
  <c r="AK5" i="18"/>
  <c r="AJ5" i="18"/>
  <c r="AI5" i="18"/>
  <c r="AH5" i="18"/>
  <c r="AG5" i="18"/>
  <c r="AN4" i="18"/>
  <c r="AM4" i="18"/>
  <c r="AL4" i="18"/>
  <c r="AK4" i="18"/>
  <c r="AJ4" i="18"/>
  <c r="AI4" i="18"/>
  <c r="AH4" i="18"/>
  <c r="AG4" i="18"/>
  <c r="AN3" i="18"/>
  <c r="AM3" i="18"/>
  <c r="AL3" i="18"/>
  <c r="AK3" i="18"/>
  <c r="AJ3" i="18"/>
  <c r="AI3" i="18"/>
  <c r="AH3" i="18"/>
  <c r="Z11" i="16"/>
  <c r="Y11" i="16"/>
  <c r="X11" i="16"/>
  <c r="W11" i="16"/>
  <c r="Z10" i="16"/>
  <c r="Y10" i="16"/>
  <c r="X10" i="16"/>
  <c r="W10" i="16"/>
  <c r="Z9" i="16"/>
  <c r="Y9" i="16"/>
  <c r="X9" i="16"/>
  <c r="W9" i="16"/>
  <c r="Z8" i="16"/>
  <c r="Y8" i="16"/>
  <c r="X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Tarun Kehair</author>
  </authors>
  <commentList>
    <comment ref="L19" authorId="0" shapeId="0" xr:uid="{BDE2E3A1-9767-46DB-A723-64E8E5FA9444}">
      <text>
        <r>
          <rPr>
            <b/>
            <sz val="9"/>
            <color indexed="81"/>
            <rFont val="Tahoma"/>
            <family val="2"/>
          </rPr>
          <t>Tarun Kehair:</t>
        </r>
        <r>
          <rPr>
            <sz val="9"/>
            <color indexed="81"/>
            <rFont val="Tahoma"/>
            <family val="2"/>
          </rPr>
          <t xml:space="preserve">
Debt Service Coverage Ratio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Tarun Kehair</author>
  </authors>
  <commentList>
    <comment ref="B64" authorId="0" shapeId="0" xr:uid="{9C446E4E-2DC5-40A5-A3FD-5368B4B4F9FC}">
      <text>
        <r>
          <rPr>
            <b/>
            <sz val="9"/>
            <color indexed="81"/>
            <rFont val="Tahoma"/>
            <family val="2"/>
          </rPr>
          <t>Tarun Kehair:</t>
        </r>
        <r>
          <rPr>
            <sz val="9"/>
            <color indexed="81"/>
            <rFont val="Tahoma"/>
            <family val="2"/>
          </rPr>
          <t xml:space="preserve">
Slope is the MRP (Rm-Rf)</t>
        </r>
      </text>
    </comment>
    <comment ref="B66" authorId="0" shapeId="0" xr:uid="{A6FAD987-7FA9-4D63-90E9-8DF7A4D2C32C}">
      <text>
        <r>
          <rPr>
            <b/>
            <sz val="9"/>
            <color indexed="81"/>
            <rFont val="Tahoma"/>
            <family val="2"/>
          </rPr>
          <t>Tarun Kehair:</t>
        </r>
        <r>
          <rPr>
            <sz val="9"/>
            <color indexed="81"/>
            <rFont val="Tahoma"/>
            <family val="2"/>
          </rPr>
          <t xml:space="preserve">
The Intercept is the Rf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<sst xmlns="http://schemas.openxmlformats.org/spreadsheetml/2006/main" count="1471" uniqueCount="648">
  <si>
    <t>FV=</t>
  </si>
  <si>
    <t>PV X (1+r)^n</t>
  </si>
  <si>
    <t>***This formula is applied for a Single Sum Case</t>
  </si>
  <si>
    <t>PV</t>
  </si>
  <si>
    <t>Q</t>
  </si>
  <si>
    <t xml:space="preserve">Prabh deposits Rs 100,000 today in to a Bank account that returns 11% compounded annually. How much will be accumulated in </t>
  </si>
  <si>
    <t>his Bank a/c after 5 years should this be an inactive account until then?</t>
  </si>
  <si>
    <t>Formula</t>
  </si>
  <si>
    <t>=</t>
  </si>
  <si>
    <t>FVIF</t>
  </si>
  <si>
    <t>Excel fn</t>
  </si>
  <si>
    <t>FVIF'S (FUTURE VALUE INTEREST FACTORS) --- DISCRETE COMPOUNDING</t>
  </si>
  <si>
    <r>
      <t>PV x e^</t>
    </r>
    <r>
      <rPr>
        <vertAlign val="superscript"/>
        <sz val="16"/>
        <color theme="1"/>
        <rFont val="Calibri"/>
        <family val="2"/>
        <scheme val="minor"/>
      </rPr>
      <t>(R X t)</t>
    </r>
  </si>
  <si>
    <t>This is for Continuous Compounding</t>
  </si>
  <si>
    <t xml:space="preserve">Prabh deposits Rs 100,000 today in to a Bank account that returns 11% compounded continuously. How much will be accumulated in </t>
  </si>
  <si>
    <t>Arjun deposits Rs 100 in to a Bank a/c which returns 12% compounded quarterly. Estimate the effective annual</t>
  </si>
  <si>
    <t>return for him? (Time frame : 1 year)</t>
  </si>
  <si>
    <t>EAY=</t>
  </si>
  <si>
    <t>=100*12%*3/12+100</t>
  </si>
  <si>
    <t>=103*12%*3/12+H64</t>
  </si>
  <si>
    <t>=106.09*12%*3/12+J64</t>
  </si>
  <si>
    <t>=109.27*12%*3/12+L64</t>
  </si>
  <si>
    <r>
      <t>t</t>
    </r>
    <r>
      <rPr>
        <vertAlign val="subscript"/>
        <sz val="11"/>
        <color theme="1"/>
        <rFont val="Calibri"/>
        <family val="2"/>
        <scheme val="minor"/>
      </rPr>
      <t>0</t>
    </r>
  </si>
  <si>
    <t>EAY</t>
  </si>
  <si>
    <t>(1+r/m)^m - 1</t>
  </si>
  <si>
    <t>OR</t>
  </si>
  <si>
    <t>=100*(1+12%/4)^4</t>
  </si>
  <si>
    <t xml:space="preserve">Riddhi wants Rs 5,00,000; after 7 years;  in her Bank account that returns 10% compunded monthly. </t>
  </si>
  <si>
    <t xml:space="preserve">How much should she deposit now in to her Bank a/c to achieve her objective? </t>
  </si>
  <si>
    <t>X</t>
  </si>
  <si>
    <t>(1+10%/12)^84</t>
  </si>
  <si>
    <t>Hence</t>
  </si>
  <si>
    <t>OR USE GOAL SEEK</t>
  </si>
  <si>
    <t>Let's Assume PV</t>
  </si>
  <si>
    <t>So, FV</t>
  </si>
  <si>
    <t>Set Cell:</t>
  </si>
  <si>
    <t>Link the FV</t>
  </si>
  <si>
    <t>To Value:</t>
  </si>
  <si>
    <t>By Changing:</t>
  </si>
  <si>
    <t>Link the PV</t>
  </si>
  <si>
    <t>of every year from 2015 to 2020? The interest rate is 12%</t>
  </si>
  <si>
    <t>PV=</t>
  </si>
  <si>
    <t>FV / (1+r)^n</t>
  </si>
  <si>
    <t>FV</t>
  </si>
  <si>
    <t>PVIF'S (PRESENT VALUE INTEREST FACTORS) --- DISCRETE COMPOUNDING</t>
  </si>
  <si>
    <t>Pranya needs Rs 100,000 after 5 years. How much should she deposit today in to a Bank account that returns 11% compounded annually?</t>
  </si>
  <si>
    <t>PVIF</t>
  </si>
  <si>
    <t>Pranya needs Rs 100,000 after 5 years. How much should she deposit today in to a Bank account that returns 11% compounded continuously?</t>
  </si>
  <si>
    <r>
      <t>FV x e^</t>
    </r>
    <r>
      <rPr>
        <vertAlign val="superscript"/>
        <sz val="16"/>
        <color theme="1"/>
        <rFont val="Calibri"/>
        <family val="2"/>
        <scheme val="minor"/>
      </rPr>
      <t>(-R X t)</t>
    </r>
  </si>
  <si>
    <t xml:space="preserve">Aryan deposits Rs 1000 at the end of every year; for 5 years in to a Bank a/c that fetches 10% compounded annually. </t>
  </si>
  <si>
    <t xml:space="preserve">How much will the bank a/c hold ; 5 years from now? </t>
  </si>
  <si>
    <t xml:space="preserve">The first payment starts from end of next year. </t>
  </si>
  <si>
    <t>OB</t>
  </si>
  <si>
    <t>DEPOSIT</t>
  </si>
  <si>
    <t>INTEREST</t>
  </si>
  <si>
    <t>CB</t>
  </si>
  <si>
    <t>YEAR</t>
  </si>
  <si>
    <t>Tabular Method</t>
  </si>
  <si>
    <t>Formula Method</t>
  </si>
  <si>
    <t>FVA</t>
  </si>
  <si>
    <t>A</t>
  </si>
  <si>
    <t>(1+r)^n - 1</t>
  </si>
  <si>
    <t>r</t>
  </si>
  <si>
    <t>Excel Fn Method</t>
  </si>
  <si>
    <t xml:space="preserve">The first payment starts from beginning of next year. </t>
  </si>
  <si>
    <t>(1+r)</t>
  </si>
  <si>
    <t xml:space="preserve">Harsh wants to finance his studies , the fees for which start from end of next year, Rs 20000 annually. </t>
  </si>
  <si>
    <t>How much should he set aside now, in a bank a/c that returns 7% annually, to be able to pay fees for</t>
  </si>
  <si>
    <t xml:space="preserve">5 years? </t>
  </si>
  <si>
    <t>PAYMENTS</t>
  </si>
  <si>
    <t>TABULAR METHOD</t>
  </si>
  <si>
    <t>FORMULA METHOD</t>
  </si>
  <si>
    <t>PVA</t>
  </si>
  <si>
    <t>x</t>
  </si>
  <si>
    <t>1-1/(1+r)^n</t>
  </si>
  <si>
    <t>EXCEL FUNCTION</t>
  </si>
  <si>
    <t>Labdhi requires Rs 20,000 at the end of each year from 2024 to 2028. How much should she deposit at the end</t>
  </si>
  <si>
    <t>ANNUAL DEPOSITS</t>
  </si>
  <si>
    <t xml:space="preserve">ANNUAL WITHDRAWALS </t>
  </si>
  <si>
    <r>
      <t>PVA</t>
    </r>
    <r>
      <rPr>
        <vertAlign val="subscript"/>
        <sz val="11"/>
        <color theme="1"/>
        <rFont val="Calibri"/>
        <family val="2"/>
        <scheme val="minor"/>
      </rPr>
      <t>23</t>
    </r>
  </si>
  <si>
    <t xml:space="preserve">NO DEPOSITS </t>
  </si>
  <si>
    <r>
      <t>PV</t>
    </r>
    <r>
      <rPr>
        <vertAlign val="subscript"/>
        <sz val="11"/>
        <color theme="1"/>
        <rFont val="Calibri"/>
        <family val="2"/>
        <scheme val="minor"/>
      </rPr>
      <t>20</t>
    </r>
  </si>
  <si>
    <t xml:space="preserve">Hence </t>
  </si>
  <si>
    <t>Therefore</t>
  </si>
  <si>
    <t>Year</t>
  </si>
  <si>
    <t>Deposit</t>
  </si>
  <si>
    <t>Interest</t>
  </si>
  <si>
    <t>Withdrawal</t>
  </si>
  <si>
    <t xml:space="preserve">A Company ABC Inc. plans to redeem it's Bonds (Maturity Value $100 Million each tranche) in the years 2027 to 2029. </t>
  </si>
  <si>
    <t>Assume the sinking fund carries 7% interest compounded annually?</t>
  </si>
  <si>
    <t>How much money should it set aside starting from end of next year for 3 years (2023-2025)  to be able to finance the redemption?</t>
  </si>
  <si>
    <t>SINKING FUND CREATION</t>
  </si>
  <si>
    <t>BOND REDEMPTIONS</t>
  </si>
  <si>
    <r>
      <t>PVA</t>
    </r>
    <r>
      <rPr>
        <vertAlign val="subscript"/>
        <sz val="11"/>
        <color theme="1"/>
        <rFont val="Calibri"/>
        <family val="2"/>
        <scheme val="minor"/>
      </rPr>
      <t>26</t>
    </r>
  </si>
  <si>
    <r>
      <t>PV</t>
    </r>
    <r>
      <rPr>
        <vertAlign val="subscript"/>
        <sz val="11"/>
        <color theme="1"/>
        <rFont val="Calibri"/>
        <family val="2"/>
        <scheme val="minor"/>
      </rPr>
      <t>25</t>
    </r>
  </si>
  <si>
    <t xml:space="preserve">A </t>
  </si>
  <si>
    <t>A=</t>
  </si>
  <si>
    <t>SF</t>
  </si>
  <si>
    <t>Redmptn</t>
  </si>
  <si>
    <t xml:space="preserve">Vir has applied for a home loan for a property in Colaba, and the Bank has sanctioned the loan of Rs 500,00,000. </t>
  </si>
  <si>
    <t xml:space="preserve">The loan is repayable in equated monthly instalments; over 25 years. The Bank charges 8% on an annual basis. </t>
  </si>
  <si>
    <t xml:space="preserve">Estimate </t>
  </si>
  <si>
    <t>a) The EMI</t>
  </si>
  <si>
    <t>b) Construct the LAS</t>
  </si>
  <si>
    <t xml:space="preserve">c) New EMI if Vir repays Rs 50 Lacs after 36 months of the loan </t>
  </si>
  <si>
    <t>Using PMT</t>
  </si>
  <si>
    <t>EMI</t>
  </si>
  <si>
    <t>Using Formula</t>
  </si>
  <si>
    <t>Rate</t>
  </si>
  <si>
    <t>OBL</t>
  </si>
  <si>
    <t>Month</t>
  </si>
  <si>
    <t>CBL</t>
  </si>
  <si>
    <t>Repayment</t>
  </si>
  <si>
    <t>New O/s</t>
  </si>
  <si>
    <t>New EMI</t>
  </si>
  <si>
    <t>Estimate the AM &amp; GM</t>
  </si>
  <si>
    <t>S&amp;P CNX Nifty</t>
  </si>
  <si>
    <t>Rtns</t>
  </si>
  <si>
    <t>AM Rtn</t>
  </si>
  <si>
    <t>Manually</t>
  </si>
  <si>
    <t>GM Rtn</t>
  </si>
  <si>
    <t>1+Rtns</t>
  </si>
  <si>
    <t>GM</t>
  </si>
  <si>
    <t>R</t>
  </si>
  <si>
    <t xml:space="preserve">Stock </t>
  </si>
  <si>
    <t>t0</t>
  </si>
  <si>
    <t>EOY1</t>
  </si>
  <si>
    <t>EOY2</t>
  </si>
  <si>
    <t>GM is a better reflectant of returns as it measures how much the investor's investment has grown over time;</t>
  </si>
  <si>
    <t>whereas the AM is just a mathematical average</t>
  </si>
  <si>
    <t>You are given the prices of the 2 securities A &amp; B as under:</t>
  </si>
  <si>
    <t>B</t>
  </si>
  <si>
    <t>Estimate?</t>
  </si>
  <si>
    <t>a) Variance &amp; b) Std Devns of each of the securities &amp;</t>
  </si>
  <si>
    <t>c) What do you infer?</t>
  </si>
  <si>
    <r>
      <t>Rtns</t>
    </r>
    <r>
      <rPr>
        <b/>
        <vertAlign val="subscript"/>
        <sz val="11"/>
        <color theme="1"/>
        <rFont val="Calibri"/>
        <family val="2"/>
        <scheme val="minor"/>
      </rPr>
      <t>A</t>
    </r>
  </si>
  <si>
    <r>
      <t>Rtns</t>
    </r>
    <r>
      <rPr>
        <b/>
        <vertAlign val="subscript"/>
        <sz val="11"/>
        <color theme="1"/>
        <rFont val="Calibri"/>
        <family val="2"/>
        <scheme val="minor"/>
      </rPr>
      <t>B</t>
    </r>
  </si>
  <si>
    <t>Mean</t>
  </si>
  <si>
    <r>
      <t>Devns</t>
    </r>
    <r>
      <rPr>
        <b/>
        <vertAlign val="subscript"/>
        <sz val="11"/>
        <color theme="1"/>
        <rFont val="Calibri"/>
        <family val="2"/>
        <scheme val="minor"/>
      </rPr>
      <t>A</t>
    </r>
  </si>
  <si>
    <r>
      <t>Devns</t>
    </r>
    <r>
      <rPr>
        <b/>
        <vertAlign val="subscript"/>
        <sz val="11"/>
        <color theme="1"/>
        <rFont val="Calibri"/>
        <family val="2"/>
        <scheme val="minor"/>
      </rPr>
      <t>B</t>
    </r>
  </si>
  <si>
    <t>Sq Devns</t>
  </si>
  <si>
    <t>Var</t>
  </si>
  <si>
    <r>
      <t>σ</t>
    </r>
    <r>
      <rPr>
        <vertAlign val="subscript"/>
        <sz val="11"/>
        <color rgb="FFFF0000"/>
        <rFont val="Calibri"/>
        <family val="2"/>
      </rPr>
      <t>A</t>
    </r>
  </si>
  <si>
    <r>
      <t>σ</t>
    </r>
    <r>
      <rPr>
        <vertAlign val="subscript"/>
        <sz val="11"/>
        <color rgb="FFFF0000"/>
        <rFont val="Calibri"/>
        <family val="2"/>
      </rPr>
      <t>B</t>
    </r>
  </si>
  <si>
    <t>A appears to be much more volatili stock BUT also gives more returns</t>
  </si>
  <si>
    <t>compared to B. Essentially a HIGH Risk HIGH Return Stock</t>
  </si>
  <si>
    <t>Using Excel fns</t>
  </si>
  <si>
    <t>Statistically</t>
  </si>
  <si>
    <t>a) Covariance between the two securities &amp;</t>
  </si>
  <si>
    <t>b) Correlation between them</t>
  </si>
  <si>
    <t>MULT</t>
  </si>
  <si>
    <t>CovA,B</t>
  </si>
  <si>
    <t>r=</t>
  </si>
  <si>
    <t>Portf Rtns</t>
  </si>
  <si>
    <t>Portf Rtn</t>
  </si>
  <si>
    <t>Devns</t>
  </si>
  <si>
    <r>
      <t>Var</t>
    </r>
    <r>
      <rPr>
        <vertAlign val="subscript"/>
        <sz val="11"/>
        <color theme="1"/>
        <rFont val="Calibri"/>
        <family val="2"/>
        <scheme val="minor"/>
      </rPr>
      <t>prtf</t>
    </r>
  </si>
  <si>
    <r>
      <t>σ</t>
    </r>
    <r>
      <rPr>
        <vertAlign val="subscript"/>
        <sz val="15.05"/>
        <color theme="1"/>
        <rFont val="Calibri"/>
        <family val="2"/>
      </rPr>
      <t>prtf</t>
    </r>
  </si>
  <si>
    <t>Practice Case 1</t>
  </si>
  <si>
    <t>Practice Case 2</t>
  </si>
  <si>
    <t>Economy</t>
  </si>
  <si>
    <t>Mkt Rtns</t>
  </si>
  <si>
    <t>Stk A Rtns</t>
  </si>
  <si>
    <t>Stk B Rtns</t>
  </si>
  <si>
    <t>Normal</t>
  </si>
  <si>
    <t>Boom</t>
  </si>
  <si>
    <t>Recession</t>
  </si>
  <si>
    <t>Q1) Estimate the Correlation Coefficient ( r )</t>
  </si>
  <si>
    <t>Q2) If you construct an equal weighted portfolio, estimate the portfolio return and risk</t>
  </si>
  <si>
    <t>Mean Rtns</t>
  </si>
  <si>
    <r>
      <t>Devns</t>
    </r>
    <r>
      <rPr>
        <b/>
        <u/>
        <vertAlign val="subscript"/>
        <sz val="9"/>
        <color theme="1"/>
        <rFont val="Calibri"/>
        <family val="2"/>
        <scheme val="minor"/>
      </rPr>
      <t>A</t>
    </r>
  </si>
  <si>
    <r>
      <t>Sq Devns</t>
    </r>
    <r>
      <rPr>
        <b/>
        <u/>
        <vertAlign val="subscript"/>
        <sz val="9"/>
        <color theme="1"/>
        <rFont val="Calibri"/>
        <family val="2"/>
        <scheme val="minor"/>
      </rPr>
      <t>A</t>
    </r>
  </si>
  <si>
    <r>
      <t>Var</t>
    </r>
    <r>
      <rPr>
        <vertAlign val="subscript"/>
        <sz val="9"/>
        <color theme="1"/>
        <rFont val="Calibri"/>
        <family val="2"/>
        <scheme val="minor"/>
      </rPr>
      <t>A</t>
    </r>
  </si>
  <si>
    <r>
      <t>σ</t>
    </r>
    <r>
      <rPr>
        <vertAlign val="subscript"/>
        <sz val="12.35"/>
        <color rgb="FFFF0000"/>
        <rFont val="Calibri"/>
        <family val="2"/>
      </rPr>
      <t>A</t>
    </r>
  </si>
  <si>
    <t>stdev</t>
  </si>
  <si>
    <r>
      <t>Devns</t>
    </r>
    <r>
      <rPr>
        <b/>
        <u/>
        <vertAlign val="subscript"/>
        <sz val="9"/>
        <color theme="1"/>
        <rFont val="Calibri"/>
        <family val="2"/>
        <scheme val="minor"/>
      </rPr>
      <t>B</t>
    </r>
  </si>
  <si>
    <r>
      <t>Sq Devns</t>
    </r>
    <r>
      <rPr>
        <b/>
        <u/>
        <vertAlign val="subscript"/>
        <sz val="9"/>
        <color theme="1"/>
        <rFont val="Calibri"/>
        <family val="2"/>
        <scheme val="minor"/>
      </rPr>
      <t>B</t>
    </r>
  </si>
  <si>
    <r>
      <t>Var</t>
    </r>
    <r>
      <rPr>
        <vertAlign val="subscript"/>
        <sz val="9"/>
        <color theme="1"/>
        <rFont val="Calibri"/>
        <family val="2"/>
        <scheme val="minor"/>
      </rPr>
      <t>B</t>
    </r>
  </si>
  <si>
    <r>
      <t>σ</t>
    </r>
    <r>
      <rPr>
        <vertAlign val="subscript"/>
        <sz val="9"/>
        <color rgb="FFFF0000"/>
        <rFont val="Calibri"/>
        <family val="2"/>
      </rPr>
      <t>B</t>
    </r>
  </si>
  <si>
    <r>
      <t>Rtns</t>
    </r>
    <r>
      <rPr>
        <b/>
        <u/>
        <vertAlign val="subscript"/>
        <sz val="9"/>
        <color theme="1"/>
        <rFont val="Calibri"/>
        <family val="2"/>
        <scheme val="minor"/>
      </rPr>
      <t>p</t>
    </r>
  </si>
  <si>
    <t>Avg</t>
  </si>
  <si>
    <r>
      <t>Devns</t>
    </r>
    <r>
      <rPr>
        <b/>
        <u/>
        <vertAlign val="subscript"/>
        <sz val="9"/>
        <color theme="1"/>
        <rFont val="Calibri"/>
        <family val="2"/>
        <scheme val="minor"/>
      </rPr>
      <t>p</t>
    </r>
  </si>
  <si>
    <r>
      <t>Sq Devns</t>
    </r>
    <r>
      <rPr>
        <b/>
        <u/>
        <vertAlign val="subscript"/>
        <sz val="9"/>
        <color theme="1"/>
        <rFont val="Calibri"/>
        <family val="2"/>
        <scheme val="minor"/>
      </rPr>
      <t>p</t>
    </r>
  </si>
  <si>
    <r>
      <t>Var</t>
    </r>
    <r>
      <rPr>
        <vertAlign val="subscript"/>
        <sz val="9"/>
        <color theme="1"/>
        <rFont val="Calibri"/>
        <family val="2"/>
        <scheme val="minor"/>
      </rPr>
      <t>p</t>
    </r>
  </si>
  <si>
    <r>
      <t>σ</t>
    </r>
    <r>
      <rPr>
        <vertAlign val="subscript"/>
        <sz val="9"/>
        <color rgb="FFFF0000"/>
        <rFont val="Calibri"/>
        <family val="2"/>
      </rPr>
      <t>p</t>
    </r>
  </si>
  <si>
    <t xml:space="preserve">*** it approximates to the average </t>
  </si>
  <si>
    <t>Covar</t>
  </si>
  <si>
    <t>*** it drops drastically owing to negative correlation</t>
  </si>
  <si>
    <t>FORMULA FOR TWO STOCK PORTFOLIOS</t>
  </si>
  <si>
    <r>
      <t>SQRT(w</t>
    </r>
    <r>
      <rPr>
        <b/>
        <vertAlign val="subscript"/>
        <sz val="10"/>
        <color theme="1"/>
        <rFont val="Calibri"/>
        <family val="2"/>
        <scheme val="minor"/>
      </rPr>
      <t>a</t>
    </r>
    <r>
      <rPr>
        <b/>
        <sz val="10"/>
        <color theme="1"/>
        <rFont val="Calibri"/>
        <family val="2"/>
        <scheme val="minor"/>
      </rPr>
      <t xml:space="preserve">^2 * </t>
    </r>
    <r>
      <rPr>
        <b/>
        <sz val="10"/>
        <color theme="1"/>
        <rFont val="Calibri"/>
        <family val="2"/>
      </rPr>
      <t>σ</t>
    </r>
    <r>
      <rPr>
        <b/>
        <vertAlign val="subscript"/>
        <sz val="10"/>
        <color theme="1"/>
        <rFont val="Calibri"/>
        <family val="2"/>
      </rPr>
      <t>a</t>
    </r>
    <r>
      <rPr>
        <b/>
        <sz val="10"/>
        <color theme="1"/>
        <rFont val="Calibri"/>
        <family val="2"/>
      </rPr>
      <t>^2 + w</t>
    </r>
    <r>
      <rPr>
        <b/>
        <vertAlign val="subscript"/>
        <sz val="10"/>
        <color theme="1"/>
        <rFont val="Calibri"/>
        <family val="2"/>
      </rPr>
      <t>b</t>
    </r>
    <r>
      <rPr>
        <b/>
        <sz val="10"/>
        <color theme="1"/>
        <rFont val="Calibri"/>
        <family val="2"/>
      </rPr>
      <t>^2 * σ</t>
    </r>
    <r>
      <rPr>
        <b/>
        <vertAlign val="subscript"/>
        <sz val="10"/>
        <color theme="1"/>
        <rFont val="Calibri"/>
        <family val="2"/>
      </rPr>
      <t>b</t>
    </r>
    <r>
      <rPr>
        <b/>
        <sz val="10"/>
        <color theme="1"/>
        <rFont val="Calibri"/>
        <family val="2"/>
      </rPr>
      <t>^2 + 2*w</t>
    </r>
    <r>
      <rPr>
        <b/>
        <vertAlign val="subscript"/>
        <sz val="10"/>
        <color theme="1"/>
        <rFont val="Calibri"/>
        <family val="2"/>
      </rPr>
      <t>a</t>
    </r>
    <r>
      <rPr>
        <b/>
        <sz val="10"/>
        <color theme="1"/>
        <rFont val="Calibri"/>
        <family val="2"/>
      </rPr>
      <t>*w</t>
    </r>
    <r>
      <rPr>
        <b/>
        <vertAlign val="subscript"/>
        <sz val="10"/>
        <color theme="1"/>
        <rFont val="Calibri"/>
        <family val="2"/>
      </rPr>
      <t>b</t>
    </r>
    <r>
      <rPr>
        <b/>
        <sz val="10"/>
        <color theme="1"/>
        <rFont val="Calibri"/>
        <family val="2"/>
      </rPr>
      <t>*cov</t>
    </r>
    <r>
      <rPr>
        <b/>
        <vertAlign val="subscript"/>
        <sz val="10"/>
        <color theme="1"/>
        <rFont val="Calibri"/>
        <family val="2"/>
      </rPr>
      <t>a,b</t>
    </r>
    <r>
      <rPr>
        <b/>
        <sz val="10"/>
        <color theme="1"/>
        <rFont val="Calibri"/>
        <family val="2"/>
      </rPr>
      <t>)</t>
    </r>
  </si>
  <si>
    <r>
      <t xml:space="preserve">Std Devn </t>
    </r>
    <r>
      <rPr>
        <b/>
        <vertAlign val="subscript"/>
        <sz val="11"/>
        <color theme="1"/>
        <rFont val="Calibri"/>
        <family val="2"/>
        <scheme val="minor"/>
      </rPr>
      <t>prtf</t>
    </r>
  </si>
  <si>
    <t>Q1</t>
  </si>
  <si>
    <t>Pranya has just earned a bonus of Rs 10,00,000 and she has decided to create a portfolio as under:</t>
  </si>
  <si>
    <t xml:space="preserve">Stocks (Equity) </t>
  </si>
  <si>
    <t>INR</t>
  </si>
  <si>
    <t>Bonds (Fixed Income)</t>
  </si>
  <si>
    <t xml:space="preserve">Stocks selected have expected Rtn &amp; Risk of 16% and 24% respectively while that for Bonds is 8% and 6% respectively. </t>
  </si>
  <si>
    <t xml:space="preserve">The stocks and bonds have a correlation of -0.28 between them. </t>
  </si>
  <si>
    <t>a) Portfolio Return &amp;</t>
  </si>
  <si>
    <t>b) Portfolio Risk</t>
  </si>
  <si>
    <t>Portfolio</t>
  </si>
  <si>
    <t>Stocks</t>
  </si>
  <si>
    <t>Bonds</t>
  </si>
  <si>
    <t>Inv Val</t>
  </si>
  <si>
    <t>Wts</t>
  </si>
  <si>
    <t>Rtn</t>
  </si>
  <si>
    <t>Risk</t>
  </si>
  <si>
    <t>Portfolio Rtn</t>
  </si>
  <si>
    <t>=SUMPRODUCT(G21:G22,H21:H22)</t>
  </si>
  <si>
    <t>Portfolio Risk</t>
  </si>
  <si>
    <t>=SQRT(G21^2*I21^2+G22^2*I22^2+2*G21*G22*I21*I22*I24)</t>
  </si>
  <si>
    <t>Q2</t>
  </si>
  <si>
    <t>For the following stock, estimate the Return and the Risk?</t>
  </si>
  <si>
    <t>Probability</t>
  </si>
  <si>
    <t xml:space="preserve">Rtn </t>
  </si>
  <si>
    <t>Formula for Rtn</t>
  </si>
  <si>
    <r>
      <t>∑ R</t>
    </r>
    <r>
      <rPr>
        <vertAlign val="subscript"/>
        <sz val="9"/>
        <color theme="1"/>
        <rFont val="Calibri"/>
        <family val="2"/>
      </rPr>
      <t>i</t>
    </r>
    <r>
      <rPr>
        <sz val="9"/>
        <color theme="1"/>
        <rFont val="Calibri"/>
        <family val="2"/>
      </rPr>
      <t xml:space="preserve"> X P</t>
    </r>
    <r>
      <rPr>
        <vertAlign val="subscript"/>
        <sz val="9"/>
        <color theme="1"/>
        <rFont val="Calibri"/>
        <family val="2"/>
      </rPr>
      <t>i</t>
    </r>
  </si>
  <si>
    <t>Formula for Variance</t>
  </si>
  <si>
    <r>
      <t>∑ (Devn)^2*P</t>
    </r>
    <r>
      <rPr>
        <vertAlign val="subscript"/>
        <sz val="9"/>
        <color theme="1"/>
        <rFont val="Calibri"/>
        <family val="2"/>
      </rPr>
      <t>i</t>
    </r>
  </si>
  <si>
    <t>Ri X Pi</t>
  </si>
  <si>
    <t>Sq Devns X Pi</t>
  </si>
  <si>
    <t>Variance</t>
  </si>
  <si>
    <t>σ</t>
  </si>
  <si>
    <t xml:space="preserve">Amazing Pharma plans to redeem Bonds of INR 50 Cr each at the end of 6,7&amp;8 years from now. </t>
  </si>
  <si>
    <t>Estimate the amount to be parked in to a sinking fund that earns 8% annually starting from end of next year for 4 years to finance the redemption?</t>
  </si>
  <si>
    <r>
      <t>PV</t>
    </r>
    <r>
      <rPr>
        <vertAlign val="subscript"/>
        <sz val="11"/>
        <color theme="1"/>
        <rFont val="Calibri"/>
        <family val="2"/>
        <scheme val="minor"/>
      </rPr>
      <t>5</t>
    </r>
  </si>
  <si>
    <r>
      <t>PV</t>
    </r>
    <r>
      <rPr>
        <vertAlign val="subscript"/>
        <sz val="11"/>
        <color theme="1"/>
        <rFont val="Calibri"/>
        <family val="2"/>
        <scheme val="minor"/>
      </rPr>
      <t>4</t>
    </r>
  </si>
  <si>
    <t>Price</t>
  </si>
  <si>
    <t>AM</t>
  </si>
  <si>
    <t>A stock is priced at Rs 100 today and grows annually by Rs 5 for the next 5 years. Estimate AM &amp; GM</t>
  </si>
  <si>
    <t>Q3</t>
  </si>
  <si>
    <t>U=</t>
  </si>
  <si>
    <r>
      <t xml:space="preserve">Exp Rtn (-) 1/2 * A * </t>
    </r>
    <r>
      <rPr>
        <b/>
        <sz val="12"/>
        <color theme="1"/>
        <rFont val="Calibri"/>
        <family val="2"/>
      </rPr>
      <t>σ^2</t>
    </r>
  </si>
  <si>
    <t>Risk Aversion Coefficient</t>
  </si>
  <si>
    <t>For Risk Averse Investors --- A is +ve</t>
  </si>
  <si>
    <t>For Risk Seekers --- A is -ve</t>
  </si>
  <si>
    <t>INPUTS</t>
  </si>
  <si>
    <t>Exp Rtn</t>
  </si>
  <si>
    <t>Std Dev</t>
  </si>
  <si>
    <t>U</t>
  </si>
  <si>
    <t>MODEL CALC</t>
  </si>
  <si>
    <t>A=2, U=0.05</t>
  </si>
  <si>
    <t xml:space="preserve">Manually </t>
  </si>
  <si>
    <t>A=3, U=0.06</t>
  </si>
  <si>
    <t>A=4, U=0.07</t>
  </si>
  <si>
    <t>A=2, U=0.06</t>
  </si>
  <si>
    <t>A=2, U=0.07</t>
  </si>
  <si>
    <t>Inferences</t>
  </si>
  <si>
    <t>a) The investor is indifferent amongst differing risk return combinations along the same utility curve</t>
  </si>
  <si>
    <t xml:space="preserve">b) A higher risk aversion coefficient triggers the investor to expect an even higher return for the same level of risk </t>
  </si>
  <si>
    <t>causing him to shift up and lie on a steeper utility indifference curve</t>
  </si>
  <si>
    <t xml:space="preserve">c) An investor can have the same risk aversion coefficient and still lie on a higher utility indifference curve should </t>
  </si>
  <si>
    <t>he be able to fetch a higher return for a given level of risk</t>
  </si>
  <si>
    <r>
      <t>w</t>
    </r>
    <r>
      <rPr>
        <vertAlign val="subscript"/>
        <sz val="11"/>
        <color theme="1"/>
        <rFont val="Calibri"/>
        <family val="2"/>
        <scheme val="minor"/>
      </rPr>
      <t>risky</t>
    </r>
  </si>
  <si>
    <r>
      <t>▲ (Rtn</t>
    </r>
    <r>
      <rPr>
        <u/>
        <vertAlign val="subscript"/>
        <sz val="11"/>
        <color theme="1"/>
        <rFont val="Calibri"/>
        <family val="2"/>
        <scheme val="minor"/>
      </rPr>
      <t>Risky</t>
    </r>
    <r>
      <rPr>
        <u/>
        <sz val="11"/>
        <color theme="1"/>
        <rFont val="Calibri"/>
        <family val="2"/>
        <scheme val="minor"/>
      </rPr>
      <t xml:space="preserve"> - Rtn</t>
    </r>
    <r>
      <rPr>
        <u/>
        <vertAlign val="subscript"/>
        <sz val="11"/>
        <color theme="1"/>
        <rFont val="Calibri"/>
        <family val="2"/>
        <scheme val="minor"/>
      </rPr>
      <t>Rf</t>
    </r>
    <r>
      <rPr>
        <u/>
        <sz val="11"/>
        <color theme="1"/>
        <rFont val="Calibri"/>
        <family val="2"/>
        <scheme val="minor"/>
      </rPr>
      <t>)</t>
    </r>
  </si>
  <si>
    <r>
      <t xml:space="preserve">A X </t>
    </r>
    <r>
      <rPr>
        <sz val="11"/>
        <color theme="1"/>
        <rFont val="Calibri"/>
        <family val="2"/>
      </rPr>
      <t>σ</t>
    </r>
    <r>
      <rPr>
        <vertAlign val="subscript"/>
        <sz val="15.05"/>
        <color theme="1"/>
        <rFont val="Calibri"/>
        <family val="2"/>
      </rPr>
      <t>risky</t>
    </r>
    <r>
      <rPr>
        <sz val="15.05"/>
        <color theme="1"/>
        <rFont val="Calibri"/>
        <family val="2"/>
      </rPr>
      <t>^2</t>
    </r>
  </si>
  <si>
    <t>UTILITY MAXIMISATION</t>
  </si>
  <si>
    <t>Utility Maximisation</t>
  </si>
  <si>
    <t xml:space="preserve">Assume that risky portfolio has returns of 24% and Risk Free Assets fetch 7% Return. </t>
  </si>
  <si>
    <t xml:space="preserve">The std dev for the risky assets is 36%. </t>
  </si>
  <si>
    <t>a)</t>
  </si>
  <si>
    <t>Assuming that the Risk Aversion Coefficient is 4, what is the Utility that the Investor derives from a portfolio</t>
  </si>
  <si>
    <t xml:space="preserve">that has 25% in the Risky Assets and 75% in the Risk-free Assets? </t>
  </si>
  <si>
    <t xml:space="preserve">b) </t>
  </si>
  <si>
    <t>Is this the max level of Utility that the investor can derive?</t>
  </si>
  <si>
    <t>Risky</t>
  </si>
  <si>
    <t>Risk-free</t>
  </si>
  <si>
    <t>Risks</t>
  </si>
  <si>
    <t>Portfolio Rtn =</t>
  </si>
  <si>
    <t>BASE CASE</t>
  </si>
  <si>
    <r>
      <t xml:space="preserve">Portfolio </t>
    </r>
    <r>
      <rPr>
        <sz val="11"/>
        <color theme="1"/>
        <rFont val="Calibri"/>
        <family val="2"/>
      </rPr>
      <t>σ</t>
    </r>
    <r>
      <rPr>
        <sz val="15.05"/>
        <color theme="1"/>
        <rFont val="Calibri"/>
        <family val="2"/>
      </rPr>
      <t xml:space="preserve"> =</t>
    </r>
  </si>
  <si>
    <t>U =</t>
  </si>
  <si>
    <t>UTILITY MAXIMISATION (FORMULA)</t>
  </si>
  <si>
    <t>UTILITY MAXIMISATION (SOLVER)</t>
  </si>
  <si>
    <t>Utility Practice Case</t>
  </si>
  <si>
    <t>Shares yield a 18% return but have an annual volatility of 27%.</t>
  </si>
  <si>
    <t>Bonds have a 11% return and have an annualy volatility of 6%.</t>
  </si>
  <si>
    <t>Assume A to be 2, r=0.25</t>
  </si>
  <si>
    <t xml:space="preserve">Prabh is an investment research analyst and has constructed an equal weighted Portfolio of Shares &amp; Bonds. </t>
  </si>
  <si>
    <t>a) Current levels of Utility for his Current Portfolio</t>
  </si>
  <si>
    <t>b) Design his new proposed investment of Rs 500,000 to maximise his utility</t>
  </si>
  <si>
    <t>Shares</t>
  </si>
  <si>
    <t>Portfolio Rtn=</t>
  </si>
  <si>
    <t>Portfolio Risk=</t>
  </si>
  <si>
    <t>UTILITY MAXIMISATION CASE</t>
  </si>
  <si>
    <t>Utility=</t>
  </si>
  <si>
    <t>Wshares</t>
  </si>
  <si>
    <t>Wbonds</t>
  </si>
  <si>
    <t>Assume, you have a portfolio of 2 stocks, A &amp; B. A has an annual return of 24% and a std dev of 16%. B has an annual return of 15% and a std</t>
  </si>
  <si>
    <t xml:space="preserve">dev of 24%. Your investment values in A &amp; B are Rs 675,000 and Rs 325,000 respectively. The securities have a correlation coefficient of (-)0.25. </t>
  </si>
  <si>
    <t>Calculate?</t>
  </si>
  <si>
    <t>c) What is the Min Level of Risk you can achieve on this portfolio?</t>
  </si>
  <si>
    <t>d) Also --- should r=-1; then what is the Min Level of Risk you can achieve?</t>
  </si>
  <si>
    <t>Portfolio Risk =</t>
  </si>
  <si>
    <t>RISK MINIMISATION CASE</t>
  </si>
  <si>
    <t>RISK MINIMISATION (r=-1)</t>
  </si>
  <si>
    <t>Validation Using Formula</t>
  </si>
  <si>
    <r>
      <t>w</t>
    </r>
    <r>
      <rPr>
        <vertAlign val="subscript"/>
        <sz val="11"/>
        <color theme="1"/>
        <rFont val="Calibri"/>
        <family val="2"/>
        <scheme val="minor"/>
      </rPr>
      <t>a</t>
    </r>
  </si>
  <si>
    <r>
      <t>σ</t>
    </r>
    <r>
      <rPr>
        <u/>
        <vertAlign val="subscript"/>
        <sz val="15.05"/>
        <color theme="1"/>
        <rFont val="Calibri"/>
        <family val="2"/>
      </rPr>
      <t>b</t>
    </r>
  </si>
  <si>
    <r>
      <t>σ</t>
    </r>
    <r>
      <rPr>
        <vertAlign val="sub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+ σ</t>
    </r>
    <r>
      <rPr>
        <vertAlign val="subscript"/>
        <sz val="11"/>
        <color theme="1"/>
        <rFont val="Calibri"/>
        <family val="2"/>
        <scheme val="minor"/>
      </rPr>
      <t>b</t>
    </r>
  </si>
  <si>
    <r>
      <t>w</t>
    </r>
    <r>
      <rPr>
        <vertAlign val="subscript"/>
        <sz val="11"/>
        <color theme="1"/>
        <rFont val="Calibri"/>
        <family val="2"/>
        <scheme val="minor"/>
      </rPr>
      <t>b</t>
    </r>
  </si>
  <si>
    <t>Validation Using Data Table</t>
  </si>
  <si>
    <r>
      <t>w</t>
    </r>
    <r>
      <rPr>
        <b/>
        <vertAlign val="subscript"/>
        <sz val="11"/>
        <color theme="1"/>
        <rFont val="Calibri"/>
        <family val="2"/>
        <scheme val="minor"/>
      </rPr>
      <t>a</t>
    </r>
  </si>
  <si>
    <r>
      <t>w</t>
    </r>
    <r>
      <rPr>
        <b/>
        <vertAlign val="subscript"/>
        <sz val="11"/>
        <color theme="1"/>
        <rFont val="Calibri"/>
        <family val="2"/>
        <scheme val="minor"/>
      </rPr>
      <t>b</t>
    </r>
  </si>
  <si>
    <t>FOR DATA TABLE</t>
  </si>
  <si>
    <t xml:space="preserve">Hence, Only One Combination &amp; that too </t>
  </si>
  <si>
    <t>when r=-1 ; can you, as an investor achieve</t>
  </si>
  <si>
    <t>ZERO Risk!</t>
  </si>
  <si>
    <t>Practice Caselet</t>
  </si>
  <si>
    <t>Exp Rtns</t>
  </si>
  <si>
    <t>Std Devns</t>
  </si>
  <si>
    <t xml:space="preserve">If the correlation coefficient is (-) 0.40, </t>
  </si>
  <si>
    <t>a) what is the Minimum Variance Portfolio (MVP) that you can construct?</t>
  </si>
  <si>
    <t>b) what is the exp rtn in the MVP?</t>
  </si>
  <si>
    <t>c) what is the risk in the MVP?</t>
  </si>
  <si>
    <r>
      <t>d) what is the optimal portfolio if the R</t>
    </r>
    <r>
      <rPr>
        <vertAlign val="subscript"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 xml:space="preserve">is 3%? </t>
    </r>
  </si>
  <si>
    <t>OPTIMISATION CASE</t>
  </si>
  <si>
    <t>SR =</t>
  </si>
  <si>
    <t>MVP</t>
  </si>
  <si>
    <t>OP</t>
  </si>
  <si>
    <t>▲ Rtn</t>
  </si>
  <si>
    <t>Covariances</t>
  </si>
  <si>
    <t>Apple</t>
  </si>
  <si>
    <t>Sun Micro</t>
  </si>
  <si>
    <t>Red Hat</t>
  </si>
  <si>
    <t>Q1)</t>
  </si>
  <si>
    <t>Estimate the Exp Rtn &amp; Risk of the Portfolio above!</t>
  </si>
  <si>
    <t>Q2)</t>
  </si>
  <si>
    <t xml:space="preserve">Also estimate the lowest possible risk the portfolio can achieve and what weights would help achieve the objective? </t>
  </si>
  <si>
    <t xml:space="preserve">Date </t>
  </si>
  <si>
    <t>DIXON</t>
  </si>
  <si>
    <t>VEDL</t>
  </si>
  <si>
    <t>ASIANP</t>
  </si>
  <si>
    <t>YESB</t>
  </si>
  <si>
    <t>Estimate the Portfolio Return and Risk for an equal weighted portfolio consisting of securities below:</t>
  </si>
  <si>
    <t>STEP 1 : CONVERT PRICES TO RETURNS</t>
  </si>
  <si>
    <t>STEP 2 : ESTIMATE THE EXCESS RETURNS</t>
  </si>
  <si>
    <t>489 R X 4 C</t>
  </si>
  <si>
    <t>4R x 489 C</t>
  </si>
  <si>
    <t xml:space="preserve">4x4 </t>
  </si>
  <si>
    <t>Wtd Cov's</t>
  </si>
  <si>
    <t>STEP 3 : COVARIANCE VARIANCE MATRIX</t>
  </si>
  <si>
    <t>Portfolio Variance =</t>
  </si>
  <si>
    <t>DAILY</t>
  </si>
  <si>
    <t>ANNUAL</t>
  </si>
  <si>
    <t xml:space="preserve">Portfolio </t>
  </si>
  <si>
    <t>Utility =</t>
  </si>
  <si>
    <t>wrisky</t>
  </si>
  <si>
    <t xml:space="preserve">Assume that risky portfolio has returns of 20% and Risk Free Assets fetch 6% Return. </t>
  </si>
  <si>
    <t xml:space="preserve">The std dev for the risky assets is 32%. </t>
  </si>
  <si>
    <t>Assuming that the Risk Aversion Coefficient is 3, what is the Utility that the Investor derives from a portfolio</t>
  </si>
  <si>
    <t>that has only 10% of Risky &amp; remainder risk-free allocation?</t>
  </si>
  <si>
    <t>wbonds =</t>
  </si>
  <si>
    <t>ADANIGREEN</t>
  </si>
  <si>
    <t>HDFCBANK</t>
  </si>
  <si>
    <t>RELIANCE</t>
  </si>
  <si>
    <t>HUL</t>
  </si>
  <si>
    <t>Mean Rtn</t>
  </si>
  <si>
    <t>Annualised</t>
  </si>
  <si>
    <t>$</t>
  </si>
  <si>
    <r>
      <t>S</t>
    </r>
    <r>
      <rPr>
        <vertAlign val="subscript"/>
        <sz val="18"/>
        <color theme="1"/>
        <rFont val="Calibri"/>
        <family val="2"/>
        <scheme val="minor"/>
      </rPr>
      <t>0</t>
    </r>
  </si>
  <si>
    <t>T</t>
  </si>
  <si>
    <t>days</t>
  </si>
  <si>
    <r>
      <t>R</t>
    </r>
    <r>
      <rPr>
        <vertAlign val="subscript"/>
        <sz val="18"/>
        <color theme="1"/>
        <rFont val="Calibri"/>
        <family val="2"/>
        <scheme val="minor"/>
      </rPr>
      <t>f</t>
    </r>
  </si>
  <si>
    <t>Volatility</t>
  </si>
  <si>
    <t>Wtd Get</t>
  </si>
  <si>
    <t>-</t>
  </si>
  <si>
    <t>Wtd Pay</t>
  </si>
  <si>
    <t>C0</t>
  </si>
  <si>
    <t>S0.N(d1)</t>
  </si>
  <si>
    <t>X.e^-rt.N(d2)</t>
  </si>
  <si>
    <t>d1</t>
  </si>
  <si>
    <t>ln(S0/X) + ((Rf+1/2Var))*T</t>
  </si>
  <si>
    <t>SD.SQRT(T)</t>
  </si>
  <si>
    <t>d2</t>
  </si>
  <si>
    <t>ln(S0/X) + ((Rf-1/2Var))*T</t>
  </si>
  <si>
    <t>d1-SD.SQRT(T)</t>
  </si>
  <si>
    <t>+</t>
  </si>
  <si>
    <t>P0</t>
  </si>
  <si>
    <t>S0</t>
  </si>
  <si>
    <t>(1+Rf)^t</t>
  </si>
  <si>
    <t>X * e^-Rf*T</t>
  </si>
  <si>
    <t>Price the Call &amp; the Put!</t>
  </si>
  <si>
    <t>a=</t>
  </si>
  <si>
    <t>b=</t>
  </si>
  <si>
    <t>c=</t>
  </si>
  <si>
    <t>d1=</t>
  </si>
  <si>
    <t>d2=</t>
  </si>
  <si>
    <t>n(d1)=</t>
  </si>
  <si>
    <t>n(d2)=</t>
  </si>
  <si>
    <t>PVX=</t>
  </si>
  <si>
    <t>C0 + PVX</t>
  </si>
  <si>
    <t>S0 + P0</t>
  </si>
  <si>
    <t>PUT CALL PARITY</t>
  </si>
  <si>
    <t>Given</t>
  </si>
  <si>
    <t>CMP</t>
  </si>
  <si>
    <t>Time till expiry</t>
  </si>
  <si>
    <t>Risk free</t>
  </si>
  <si>
    <t>p.a.</t>
  </si>
  <si>
    <t>volatility</t>
  </si>
  <si>
    <t>dividend</t>
  </si>
  <si>
    <t>Calculate expected premium for at-the-money call option</t>
  </si>
  <si>
    <t>X=</t>
  </si>
  <si>
    <r>
      <t>C</t>
    </r>
    <r>
      <rPr>
        <vertAlign val="subscript"/>
        <sz val="11"/>
        <color theme="1"/>
        <rFont val="Calibri"/>
        <family val="2"/>
        <scheme val="minor"/>
      </rPr>
      <t>0</t>
    </r>
  </si>
  <si>
    <r>
      <t>P</t>
    </r>
    <r>
      <rPr>
        <vertAlign val="subscript"/>
        <sz val="11"/>
        <color theme="1"/>
        <rFont val="Calibri"/>
        <family val="2"/>
        <scheme val="minor"/>
      </rPr>
      <t>0</t>
    </r>
  </si>
  <si>
    <t>?</t>
  </si>
  <si>
    <t>Calculate implied volatility of at-the-money call if the option is trading at 2.35</t>
  </si>
  <si>
    <r>
      <t>S</t>
    </r>
    <r>
      <rPr>
        <vertAlign val="subscript"/>
        <sz val="11"/>
        <color theme="1"/>
        <rFont val="Calibri"/>
        <family val="2"/>
        <scheme val="minor"/>
      </rPr>
      <t>0</t>
    </r>
  </si>
  <si>
    <t>Rf</t>
  </si>
  <si>
    <t>t</t>
  </si>
  <si>
    <t>Vol</t>
  </si>
  <si>
    <t>Evaluate % net return on a bull spread using call options with strikes 95 and 105 for 1 day.</t>
  </si>
  <si>
    <t>Assume that volatility declines to 25% and market price of the underlying moves up 3% next day</t>
  </si>
  <si>
    <t>Take margin at 20% of strike less premium received</t>
  </si>
  <si>
    <t>Q4</t>
  </si>
  <si>
    <t>Buy LS (X95)</t>
  </si>
  <si>
    <t xml:space="preserve">Vol </t>
  </si>
  <si>
    <t>n(d1)</t>
  </si>
  <si>
    <t>n(d2)</t>
  </si>
  <si>
    <t>PVX</t>
  </si>
  <si>
    <t>C0=</t>
  </si>
  <si>
    <t>Sell HS (X105)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</si>
  <si>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0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</si>
  <si>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1</t>
    </r>
  </si>
  <si>
    <t>Gain (LS Call)</t>
  </si>
  <si>
    <t>Gain (HS Call)</t>
  </si>
  <si>
    <t>Net Gain</t>
  </si>
  <si>
    <t>Inv</t>
  </si>
  <si>
    <t>ROI</t>
  </si>
  <si>
    <t>VaR --- Value at Risk</t>
  </si>
  <si>
    <t xml:space="preserve">95% ; 90 day VaR for a portfolio is $5 Mn. </t>
  </si>
  <si>
    <t>Statement</t>
  </si>
  <si>
    <t>Inference</t>
  </si>
  <si>
    <t>It can be stated with 95% confidence, that over a 90 day period, the portfolio losses will be restricted to $ 5 Mn</t>
  </si>
  <si>
    <t>However, there is a 5% chance that these losses will exceed $ 5 Mn</t>
  </si>
  <si>
    <t>VaR =</t>
  </si>
  <si>
    <t xml:space="preserve">WCL (-) ML </t>
  </si>
  <si>
    <t xml:space="preserve">Now, </t>
  </si>
  <si>
    <t>z=</t>
  </si>
  <si>
    <t>X-M</t>
  </si>
  <si>
    <r>
      <t xml:space="preserve">z X </t>
    </r>
    <r>
      <rPr>
        <sz val="11"/>
        <color theme="1"/>
        <rFont val="Calibri"/>
        <family val="2"/>
      </rPr>
      <t>σ</t>
    </r>
  </si>
  <si>
    <t xml:space="preserve">NORM.S.DIST </t>
  </si>
  <si>
    <t>Use when you have to find out the probability , given z-values</t>
  </si>
  <si>
    <t xml:space="preserve">NORM.S.INV </t>
  </si>
  <si>
    <t xml:space="preserve">Use when you have the probability, and want the z-values </t>
  </si>
  <si>
    <t>99.75% 10 day VaR for a security with observed volatility of 25% p.a. for a portfolio of INR 100 cr</t>
  </si>
  <si>
    <t>z-val</t>
  </si>
  <si>
    <t>Annual VaR</t>
  </si>
  <si>
    <t>10-day VaR</t>
  </si>
  <si>
    <t>Abs 10-day VaR</t>
  </si>
  <si>
    <t>If 95% 1 day VaR for INR 100 cr portfolio is INR 2 cr, what is the volatility p.a. for the portfolio?</t>
  </si>
  <si>
    <t>1-day VaR</t>
  </si>
  <si>
    <t>Abs 1-day VaR</t>
  </si>
  <si>
    <t>Compute the 99.5% 1 day portfolio VaR for the following portfolio (value INR 100 cr)</t>
  </si>
  <si>
    <t>Security--&gt;</t>
  </si>
  <si>
    <t>C</t>
  </si>
  <si>
    <t>D</t>
  </si>
  <si>
    <t>E</t>
  </si>
  <si>
    <t>Yearwise prices</t>
  </si>
  <si>
    <t xml:space="preserve"> </t>
  </si>
  <si>
    <t>Assume an equal weighted portfolio!</t>
  </si>
  <si>
    <t xml:space="preserve">Mean </t>
  </si>
  <si>
    <t>z-val =</t>
  </si>
  <si>
    <t>Annual VaR =</t>
  </si>
  <si>
    <t>1-day VaR =</t>
  </si>
  <si>
    <t>Abs 1-day VaR =</t>
  </si>
  <si>
    <t xml:space="preserve">EXPECTED LOSSES </t>
  </si>
  <si>
    <t xml:space="preserve">Probability of Default --- </t>
  </si>
  <si>
    <t xml:space="preserve">PD </t>
  </si>
  <si>
    <t>*** represents likelihood of default</t>
  </si>
  <si>
    <t>Loss Given Default ---</t>
  </si>
  <si>
    <t>LGD</t>
  </si>
  <si>
    <t>*** in case default happens; what portion of exposure we stand to lose</t>
  </si>
  <si>
    <t>Exposure at Default ---</t>
  </si>
  <si>
    <t>EAD</t>
  </si>
  <si>
    <t>*** exposure at default</t>
  </si>
  <si>
    <t>RR</t>
  </si>
  <si>
    <t>Recovery Rate ---</t>
  </si>
  <si>
    <t xml:space="preserve">*** represents the dues recovered </t>
  </si>
  <si>
    <t xml:space="preserve">LGD </t>
  </si>
  <si>
    <t>1-RR</t>
  </si>
  <si>
    <t xml:space="preserve">This is the Expected Loss </t>
  </si>
  <si>
    <t>EL =</t>
  </si>
  <si>
    <t>PD X LGD X EAD</t>
  </si>
  <si>
    <t xml:space="preserve">UNEXPECTED LOSSES </t>
  </si>
  <si>
    <t>UEL =</t>
  </si>
  <si>
    <t xml:space="preserve">EAD x </t>
  </si>
  <si>
    <r>
      <t>SQRT (</t>
    </r>
    <r>
      <rPr>
        <sz val="11"/>
        <color theme="1"/>
        <rFont val="Calibri"/>
        <family val="2"/>
      </rPr>
      <t>σ</t>
    </r>
    <r>
      <rPr>
        <vertAlign val="subscript"/>
        <sz val="11"/>
        <color theme="1"/>
        <rFont val="Calibri"/>
        <family val="2"/>
      </rPr>
      <t>lgd</t>
    </r>
    <r>
      <rPr>
        <sz val="11"/>
        <color theme="1"/>
        <rFont val="Calibri"/>
        <family val="2"/>
      </rPr>
      <t xml:space="preserve"> ^ 2 X PD + </t>
    </r>
    <r>
      <rPr>
        <sz val="11"/>
        <color theme="1"/>
        <rFont val="Calibri"/>
        <family val="2"/>
        <scheme val="minor"/>
      </rPr>
      <t xml:space="preserve">LGD^2 X </t>
    </r>
    <r>
      <rPr>
        <sz val="11"/>
        <color theme="1"/>
        <rFont val="Calibri"/>
        <family val="2"/>
      </rPr>
      <t>σ</t>
    </r>
    <r>
      <rPr>
        <vertAlign val="subscript"/>
        <sz val="11"/>
        <color theme="1"/>
        <rFont val="Calibri"/>
        <family val="2"/>
      </rPr>
      <t>pd</t>
    </r>
    <r>
      <rPr>
        <sz val="11"/>
        <color theme="1"/>
        <rFont val="Calibri"/>
        <family val="2"/>
      </rPr>
      <t xml:space="preserve"> ^2 ) </t>
    </r>
  </si>
  <si>
    <t xml:space="preserve">*** this is the formula where Bernoulli's Appln not specifically mentioned </t>
  </si>
  <si>
    <r>
      <t>SQRT (</t>
    </r>
    <r>
      <rPr>
        <sz val="11"/>
        <color theme="1"/>
        <rFont val="Calibri"/>
        <family val="2"/>
      </rPr>
      <t>σ</t>
    </r>
    <r>
      <rPr>
        <vertAlign val="subscript"/>
        <sz val="11"/>
        <color theme="1"/>
        <rFont val="Calibri"/>
        <family val="2"/>
      </rPr>
      <t>lgd</t>
    </r>
    <r>
      <rPr>
        <sz val="11"/>
        <color theme="1"/>
        <rFont val="Calibri"/>
        <family val="2"/>
      </rPr>
      <t xml:space="preserve"> ^ 2 X PD + </t>
    </r>
    <r>
      <rPr>
        <sz val="11"/>
        <color theme="1"/>
        <rFont val="Calibri"/>
        <family val="2"/>
        <scheme val="minor"/>
      </rPr>
      <t xml:space="preserve">LGD^2 X </t>
    </r>
    <r>
      <rPr>
        <sz val="11"/>
        <color theme="1"/>
        <rFont val="Calibri"/>
        <family val="2"/>
      </rPr>
      <t xml:space="preserve">PD X (1-PD) ) </t>
    </r>
  </si>
  <si>
    <t xml:space="preserve">*** this is the formula where Bernoulli's Appln is specifically mentioned </t>
  </si>
  <si>
    <t>A bank recently disbursed a $8 million loan of which $6 million is currently outstanding.</t>
  </si>
  <si>
    <t xml:space="preserve">According to the bank’s internal rating model, the beneficiary has a 2% chance of defaulting over the next year. </t>
  </si>
  <si>
    <t xml:space="preserve">In case that happens, the estimated loss rate is 46%. The probability of default and the loss rate have </t>
  </si>
  <si>
    <t xml:space="preserve">standard deviations of 5% and 20%, respectively. </t>
  </si>
  <si>
    <t>Determine the expected and unexpected loss figures for the bank.</t>
  </si>
  <si>
    <t>Do not assume Bernoulli's theorem for PD's</t>
  </si>
  <si>
    <t>EAD =</t>
  </si>
  <si>
    <t>PD =</t>
  </si>
  <si>
    <t>LGD =</t>
  </si>
  <si>
    <r>
      <t>σ</t>
    </r>
    <r>
      <rPr>
        <vertAlign val="subscript"/>
        <sz val="15.05"/>
        <color theme="1"/>
        <rFont val="Calibri"/>
        <family val="2"/>
      </rPr>
      <t>lgd</t>
    </r>
    <r>
      <rPr>
        <sz val="15.05"/>
        <color theme="1"/>
        <rFont val="Calibri"/>
        <family val="2"/>
      </rPr>
      <t xml:space="preserve"> =</t>
    </r>
  </si>
  <si>
    <r>
      <t>σ</t>
    </r>
    <r>
      <rPr>
        <vertAlign val="subscript"/>
        <sz val="15.05"/>
        <color theme="1"/>
        <rFont val="Calibri"/>
        <family val="2"/>
      </rPr>
      <t>pd</t>
    </r>
    <r>
      <rPr>
        <sz val="15.05"/>
        <color theme="1"/>
        <rFont val="Calibri"/>
        <family val="2"/>
      </rPr>
      <t xml:space="preserve"> =</t>
    </r>
  </si>
  <si>
    <t xml:space="preserve">EAD </t>
  </si>
  <si>
    <t xml:space="preserve">a) Current </t>
  </si>
  <si>
    <t xml:space="preserve">b) Potential </t>
  </si>
  <si>
    <t>PD</t>
  </si>
  <si>
    <t>*** Option d is the correct option</t>
  </si>
  <si>
    <t xml:space="preserve">A firm earned an EPS of $2.50 and has 100,000 shares outstanding. The corporate tax rate is 40%. The Co maintained an ICR of 5x. </t>
  </si>
  <si>
    <t>Given that the Operating expenses (incl Depreciation) were limited to 30% of Revenues and the Co earned a contribution margin of 60%</t>
  </si>
  <si>
    <t>Estimate the Pre-tax DSCR &amp; Construct the P&amp;L extract for the firm. Assume Principal Repayments due of $ 250,000</t>
  </si>
  <si>
    <t>Revenues</t>
  </si>
  <si>
    <t xml:space="preserve">(-) </t>
  </si>
  <si>
    <t>COGS</t>
  </si>
  <si>
    <t>G/p</t>
  </si>
  <si>
    <t xml:space="preserve">Opex </t>
  </si>
  <si>
    <t>EBIT</t>
  </si>
  <si>
    <t>PBT</t>
  </si>
  <si>
    <t xml:space="preserve">Taxes </t>
  </si>
  <si>
    <t>PAT</t>
  </si>
  <si>
    <t>NOS</t>
  </si>
  <si>
    <t>EPS</t>
  </si>
  <si>
    <t>5x</t>
  </si>
  <si>
    <t>4x</t>
  </si>
  <si>
    <t>0.3R</t>
  </si>
  <si>
    <t>0.6R</t>
  </si>
  <si>
    <t>DSCR</t>
  </si>
  <si>
    <t xml:space="preserve">A firm earned an EPS of $8 and has 300,000 shares outstanding. The corporate tax rate is 40%. The Co maintained an ICR of 5x. </t>
  </si>
  <si>
    <t>Given that the Operating expenses including  Depreciation,  were limited to 40% of Revenues and the company earned a contribution margin of 75%</t>
  </si>
  <si>
    <t>Estimate the Pre-tax DSCR and Construct the P&amp;L extract for the firm. Assume Principal Repayments due of $750,000</t>
  </si>
  <si>
    <t>0.75R</t>
  </si>
  <si>
    <t>0.40R</t>
  </si>
  <si>
    <t>0.35R</t>
  </si>
  <si>
    <t>ke</t>
  </si>
  <si>
    <r>
      <t>k</t>
    </r>
    <r>
      <rPr>
        <vertAlign val="subscript"/>
        <sz val="11"/>
        <color theme="1"/>
        <rFont val="Calibri"/>
        <family val="2"/>
        <scheme val="minor"/>
      </rPr>
      <t>e</t>
    </r>
  </si>
  <si>
    <r>
      <t>k</t>
    </r>
    <r>
      <rPr>
        <vertAlign val="subscript"/>
        <sz val="16"/>
        <color theme="1"/>
        <rFont val="Calibri"/>
        <family val="2"/>
        <scheme val="minor"/>
      </rPr>
      <t>e</t>
    </r>
  </si>
  <si>
    <r>
      <t>R</t>
    </r>
    <r>
      <rPr>
        <vertAlign val="subscript"/>
        <sz val="16"/>
        <color theme="1"/>
        <rFont val="Calibri"/>
        <family val="2"/>
        <scheme val="minor"/>
      </rPr>
      <t xml:space="preserve">f </t>
    </r>
  </si>
  <si>
    <r>
      <t>β X (R</t>
    </r>
    <r>
      <rPr>
        <vertAlign val="subscript"/>
        <sz val="16"/>
        <color theme="1"/>
        <rFont val="Calibri"/>
        <family val="2"/>
      </rPr>
      <t>m</t>
    </r>
    <r>
      <rPr>
        <sz val="16"/>
        <color theme="1"/>
        <rFont val="Calibri"/>
        <family val="2"/>
      </rPr>
      <t>-R</t>
    </r>
    <r>
      <rPr>
        <vertAlign val="subscript"/>
        <sz val="16"/>
        <color theme="1"/>
        <rFont val="Calibri"/>
        <family val="2"/>
      </rPr>
      <t>f</t>
    </r>
    <r>
      <rPr>
        <sz val="16"/>
        <color theme="1"/>
        <rFont val="Calibri"/>
        <family val="2"/>
      </rPr>
      <t>)</t>
    </r>
  </si>
  <si>
    <t>*** This is the CAPM Equation</t>
  </si>
  <si>
    <t>NIFTY</t>
  </si>
  <si>
    <t>Stock</t>
  </si>
  <si>
    <r>
      <t>Rtns</t>
    </r>
    <r>
      <rPr>
        <b/>
        <vertAlign val="subscript"/>
        <sz val="11"/>
        <color theme="1"/>
        <rFont val="Calibri"/>
        <family val="2"/>
        <scheme val="minor"/>
      </rPr>
      <t>mkt</t>
    </r>
  </si>
  <si>
    <r>
      <t>Rtns</t>
    </r>
    <r>
      <rPr>
        <b/>
        <vertAlign val="subscript"/>
        <sz val="11"/>
        <color theme="1"/>
        <rFont val="Calibri"/>
        <family val="2"/>
        <scheme val="minor"/>
      </rPr>
      <t>stk</t>
    </r>
  </si>
  <si>
    <t>ß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</si>
  <si>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</si>
  <si>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</si>
  <si>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</si>
  <si>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</si>
  <si>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</si>
  <si>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</si>
  <si>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</si>
  <si>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</si>
  <si>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</si>
  <si>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</si>
  <si>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</si>
  <si>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</si>
  <si>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</si>
  <si>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</si>
  <si>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</si>
  <si>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</si>
  <si>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</si>
  <si>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</si>
  <si>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</si>
  <si>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</si>
  <si>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</si>
  <si>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</si>
  <si>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</si>
  <si>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</si>
  <si>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</si>
  <si>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*** ß represents the SLOPE when you plot the Stk Rtns</t>
  </si>
  <si>
    <t>against the Mkt Rtns</t>
  </si>
  <si>
    <t>Rm</t>
  </si>
  <si>
    <t>Estimate the expected return of the stock with the returns below -- also appended below are the NIFTY Returns.</t>
  </si>
  <si>
    <t xml:space="preserve">Assume that G-secs yield 6% annually. </t>
  </si>
  <si>
    <t>ß =</t>
  </si>
  <si>
    <t>Rm =</t>
  </si>
  <si>
    <r>
      <t>k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=</t>
    </r>
  </si>
  <si>
    <t>MRP X ß</t>
  </si>
  <si>
    <r>
      <t>R</t>
    </r>
    <r>
      <rPr>
        <vertAlign val="subscript"/>
        <sz val="11"/>
        <color theme="1"/>
        <rFont val="Calibri"/>
        <family val="2"/>
        <scheme val="minor"/>
      </rPr>
      <t>f</t>
    </r>
  </si>
  <si>
    <t>y</t>
  </si>
  <si>
    <t>m X x</t>
  </si>
  <si>
    <t>c</t>
  </si>
  <si>
    <r>
      <t xml:space="preserve">SLOPE </t>
    </r>
    <r>
      <rPr>
        <vertAlign val="subscript"/>
        <sz val="10"/>
        <color theme="1"/>
        <rFont val="Calibri"/>
        <family val="2"/>
        <scheme val="minor"/>
      </rPr>
      <t>SML</t>
    </r>
    <r>
      <rPr>
        <sz val="10"/>
        <color theme="1"/>
        <rFont val="Calibri"/>
        <family val="2"/>
        <scheme val="minor"/>
      </rPr>
      <t xml:space="preserve"> =</t>
    </r>
  </si>
  <si>
    <r>
      <t xml:space="preserve">INTERCEPT </t>
    </r>
    <r>
      <rPr>
        <vertAlign val="subscript"/>
        <sz val="10"/>
        <color theme="1"/>
        <rFont val="Calibri"/>
        <family val="2"/>
        <scheme val="minor"/>
      </rPr>
      <t>SML</t>
    </r>
    <r>
      <rPr>
        <sz val="10"/>
        <color theme="1"/>
        <rFont val="Calibri"/>
        <family val="2"/>
        <scheme val="minor"/>
      </rPr>
      <t xml:space="preserve"> =</t>
    </r>
  </si>
  <si>
    <t xml:space="preserve">Revenues </t>
  </si>
  <si>
    <t xml:space="preserve">GPM </t>
  </si>
  <si>
    <t>Of G/p</t>
  </si>
  <si>
    <t>ICR</t>
  </si>
  <si>
    <t>Million</t>
  </si>
  <si>
    <t xml:space="preserve">Retention Policy </t>
  </si>
  <si>
    <t xml:space="preserve">Dividend paid annually is expected to grow @ 8% for 5 years and @ 4% thereafter. </t>
  </si>
  <si>
    <t xml:space="preserve">US Tbills Yield 4% , Stock ß is 1.25 &amp; Market Yields are 12% annually. </t>
  </si>
  <si>
    <t>Estimate the Intrinsic Value of the Share!</t>
  </si>
  <si>
    <t>USD Million</t>
  </si>
  <si>
    <t>Retention</t>
  </si>
  <si>
    <t>Years</t>
  </si>
  <si>
    <t>CF's</t>
  </si>
  <si>
    <r>
      <t>D</t>
    </r>
    <r>
      <rPr>
        <vertAlign val="subscript"/>
        <sz val="11"/>
        <color theme="1"/>
        <rFont val="Calibri"/>
        <family val="2"/>
        <scheme val="minor"/>
      </rPr>
      <t>0</t>
    </r>
  </si>
  <si>
    <r>
      <t>g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=</t>
    </r>
  </si>
  <si>
    <t>DF's</t>
  </si>
  <si>
    <t>PV's</t>
  </si>
  <si>
    <r>
      <t>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=</t>
    </r>
  </si>
  <si>
    <r>
      <t>D</t>
    </r>
    <r>
      <rPr>
        <u/>
        <vertAlign val="subscript"/>
        <sz val="11"/>
        <color theme="1"/>
        <rFont val="Calibri"/>
        <family val="2"/>
        <scheme val="minor"/>
      </rPr>
      <t>1</t>
    </r>
  </si>
  <si>
    <t xml:space="preserve">*** Gordon's Constant Growth Model </t>
  </si>
  <si>
    <r>
      <t>k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-g</t>
    </r>
  </si>
  <si>
    <t>Y1</t>
  </si>
  <si>
    <t>Y2</t>
  </si>
  <si>
    <t>Y3</t>
  </si>
  <si>
    <t>Y4</t>
  </si>
  <si>
    <t>Y5</t>
  </si>
  <si>
    <t>Y6</t>
  </si>
  <si>
    <t>DEFINITE GROWTH</t>
  </si>
  <si>
    <t>INDEFINITE GROWTH</t>
  </si>
  <si>
    <r>
      <t>P</t>
    </r>
    <r>
      <rPr>
        <vertAlign val="subscript"/>
        <sz val="11"/>
        <color theme="1"/>
        <rFont val="Calibri"/>
        <family val="2"/>
        <scheme val="minor"/>
      </rPr>
      <t>5</t>
    </r>
  </si>
  <si>
    <r>
      <t>P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=</t>
    </r>
  </si>
  <si>
    <t>PV (Def Grwth)</t>
  </si>
  <si>
    <t>PV (Indef Grwth)</t>
  </si>
  <si>
    <t xml:space="preserve">IV/share </t>
  </si>
  <si>
    <t>ABC Ltd has issued Bonds as under:</t>
  </si>
  <si>
    <t>USD</t>
  </si>
  <si>
    <t>Annual</t>
  </si>
  <si>
    <t>Maturity</t>
  </si>
  <si>
    <t>YTM</t>
  </si>
  <si>
    <t>What is the price the Bond should trade at today?</t>
  </si>
  <si>
    <t>YTM &gt; C</t>
  </si>
  <si>
    <t>YTM &lt; C</t>
  </si>
  <si>
    <t>*** YTM is the Yield to Maturity</t>
  </si>
  <si>
    <t>Bond Price</t>
  </si>
  <si>
    <t xml:space="preserve">As the YTM Increases, the Bond Price Decreases </t>
  </si>
  <si>
    <t>As the YTM Decreases, the Bond Price Increases</t>
  </si>
  <si>
    <t xml:space="preserve">YTM &gt; C </t>
  </si>
  <si>
    <t>Discount</t>
  </si>
  <si>
    <t>Premium</t>
  </si>
  <si>
    <t>YTM = C</t>
  </si>
  <si>
    <t xml:space="preserve">Par </t>
  </si>
  <si>
    <t xml:space="preserve">A firm earned an EPS of $10 and has 300,000 shares outstanding. The corporate tax rate is 40%. The Co maintained an ICR of 6x. </t>
  </si>
  <si>
    <t>Given that the Operating expenses including  Depreciation,  were limited to 45% of Revenues and the company earned a contribution margin of 70%</t>
  </si>
  <si>
    <t>Estimate the Pre-tax DSCR and Construct the P&amp;L extract for the firm. Assume Principal Repayments due of $1,00,000</t>
  </si>
  <si>
    <t xml:space="preserve">Dividend paid annually is expected to grow @ 6% for 6 years and @ 3% thereafter. </t>
  </si>
  <si>
    <t xml:space="preserve">US Tbills Yield 4% , Stock ß is 0.75 &amp; Market Yields are 12% annually. </t>
  </si>
  <si>
    <t>6x</t>
  </si>
  <si>
    <t>0.7R</t>
  </si>
  <si>
    <t>0.45R</t>
  </si>
  <si>
    <t>0.25R</t>
  </si>
  <si>
    <t>DSCR=</t>
  </si>
  <si>
    <t>A1)</t>
  </si>
  <si>
    <t>A2)</t>
  </si>
  <si>
    <t>P6</t>
  </si>
  <si>
    <t>A3)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</si>
</sst>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₹&quot;\ #,##0.00;[Red]&quot;₹&quot;\ \-#,##0.00"/>
    <numFmt numFmtId="165" formatCode="_ * #,##0.00_ ;_ * \-#,##0.00_ ;_ * &quot;-&quot;??_ ;_ @_ "/>
    <numFmt numFmtId="166" formatCode="_ * #,##0.000_ ;_ * \-#,##0.000_ ;_ * &quot;-&quot;??_ ;_ @_ "/>
    <numFmt numFmtId="167" formatCode="_ * #,##0_ ;_ * \-#,##0_ ;_ * &quot;-&quot;??_ ;_ @_ "/>
    <numFmt numFmtId="168" formatCode="0.0%"/>
    <numFmt numFmtId="169" formatCode="0.000"/>
    <numFmt numFmtId="170" formatCode="0.000%"/>
    <numFmt numFmtId="171" formatCode="_ * #,##0.00000_ ;_ * \-#,##0.00000_ ;_ * &quot;-&quot;??_ ;_ @_ "/>
    <numFmt numFmtId="172" formatCode="_ * #,##0.0000_ ;_ * \-#,##0.0000_ ;_ * &quot;-&quot;??_ ;_ @_ "/>
    <numFmt numFmtId="173" formatCode="0.0000%"/>
    <numFmt numFmtId="174" formatCode="_ * #,##0.000000_ ;_ * \-#,##0.000000_ ;_ * &quot;-&quot;??_ ;_ @_ "/>
    <numFmt numFmtId="175" formatCode="0.0000"/>
    <numFmt numFmtId="176" formatCode="0.00000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vertAlign val="subscript"/>
      <sz val="11"/>
      <color rgb="FFFF0000"/>
      <name val="Calibri"/>
      <family val="2"/>
    </font>
    <font>
      <vertAlign val="subscript"/>
      <sz val="15.05"/>
      <color theme="1"/>
      <name val="Calibri"/>
      <family val="2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vertAlign val="subscript"/>
      <sz val="9"/>
      <color theme="1"/>
      <name val="Calibri"/>
      <family val="2"/>
      <scheme val="minor"/>
    </font>
    <font>
      <u val="singleAccounting"/>
      <sz val="9"/>
      <color theme="1"/>
      <name val="Calibri"/>
      <family val="2"/>
      <scheme val="minor"/>
    </font>
    <font>
      <vertAlign val="subscript"/>
      <sz val="9"/>
      <color theme="1"/>
      <name val="Calibri"/>
      <family val="2"/>
      <scheme val="minor"/>
    </font>
    <font>
      <sz val="9"/>
      <color rgb="FFFF0000"/>
      <name val="Calibri"/>
      <family val="2"/>
    </font>
    <font>
      <vertAlign val="subscript"/>
      <sz val="12.35"/>
      <color rgb="FFFF0000"/>
      <name val="Calibri"/>
      <family val="2"/>
    </font>
    <font>
      <sz val="9"/>
      <color rgb="FFFF0000"/>
      <name val="Calibri"/>
      <family val="2"/>
      <scheme val="minor"/>
    </font>
    <font>
      <vertAlign val="subscript"/>
      <sz val="9"/>
      <color rgb="FFFF0000"/>
      <name val="Calibri"/>
      <family val="2"/>
    </font>
    <font>
      <i/>
      <sz val="8"/>
      <color theme="1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vertAlign val="subscript"/>
      <sz val="10"/>
      <color theme="1"/>
      <name val="Calibri"/>
      <family val="2"/>
    </font>
    <font>
      <u val="singleAccounting"/>
      <sz val="11"/>
      <color theme="1"/>
      <name val="Calibri"/>
      <family val="2"/>
      <scheme val="minor"/>
    </font>
    <font>
      <sz val="9"/>
      <color theme="1"/>
      <name val="Calibri"/>
      <family val="2"/>
    </font>
    <font>
      <vertAlign val="subscript"/>
      <sz val="9"/>
      <color theme="1"/>
      <name val="Calibri"/>
      <family val="2"/>
    </font>
    <font>
      <sz val="11"/>
      <color theme="8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u/>
      <vertAlign val="subscript"/>
      <sz val="11"/>
      <color theme="1"/>
      <name val="Calibri"/>
      <family val="2"/>
      <scheme val="minor"/>
    </font>
    <font>
      <sz val="15.05"/>
      <color theme="1"/>
      <name val="Calibri"/>
      <family val="2"/>
    </font>
    <font>
      <u/>
      <sz val="11"/>
      <color theme="1"/>
      <name val="Calibri"/>
      <family val="2"/>
    </font>
    <font>
      <u/>
      <vertAlign val="subscript"/>
      <sz val="15.05"/>
      <color theme="1"/>
      <name val="Calibri"/>
      <family val="2"/>
    </font>
    <font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bscript"/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vertAlign val="subscript"/>
      <sz val="16"/>
      <color theme="1"/>
      <name val="Calibri"/>
      <family val="2"/>
    </font>
    <font>
      <b/>
      <sz val="11"/>
      <color rgb="FF00B0F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00B0F0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2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1" applyNumberFormat="1" applyFont="1"/>
    <xf numFmtId="167" fontId="0" fillId="0" borderId="0" xfId="1" applyNumberFormat="1" applyFont="1"/>
    <xf numFmtId="167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quotePrefix="1"/>
    <xf numFmtId="0" fontId="7" fillId="0" borderId="0" xfId="0" quotePrefix="1" applyFont="1"/>
    <xf numFmtId="0" fontId="7" fillId="0" borderId="0" xfId="0" applyFont="1"/>
    <xf numFmtId="10" fontId="0" fillId="2" borderId="0" xfId="2" applyNumberFormat="1" applyFont="1" applyFill="1"/>
    <xf numFmtId="0" fontId="7" fillId="3" borderId="0" xfId="0" applyFont="1" applyFill="1"/>
    <xf numFmtId="167" fontId="7" fillId="3" borderId="0" xfId="1" applyNumberFormat="1" applyFont="1" applyFill="1"/>
    <xf numFmtId="0" fontId="0" fillId="0" borderId="1" xfId="0" applyBorder="1"/>
    <xf numFmtId="0" fontId="0" fillId="0" borderId="2" xfId="0" applyBorder="1"/>
    <xf numFmtId="165" fontId="0" fillId="0" borderId="2" xfId="1" applyFont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167" fontId="11" fillId="0" borderId="0" xfId="0" applyNumberFormat="1" applyFont="1"/>
    <xf numFmtId="0" fontId="2" fillId="0" borderId="0" xfId="0" applyFont="1"/>
    <xf numFmtId="165" fontId="0" fillId="0" borderId="0" xfId="1" applyFont="1" applyAlignment="1">
      <alignment horizontal="center"/>
    </xf>
    <xf numFmtId="9" fontId="0" fillId="0" borderId="0" xfId="0" applyNumberFormat="1"/>
    <xf numFmtId="165" fontId="0" fillId="2" borderId="0" xfId="1" applyFont="1" applyFill="1" applyAlignment="1">
      <alignment horizontal="center"/>
    </xf>
    <xf numFmtId="0" fontId="12" fillId="0" borderId="0" xfId="0" applyFont="1"/>
    <xf numFmtId="0" fontId="13" fillId="0" borderId="0" xfId="0" applyFont="1"/>
    <xf numFmtId="0" fontId="0" fillId="2" borderId="0" xfId="0" applyFill="1"/>
    <xf numFmtId="164" fontId="0" fillId="2" borderId="0" xfId="0" applyNumberFormat="1" applyFill="1"/>
    <xf numFmtId="168" fontId="0" fillId="0" borderId="0" xfId="0" applyNumberForma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64" fontId="0" fillId="2" borderId="0" xfId="0" applyNumberFormat="1" applyFill="1" applyAlignment="1">
      <alignment horizontal="center"/>
    </xf>
    <xf numFmtId="167" fontId="0" fillId="4" borderId="0" xfId="1" applyNumberFormat="1" applyFont="1" applyFill="1"/>
    <xf numFmtId="167" fontId="0" fillId="3" borderId="0" xfId="1" applyNumberFormat="1" applyFont="1" applyFill="1"/>
    <xf numFmtId="0" fontId="0" fillId="0" borderId="0" xfId="0" applyAlignment="1">
      <alignment horizontal="right"/>
    </xf>
    <xf numFmtId="167" fontId="0" fillId="5" borderId="0" xfId="1" applyNumberFormat="1" applyFont="1" applyFill="1"/>
    <xf numFmtId="167" fontId="0" fillId="0" borderId="2" xfId="0" applyNumberFormat="1" applyBorder="1"/>
    <xf numFmtId="0" fontId="13" fillId="0" borderId="3" xfId="0" applyFont="1" applyBorder="1"/>
    <xf numFmtId="0" fontId="0" fillId="0" borderId="6" xfId="0" applyBorder="1"/>
    <xf numFmtId="9" fontId="0" fillId="0" borderId="8" xfId="0" applyNumberFormat="1" applyBorder="1"/>
    <xf numFmtId="0" fontId="2" fillId="0" borderId="0" xfId="0" applyFont="1" applyAlignment="1">
      <alignment horizontal="right"/>
    </xf>
    <xf numFmtId="167" fontId="0" fillId="2" borderId="0" xfId="1" applyNumberFormat="1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6" fontId="0" fillId="0" borderId="0" xfId="1" applyNumberFormat="1" applyFont="1" applyAlignment="1">
      <alignment horizontal="center"/>
    </xf>
    <xf numFmtId="169" fontId="0" fillId="8" borderId="0" xfId="0" applyNumberFormat="1" applyFill="1"/>
    <xf numFmtId="164" fontId="0" fillId="0" borderId="0" xfId="0" applyNumberFormat="1"/>
    <xf numFmtId="170" fontId="0" fillId="0" borderId="0" xfId="2" applyNumberFormat="1" applyFont="1"/>
    <xf numFmtId="165" fontId="0" fillId="0" borderId="0" xfId="1" applyFont="1"/>
    <xf numFmtId="167" fontId="0" fillId="0" borderId="0" xfId="1" applyNumberFormat="1" applyFont="1" applyAlignment="1">
      <alignment horizontal="center"/>
    </xf>
    <xf numFmtId="167" fontId="0" fillId="2" borderId="0" xfId="1" applyNumberFormat="1" applyFont="1" applyFill="1" applyAlignment="1">
      <alignment horizontal="center"/>
    </xf>
    <xf numFmtId="167" fontId="0" fillId="5" borderId="0" xfId="1" applyNumberFormat="1" applyFont="1" applyFill="1" applyAlignment="1">
      <alignment horizontal="center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17" fontId="0" fillId="9" borderId="0" xfId="0" applyNumberFormat="1" applyFill="1" applyAlignment="1">
      <alignment horizontal="center"/>
    </xf>
    <xf numFmtId="165" fontId="0" fillId="9" borderId="0" xfId="1" applyFont="1" applyFill="1" applyAlignment="1">
      <alignment horizontal="center"/>
    </xf>
    <xf numFmtId="17" fontId="0" fillId="0" borderId="0" xfId="0" applyNumberFormat="1" applyAlignment="1">
      <alignment horizontal="center"/>
    </xf>
    <xf numFmtId="9" fontId="0" fillId="0" borderId="0" xfId="2" applyFont="1"/>
    <xf numFmtId="168" fontId="0" fillId="0" borderId="0" xfId="2" applyNumberFormat="1" applyFont="1"/>
    <xf numFmtId="10" fontId="0" fillId="0" borderId="0" xfId="2" applyNumberFormat="1" applyFont="1"/>
    <xf numFmtId="0" fontId="0" fillId="0" borderId="4" xfId="0" applyBorder="1"/>
    <xf numFmtId="10" fontId="0" fillId="0" borderId="0" xfId="0" applyNumberFormat="1"/>
    <xf numFmtId="10" fontId="2" fillId="0" borderId="0" xfId="0" applyNumberFormat="1" applyFont="1"/>
    <xf numFmtId="0" fontId="2" fillId="10" borderId="0" xfId="0" applyFont="1" applyFill="1"/>
    <xf numFmtId="10" fontId="2" fillId="10" borderId="0" xfId="0" applyNumberFormat="1" applyFont="1" applyFill="1"/>
    <xf numFmtId="0" fontId="17" fillId="0" borderId="0" xfId="0" applyFont="1"/>
    <xf numFmtId="10" fontId="11" fillId="0" borderId="0" xfId="2" applyNumberFormat="1" applyFont="1"/>
    <xf numFmtId="171" fontId="0" fillId="0" borderId="0" xfId="1" applyNumberFormat="1" applyFont="1"/>
    <xf numFmtId="171" fontId="2" fillId="0" borderId="0" xfId="0" applyNumberFormat="1" applyFont="1"/>
    <xf numFmtId="0" fontId="11" fillId="0" borderId="0" xfId="0" applyFont="1"/>
    <xf numFmtId="171" fontId="11" fillId="0" borderId="0" xfId="0" applyNumberFormat="1" applyFont="1"/>
    <xf numFmtId="171" fontId="13" fillId="0" borderId="0" xfId="1" applyNumberFormat="1" applyFont="1"/>
    <xf numFmtId="0" fontId="16" fillId="11" borderId="0" xfId="0" applyFont="1" applyFill="1"/>
    <xf numFmtId="10" fontId="0" fillId="11" borderId="0" xfId="2" applyNumberFormat="1" applyFont="1" applyFill="1"/>
    <xf numFmtId="0" fontId="20" fillId="0" borderId="1" xfId="0" applyFont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21" fillId="0" borderId="4" xfId="0" applyFont="1" applyBorder="1" applyAlignment="1">
      <alignment horizontal="left"/>
    </xf>
    <xf numFmtId="9" fontId="21" fillId="0" borderId="0" xfId="0" applyNumberFormat="1" applyFont="1" applyAlignment="1">
      <alignment horizontal="center"/>
    </xf>
    <xf numFmtId="0" fontId="21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10" fontId="22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4" xfId="0" applyFont="1" applyBorder="1"/>
    <xf numFmtId="0" fontId="21" fillId="0" borderId="0" xfId="0" applyFont="1"/>
    <xf numFmtId="0" fontId="21" fillId="0" borderId="6" xfId="0" applyFont="1" applyBorder="1"/>
    <xf numFmtId="0" fontId="21" fillId="0" borderId="7" xfId="0" applyFont="1" applyBorder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9" fontId="22" fillId="0" borderId="0" xfId="0" applyNumberFormat="1" applyFont="1" applyAlignment="1">
      <alignment horizontal="center"/>
    </xf>
    <xf numFmtId="171" fontId="21" fillId="0" borderId="0" xfId="1" applyNumberFormat="1" applyFont="1" applyBorder="1"/>
    <xf numFmtId="171" fontId="24" fillId="0" borderId="0" xfId="1" applyNumberFormat="1" applyFont="1" applyBorder="1"/>
    <xf numFmtId="171" fontId="21" fillId="0" borderId="0" xfId="0" applyNumberFormat="1" applyFont="1" applyAlignment="1">
      <alignment horizontal="center"/>
    </xf>
    <xf numFmtId="168" fontId="21" fillId="0" borderId="0" xfId="0" applyNumberFormat="1" applyFont="1" applyAlignment="1">
      <alignment horizontal="center"/>
    </xf>
    <xf numFmtId="10" fontId="21" fillId="0" borderId="0" xfId="0" applyNumberFormat="1" applyFont="1" applyAlignment="1">
      <alignment horizontal="center"/>
    </xf>
    <xf numFmtId="0" fontId="26" fillId="0" borderId="0" xfId="0" applyFont="1" applyAlignment="1">
      <alignment horizontal="left"/>
    </xf>
    <xf numFmtId="10" fontId="28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0" fontId="7" fillId="0" borderId="0" xfId="0" applyNumberFormat="1" applyFont="1" applyAlignment="1">
      <alignment horizontal="center"/>
    </xf>
    <xf numFmtId="0" fontId="30" fillId="0" borderId="0" xfId="0" applyFont="1"/>
    <xf numFmtId="9" fontId="31" fillId="0" borderId="0" xfId="0" applyNumberFormat="1" applyFont="1" applyAlignment="1">
      <alignment horizontal="center"/>
    </xf>
    <xf numFmtId="172" fontId="31" fillId="0" borderId="0" xfId="1" applyNumberFormat="1" applyFont="1" applyBorder="1" applyAlignment="1">
      <alignment horizontal="center"/>
    </xf>
    <xf numFmtId="0" fontId="26" fillId="3" borderId="0" xfId="0" applyFont="1" applyFill="1" applyAlignment="1">
      <alignment horizontal="left"/>
    </xf>
    <xf numFmtId="10" fontId="21" fillId="3" borderId="0" xfId="0" applyNumberFormat="1" applyFont="1" applyFill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32" fillId="0" borderId="10" xfId="0" applyFont="1" applyBorder="1"/>
    <xf numFmtId="0" fontId="2" fillId="0" borderId="11" xfId="0" applyFont="1" applyBorder="1"/>
    <xf numFmtId="0" fontId="2" fillId="0" borderId="1" xfId="0" applyFont="1" applyBorder="1"/>
    <xf numFmtId="167" fontId="0" fillId="0" borderId="0" xfId="1" applyNumberFormat="1" applyFont="1" applyBorder="1" applyAlignment="1">
      <alignment horizontal="center"/>
    </xf>
    <xf numFmtId="167" fontId="36" fillId="0" borderId="0" xfId="1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0" fontId="21" fillId="0" borderId="0" xfId="2" quotePrefix="1" applyNumberFormat="1" applyFont="1"/>
    <xf numFmtId="10" fontId="0" fillId="0" borderId="3" xfId="2" quotePrefix="1" applyNumberFormat="1" applyFont="1" applyBorder="1"/>
    <xf numFmtId="10" fontId="0" fillId="0" borderId="8" xfId="2" quotePrefix="1" applyNumberFormat="1" applyFont="1" applyBorder="1"/>
    <xf numFmtId="0" fontId="0" fillId="0" borderId="0" xfId="0" applyAlignment="1">
      <alignment horizontal="left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left"/>
    </xf>
    <xf numFmtId="0" fontId="0" fillId="7" borderId="0" xfId="0" applyFill="1" applyAlignment="1">
      <alignment horizontal="center"/>
    </xf>
    <xf numFmtId="0" fontId="37" fillId="7" borderId="0" xfId="0" applyFont="1" applyFill="1" applyAlignment="1">
      <alignment horizontal="left"/>
    </xf>
    <xf numFmtId="0" fontId="0" fillId="7" borderId="5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10" fontId="0" fillId="8" borderId="0" xfId="2" applyNumberFormat="1" applyFont="1" applyFill="1" applyAlignment="1">
      <alignment horizontal="center"/>
    </xf>
    <xf numFmtId="173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0" fontId="13" fillId="8" borderId="0" xfId="2" applyNumberFormat="1" applyFont="1" applyFill="1" applyAlignment="1">
      <alignment horizontal="center"/>
    </xf>
    <xf numFmtId="171" fontId="36" fillId="0" borderId="0" xfId="1" applyNumberFormat="1" applyFont="1" applyAlignment="1">
      <alignment horizontal="center"/>
    </xf>
    <xf numFmtId="10" fontId="0" fillId="8" borderId="0" xfId="0" applyNumberFormat="1" applyFill="1" applyAlignment="1">
      <alignment horizontal="center"/>
    </xf>
    <xf numFmtId="171" fontId="0" fillId="0" borderId="0" xfId="0" applyNumberFormat="1" applyAlignment="1">
      <alignment horizontal="center"/>
    </xf>
    <xf numFmtId="0" fontId="16" fillId="3" borderId="0" xfId="0" applyFont="1" applyFill="1" applyAlignment="1">
      <alignment horizontal="center"/>
    </xf>
    <xf numFmtId="10" fontId="0" fillId="3" borderId="0" xfId="2" applyNumberFormat="1" applyFont="1" applyFill="1" applyAlignment="1">
      <alignment horizontal="center"/>
    </xf>
    <xf numFmtId="166" fontId="0" fillId="8" borderId="0" xfId="1" applyNumberFormat="1" applyFont="1" applyFill="1"/>
    <xf numFmtId="10" fontId="0" fillId="0" borderId="0" xfId="2" applyNumberFormat="1" applyFont="1" applyAlignment="1">
      <alignment horizontal="center"/>
    </xf>
    <xf numFmtId="10" fontId="13" fillId="0" borderId="0" xfId="2" applyNumberFormat="1" applyFont="1" applyAlignment="1">
      <alignment horizontal="center"/>
    </xf>
    <xf numFmtId="0" fontId="39" fillId="2" borderId="0" xfId="0" applyFont="1" applyFill="1"/>
    <xf numFmtId="166" fontId="39" fillId="2" borderId="0" xfId="1" applyNumberFormat="1" applyFont="1" applyFill="1"/>
    <xf numFmtId="10" fontId="39" fillId="2" borderId="0" xfId="0" applyNumberFormat="1" applyFont="1" applyFill="1" applyAlignment="1">
      <alignment horizontal="center"/>
    </xf>
    <xf numFmtId="10" fontId="39" fillId="2" borderId="0" xfId="2" applyNumberFormat="1" applyFont="1" applyFill="1" applyAlignment="1">
      <alignment horizontal="center"/>
    </xf>
    <xf numFmtId="0" fontId="39" fillId="2" borderId="1" xfId="0" applyFont="1" applyFill="1" applyBorder="1"/>
    <xf numFmtId="10" fontId="39" fillId="2" borderId="3" xfId="2" quotePrefix="1" applyNumberFormat="1" applyFont="1" applyFill="1" applyBorder="1"/>
    <xf numFmtId="0" fontId="39" fillId="2" borderId="6" xfId="0" applyFont="1" applyFill="1" applyBorder="1"/>
    <xf numFmtId="10" fontId="39" fillId="2" borderId="8" xfId="2" quotePrefix="1" applyNumberFormat="1" applyFont="1" applyFill="1" applyBorder="1"/>
    <xf numFmtId="0" fontId="40" fillId="0" borderId="10" xfId="0" applyFont="1" applyBorder="1"/>
    <xf numFmtId="0" fontId="40" fillId="0" borderId="11" xfId="0" applyFont="1" applyBorder="1"/>
    <xf numFmtId="0" fontId="0" fillId="6" borderId="9" xfId="0" applyFill="1" applyBorder="1"/>
    <xf numFmtId="0" fontId="0" fillId="6" borderId="10" xfId="0" applyFill="1" applyBorder="1"/>
    <xf numFmtId="10" fontId="0" fillId="6" borderId="11" xfId="2" applyNumberFormat="1" applyFont="1" applyFill="1" applyBorder="1"/>
    <xf numFmtId="9" fontId="0" fillId="13" borderId="0" xfId="0" applyNumberFormat="1" applyFill="1" applyAlignment="1">
      <alignment horizontal="center"/>
    </xf>
    <xf numFmtId="10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0" fillId="10" borderId="0" xfId="0" applyFill="1"/>
    <xf numFmtId="0" fontId="42" fillId="10" borderId="0" xfId="0" applyFont="1" applyFill="1"/>
    <xf numFmtId="0" fontId="5" fillId="10" borderId="0" xfId="0" applyFont="1" applyFill="1"/>
    <xf numFmtId="0" fontId="0" fillId="4" borderId="0" xfId="0" applyFill="1"/>
    <xf numFmtId="172" fontId="0" fillId="4" borderId="0" xfId="1" applyNumberFormat="1" applyFont="1" applyFill="1"/>
    <xf numFmtId="0" fontId="0" fillId="14" borderId="0" xfId="0" applyFill="1"/>
    <xf numFmtId="172" fontId="0" fillId="14" borderId="0" xfId="1" applyNumberFormat="1" applyFont="1" applyFill="1"/>
    <xf numFmtId="174" fontId="0" fillId="0" borderId="0" xfId="1" applyNumberFormat="1" applyFont="1"/>
    <xf numFmtId="171" fontId="0" fillId="7" borderId="0" xfId="1" applyNumberFormat="1" applyFont="1" applyFill="1"/>
    <xf numFmtId="171" fontId="13" fillId="7" borderId="0" xfId="1" applyNumberFormat="1" applyFont="1" applyFill="1"/>
    <xf numFmtId="10" fontId="0" fillId="0" borderId="5" xfId="2" applyNumberFormat="1" applyFont="1" applyBorder="1"/>
    <xf numFmtId="10" fontId="0" fillId="0" borderId="8" xfId="2" applyNumberFormat="1" applyFont="1" applyBorder="1"/>
    <xf numFmtId="0" fontId="13" fillId="0" borderId="5" xfId="0" applyFont="1" applyBorder="1"/>
    <xf numFmtId="165" fontId="0" fillId="0" borderId="5" xfId="1" applyFont="1" applyBorder="1"/>
    <xf numFmtId="174" fontId="0" fillId="14" borderId="0" xfId="0" applyNumberFormat="1" applyFill="1"/>
    <xf numFmtId="0" fontId="0" fillId="5" borderId="0" xfId="0" applyFill="1"/>
    <xf numFmtId="174" fontId="0" fillId="5" borderId="0" xfId="1" applyNumberFormat="1" applyFont="1" applyFill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6" fontId="0" fillId="14" borderId="0" xfId="1" applyNumberFormat="1" applyFont="1" applyFill="1" applyAlignment="1">
      <alignment horizontal="center"/>
    </xf>
    <xf numFmtId="166" fontId="13" fillId="14" borderId="0" xfId="1" applyNumberFormat="1" applyFont="1" applyFill="1" applyAlignment="1">
      <alignment horizontal="center"/>
    </xf>
    <xf numFmtId="170" fontId="0" fillId="7" borderId="0" xfId="2" applyNumberFormat="1" applyFont="1" applyFill="1"/>
    <xf numFmtId="170" fontId="11" fillId="0" borderId="0" xfId="2" applyNumberFormat="1" applyFont="1"/>
    <xf numFmtId="175" fontId="0" fillId="0" borderId="0" xfId="0" applyNumberFormat="1" applyAlignment="1">
      <alignment horizontal="center"/>
    </xf>
    <xf numFmtId="175" fontId="13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0" fontId="45" fillId="0" borderId="3" xfId="0" applyFont="1" applyBorder="1"/>
    <xf numFmtId="165" fontId="0" fillId="0" borderId="3" xfId="1" applyFont="1" applyBorder="1"/>
    <xf numFmtId="165" fontId="0" fillId="0" borderId="8" xfId="0" applyNumberFormat="1" applyBorder="1"/>
    <xf numFmtId="0" fontId="0" fillId="4" borderId="0" xfId="0" applyFill="1" applyAlignment="1">
      <alignment horizontal="center"/>
    </xf>
    <xf numFmtId="170" fontId="0" fillId="4" borderId="0" xfId="0" applyNumberFormat="1" applyFill="1" applyAlignment="1">
      <alignment horizontal="center"/>
    </xf>
    <xf numFmtId="9" fontId="0" fillId="0" borderId="0" xfId="2" applyFont="1" applyAlignment="1">
      <alignment horizontal="center"/>
    </xf>
    <xf numFmtId="0" fontId="11" fillId="0" borderId="0" xfId="0" applyFont="1" applyAlignment="1">
      <alignment horizontal="center"/>
    </xf>
    <xf numFmtId="9" fontId="11" fillId="0" borderId="0" xfId="2" applyFont="1" applyAlignment="1">
      <alignment horizontal="center"/>
    </xf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5" fillId="8" borderId="0" xfId="0" applyFont="1" applyFill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2" fillId="0" borderId="2" xfId="0" applyFont="1" applyBorder="1"/>
    <xf numFmtId="0" fontId="2" fillId="0" borderId="3" xfId="0" applyFont="1" applyBorder="1"/>
    <xf numFmtId="9" fontId="0" fillId="0" borderId="5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65" fontId="0" fillId="0" borderId="8" xfId="1" applyFont="1" applyBorder="1"/>
    <xf numFmtId="172" fontId="0" fillId="0" borderId="5" xfId="1" applyNumberFormat="1" applyFont="1" applyBorder="1"/>
    <xf numFmtId="172" fontId="0" fillId="0" borderId="8" xfId="1" applyNumberFormat="1" applyFont="1" applyBorder="1"/>
    <xf numFmtId="0" fontId="47" fillId="0" borderId="0" xfId="0" applyFont="1"/>
    <xf numFmtId="166" fontId="47" fillId="0" borderId="0" xfId="1" applyNumberFormat="1" applyFont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10" fontId="0" fillId="10" borderId="0" xfId="0" applyNumberFormat="1" applyFill="1"/>
    <xf numFmtId="10" fontId="0" fillId="10" borderId="5" xfId="0" applyNumberFormat="1" applyFill="1" applyBorder="1"/>
    <xf numFmtId="10" fontId="13" fillId="10" borderId="0" xfId="0" applyNumberFormat="1" applyFont="1" applyFill="1"/>
    <xf numFmtId="10" fontId="13" fillId="10" borderId="5" xfId="0" applyNumberFormat="1" applyFont="1" applyFill="1" applyBorder="1"/>
    <xf numFmtId="0" fontId="0" fillId="10" borderId="5" xfId="0" applyFill="1" applyBorder="1"/>
    <xf numFmtId="0" fontId="0" fillId="10" borderId="6" xfId="0" applyFill="1" applyBorder="1"/>
    <xf numFmtId="10" fontId="0" fillId="10" borderId="7" xfId="0" applyNumberFormat="1" applyFill="1" applyBorder="1"/>
    <xf numFmtId="10" fontId="0" fillId="10" borderId="8" xfId="0" applyNumberFormat="1" applyFill="1" applyBorder="1"/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0" fillId="15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13" fillId="0" borderId="23" xfId="0" applyFont="1" applyBorder="1" applyAlignment="1">
      <alignment horizontal="center"/>
    </xf>
    <xf numFmtId="9" fontId="0" fillId="0" borderId="8" xfId="2" applyFont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6" xfId="0" applyNumberFormat="1" applyBorder="1"/>
    <xf numFmtId="167" fontId="0" fillId="0" borderId="0" xfId="1" applyNumberFormat="1" applyFont="1" applyBorder="1"/>
    <xf numFmtId="167" fontId="0" fillId="0" borderId="5" xfId="1" applyNumberFormat="1" applyFont="1" applyBorder="1"/>
    <xf numFmtId="167" fontId="0" fillId="0" borderId="7" xfId="1" applyNumberFormat="1" applyFont="1" applyBorder="1"/>
    <xf numFmtId="167" fontId="0" fillId="0" borderId="8" xfId="1" applyNumberFormat="1" applyFont="1" applyBorder="1"/>
    <xf numFmtId="170" fontId="0" fillId="0" borderId="0" xfId="2" applyNumberFormat="1" applyFont="1" applyBorder="1"/>
    <xf numFmtId="170" fontId="0" fillId="0" borderId="5" xfId="2" applyNumberFormat="1" applyFont="1" applyBorder="1"/>
    <xf numFmtId="170" fontId="0" fillId="0" borderId="7" xfId="2" applyNumberFormat="1" applyFont="1" applyBorder="1"/>
    <xf numFmtId="170" fontId="0" fillId="0" borderId="8" xfId="2" applyNumberFormat="1" applyFont="1" applyBorder="1"/>
    <xf numFmtId="170" fontId="0" fillId="2" borderId="0" xfId="0" applyNumberFormat="1" applyFill="1"/>
    <xf numFmtId="0" fontId="32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74" fontId="0" fillId="0" borderId="0" xfId="1" applyNumberFormat="1" applyFont="1" applyBorder="1" applyAlignment="1">
      <alignment horizontal="center"/>
    </xf>
    <xf numFmtId="174" fontId="0" fillId="0" borderId="5" xfId="1" applyNumberFormat="1" applyFont="1" applyBorder="1" applyAlignment="1">
      <alignment horizontal="center"/>
    </xf>
    <xf numFmtId="174" fontId="0" fillId="0" borderId="7" xfId="1" applyNumberFormat="1" applyFont="1" applyBorder="1" applyAlignment="1">
      <alignment horizontal="center"/>
    </xf>
    <xf numFmtId="174" fontId="0" fillId="0" borderId="8" xfId="1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9" fontId="13" fillId="0" borderId="0" xfId="0" applyNumberFormat="1" applyFont="1"/>
    <xf numFmtId="165" fontId="0" fillId="0" borderId="0" xfId="1" applyFont="1" applyBorder="1"/>
    <xf numFmtId="165" fontId="0" fillId="0" borderId="7" xfId="1" applyFont="1" applyBorder="1"/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10" fontId="48" fillId="0" borderId="4" xfId="2" applyNumberFormat="1" applyFont="1" applyBorder="1"/>
    <xf numFmtId="10" fontId="48" fillId="0" borderId="0" xfId="2" applyNumberFormat="1" applyFont="1" applyBorder="1"/>
    <xf numFmtId="10" fontId="48" fillId="0" borderId="5" xfId="2" applyNumberFormat="1" applyFont="1" applyBorder="1"/>
    <xf numFmtId="10" fontId="48" fillId="0" borderId="6" xfId="2" applyNumberFormat="1" applyFont="1" applyBorder="1"/>
    <xf numFmtId="10" fontId="48" fillId="0" borderId="7" xfId="2" applyNumberFormat="1" applyFont="1" applyBorder="1"/>
    <xf numFmtId="10" fontId="48" fillId="0" borderId="8" xfId="2" applyNumberFormat="1" applyFont="1" applyBorder="1"/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10" fontId="0" fillId="0" borderId="7" xfId="0" applyNumberFormat="1" applyBorder="1"/>
    <xf numFmtId="10" fontId="0" fillId="0" borderId="8" xfId="0" applyNumberFormat="1" applyBorder="1"/>
    <xf numFmtId="0" fontId="32" fillId="0" borderId="0" xfId="0" applyFont="1" applyAlignment="1">
      <alignment horizontal="center"/>
    </xf>
    <xf numFmtId="174" fontId="0" fillId="0" borderId="1" xfId="1" applyNumberFormat="1" applyFont="1" applyBorder="1"/>
    <xf numFmtId="174" fontId="0" fillId="0" borderId="2" xfId="1" applyNumberFormat="1" applyFont="1" applyBorder="1"/>
    <xf numFmtId="174" fontId="0" fillId="0" borderId="3" xfId="1" applyNumberFormat="1" applyFont="1" applyBorder="1"/>
    <xf numFmtId="174" fontId="0" fillId="0" borderId="4" xfId="1" applyNumberFormat="1" applyFont="1" applyBorder="1"/>
    <xf numFmtId="174" fontId="0" fillId="0" borderId="0" xfId="1" applyNumberFormat="1" applyFont="1" applyBorder="1"/>
    <xf numFmtId="174" fontId="0" fillId="0" borderId="5" xfId="1" applyNumberFormat="1" applyFont="1" applyBorder="1"/>
    <xf numFmtId="174" fontId="0" fillId="0" borderId="6" xfId="1" applyNumberFormat="1" applyFont="1" applyBorder="1"/>
    <xf numFmtId="174" fontId="0" fillId="0" borderId="7" xfId="1" applyNumberFormat="1" applyFont="1" applyBorder="1"/>
    <xf numFmtId="174" fontId="0" fillId="0" borderId="8" xfId="1" applyNumberFormat="1" applyFont="1" applyBorder="1"/>
    <xf numFmtId="169" fontId="49" fillId="0" borderId="0" xfId="0" applyNumberFormat="1" applyFont="1"/>
    <xf numFmtId="2" fontId="49" fillId="0" borderId="0" xfId="0" applyNumberFormat="1" applyFont="1"/>
    <xf numFmtId="9" fontId="49" fillId="0" borderId="0" xfId="2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16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176" fontId="0" fillId="0" borderId="0" xfId="0" applyNumberFormat="1"/>
    <xf numFmtId="175" fontId="0" fillId="0" borderId="0" xfId="0" applyNumberFormat="1"/>
    <xf numFmtId="0" fontId="51" fillId="0" borderId="9" xfId="0" applyFont="1" applyBorder="1"/>
    <xf numFmtId="0" fontId="51" fillId="0" borderId="10" xfId="0" applyFont="1" applyBorder="1"/>
    <xf numFmtId="0" fontId="51" fillId="0" borderId="11" xfId="0" applyFont="1" applyBorder="1"/>
    <xf numFmtId="0" fontId="52" fillId="0" borderId="0" xfId="0" applyFont="1"/>
    <xf numFmtId="9" fontId="52" fillId="0" borderId="0" xfId="0" applyNumberFormat="1" applyFont="1"/>
    <xf numFmtId="172" fontId="0" fillId="0" borderId="0" xfId="1" applyNumberFormat="1" applyFont="1"/>
    <xf numFmtId="9" fontId="52" fillId="0" borderId="0" xfId="0" applyNumberFormat="1" applyFont="1" applyAlignment="1">
      <alignment horizontal="right"/>
    </xf>
    <xf numFmtId="0" fontId="53" fillId="0" borderId="0" xfId="0" applyFont="1"/>
    <xf numFmtId="10" fontId="0" fillId="2" borderId="0" xfId="0" applyNumberFormat="1" applyFill="1"/>
    <xf numFmtId="170" fontId="0" fillId="2" borderId="0" xfId="2" applyNumberFormat="1" applyFont="1" applyFill="1"/>
    <xf numFmtId="0" fontId="14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0" fillId="10" borderId="7" xfId="0" applyFill="1" applyBorder="1"/>
    <xf numFmtId="0" fontId="0" fillId="10" borderId="8" xfId="0" applyFill="1" applyBorder="1"/>
    <xf numFmtId="165" fontId="0" fillId="2" borderId="0" xfId="1" applyFont="1" applyFill="1"/>
    <xf numFmtId="10" fontId="11" fillId="0" borderId="0" xfId="0" applyNumberFormat="1" applyFont="1"/>
    <xf numFmtId="165" fontId="0" fillId="0" borderId="27" xfId="1" applyFont="1" applyBorder="1"/>
    <xf numFmtId="165" fontId="0" fillId="0" borderId="28" xfId="1" applyFont="1" applyBorder="1"/>
    <xf numFmtId="165" fontId="0" fillId="0" borderId="29" xfId="1" applyFont="1" applyBorder="1"/>
    <xf numFmtId="165" fontId="0" fillId="0" borderId="20" xfId="1" applyFont="1" applyBorder="1"/>
    <xf numFmtId="165" fontId="0" fillId="0" borderId="21" xfId="1" applyFont="1" applyBorder="1"/>
    <xf numFmtId="165" fontId="0" fillId="0" borderId="22" xfId="1" applyFont="1" applyBorder="1"/>
    <xf numFmtId="165" fontId="0" fillId="0" borderId="24" xfId="1" applyFont="1" applyBorder="1"/>
    <xf numFmtId="165" fontId="0" fillId="0" borderId="25" xfId="1" applyFont="1" applyBorder="1"/>
    <xf numFmtId="165" fontId="0" fillId="0" borderId="26" xfId="1" applyFont="1" applyBorder="1"/>
    <xf numFmtId="166" fontId="0" fillId="2" borderId="0" xfId="1" applyNumberFormat="1" applyFont="1" applyFill="1"/>
    <xf numFmtId="0" fontId="55" fillId="0" borderId="0" xfId="0" applyFont="1"/>
    <xf numFmtId="0" fontId="48" fillId="0" borderId="0" xfId="0" applyFont="1" applyAlignment="1">
      <alignment horizontal="center"/>
    </xf>
    <xf numFmtId="0" fontId="48" fillId="0" borderId="0" xfId="0" applyFont="1"/>
    <xf numFmtId="2" fontId="48" fillId="0" borderId="0" xfId="0" applyNumberFormat="1" applyFont="1" applyAlignment="1">
      <alignment horizontal="center"/>
    </xf>
    <xf numFmtId="0" fontId="56" fillId="0" borderId="0" xfId="0" applyFont="1"/>
    <xf numFmtId="167" fontId="36" fillId="0" borderId="0" xfId="0" applyNumberFormat="1" applyFont="1"/>
    <xf numFmtId="0" fontId="51" fillId="0" borderId="1" xfId="0" applyFont="1" applyBorder="1"/>
    <xf numFmtId="0" fontId="51" fillId="0" borderId="2" xfId="0" applyFont="1" applyBorder="1"/>
    <xf numFmtId="0" fontId="51" fillId="0" borderId="3" xfId="0" applyFont="1" applyBorder="1"/>
    <xf numFmtId="0" fontId="51" fillId="0" borderId="4" xfId="0" applyFont="1" applyBorder="1"/>
    <xf numFmtId="0" fontId="51" fillId="0" borderId="0" xfId="0" applyFont="1"/>
    <xf numFmtId="167" fontId="51" fillId="0" borderId="0" xfId="0" applyNumberFormat="1" applyFont="1"/>
    <xf numFmtId="0" fontId="51" fillId="0" borderId="5" xfId="0" applyFont="1" applyBorder="1"/>
    <xf numFmtId="0" fontId="51" fillId="0" borderId="6" xfId="0" applyFont="1" applyBorder="1"/>
    <xf numFmtId="0" fontId="51" fillId="0" borderId="7" xfId="0" applyFont="1" applyBorder="1"/>
    <xf numFmtId="0" fontId="51" fillId="0" borderId="8" xfId="0" applyFont="1" applyBorder="1"/>
    <xf numFmtId="167" fontId="36" fillId="0" borderId="0" xfId="1" applyNumberFormat="1" applyFont="1"/>
    <xf numFmtId="167" fontId="0" fillId="2" borderId="0" xfId="0" applyNumberFormat="1" applyFill="1"/>
    <xf numFmtId="167" fontId="51" fillId="0" borderId="0" xfId="1" applyNumberFormat="1" applyFont="1"/>
    <xf numFmtId="167" fontId="0" fillId="6" borderId="0" xfId="1" applyNumberFormat="1" applyFont="1" applyFill="1"/>
    <xf numFmtId="167" fontId="0" fillId="6" borderId="0" xfId="0" applyNumberFormat="1" applyFill="1"/>
    <xf numFmtId="9" fontId="0" fillId="10" borderId="0" xfId="2" applyFont="1" applyFill="1"/>
    <xf numFmtId="0" fontId="4" fillId="0" borderId="0" xfId="0" applyFont="1" applyAlignment="1">
      <alignment horizontal="center"/>
    </xf>
    <xf numFmtId="0" fontId="59" fillId="0" borderId="0" xfId="0" applyFont="1"/>
    <xf numFmtId="0" fontId="61" fillId="0" borderId="0" xfId="0" applyFont="1"/>
    <xf numFmtId="165" fontId="61" fillId="0" borderId="0" xfId="1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30" xfId="0" applyFont="1" applyBorder="1" applyAlignment="1">
      <alignment horizontal="centerContinuous"/>
    </xf>
    <xf numFmtId="0" fontId="62" fillId="0" borderId="30" xfId="0" applyFont="1" applyBorder="1" applyAlignment="1">
      <alignment horizontal="center"/>
    </xf>
    <xf numFmtId="165" fontId="21" fillId="0" borderId="0" xfId="1" applyFont="1" applyFill="1" applyBorder="1" applyAlignment="1"/>
    <xf numFmtId="165" fontId="63" fillId="0" borderId="7" xfId="1" applyFont="1" applyFill="1" applyBorder="1" applyAlignment="1"/>
    <xf numFmtId="10" fontId="0" fillId="14" borderId="0" xfId="2" applyNumberFormat="1" applyFont="1" applyFill="1"/>
    <xf numFmtId="0" fontId="0" fillId="10" borderId="3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10" fontId="0" fillId="0" borderId="0" xfId="0" applyNumberFormat="1" applyAlignment="1">
      <alignment horizontal="center"/>
    </xf>
    <xf numFmtId="166" fontId="0" fillId="13" borderId="0" xfId="0" applyNumberFormat="1" applyFill="1" applyAlignment="1">
      <alignment horizontal="center"/>
    </xf>
    <xf numFmtId="10" fontId="0" fillId="0" borderId="0" xfId="2" applyNumberFormat="1" applyFont="1" applyAlignment="1">
      <alignment horizontal="right"/>
    </xf>
    <xf numFmtId="0" fontId="48" fillId="0" borderId="9" xfId="0" applyFont="1" applyBorder="1"/>
    <xf numFmtId="0" fontId="48" fillId="0" borderId="10" xfId="0" applyFont="1" applyBorder="1"/>
    <xf numFmtId="10" fontId="48" fillId="0" borderId="11" xfId="2" applyNumberFormat="1" applyFont="1" applyBorder="1"/>
    <xf numFmtId="167" fontId="36" fillId="0" borderId="0" xfId="1" applyNumberFormat="1" applyFont="1" applyFill="1"/>
    <xf numFmtId="167" fontId="0" fillId="0" borderId="0" xfId="1" applyNumberFormat="1" applyFont="1" applyFill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36" fillId="0" borderId="0" xfId="0" applyNumberFormat="1" applyFont="1"/>
    <xf numFmtId="167" fontId="13" fillId="0" borderId="0" xfId="1" applyNumberFormat="1" applyFont="1"/>
    <xf numFmtId="167" fontId="61" fillId="0" borderId="0" xfId="1" applyNumberFormat="1" applyFont="1"/>
    <xf numFmtId="0" fontId="48" fillId="0" borderId="1" xfId="0" applyFont="1" applyBorder="1"/>
    <xf numFmtId="0" fontId="48" fillId="0" borderId="2" xfId="0" applyFont="1" applyBorder="1"/>
    <xf numFmtId="0" fontId="48" fillId="0" borderId="3" xfId="0" applyFont="1" applyBorder="1"/>
    <xf numFmtId="0" fontId="32" fillId="0" borderId="4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166" fontId="48" fillId="0" borderId="0" xfId="1" applyNumberFormat="1" applyFont="1" applyBorder="1" applyAlignment="1">
      <alignment horizontal="center"/>
    </xf>
    <xf numFmtId="165" fontId="48" fillId="0" borderId="0" xfId="0" applyNumberFormat="1" applyFont="1" applyAlignment="1">
      <alignment horizontal="center"/>
    </xf>
    <xf numFmtId="0" fontId="48" fillId="0" borderId="5" xfId="0" applyFont="1" applyBorder="1" applyAlignment="1">
      <alignment horizontal="center"/>
    </xf>
    <xf numFmtId="165" fontId="64" fillId="0" borderId="0" xfId="0" applyNumberFormat="1" applyFont="1" applyAlignment="1">
      <alignment horizontal="center"/>
    </xf>
    <xf numFmtId="0" fontId="48" fillId="0" borderId="6" xfId="0" applyFont="1" applyBorder="1" applyAlignment="1">
      <alignment horizontal="center"/>
    </xf>
    <xf numFmtId="0" fontId="48" fillId="0" borderId="7" xfId="0" applyFont="1" applyBorder="1" applyAlignment="1">
      <alignment horizontal="center"/>
    </xf>
    <xf numFmtId="0" fontId="48" fillId="0" borderId="8" xfId="0" applyFont="1" applyBorder="1" applyAlignment="1">
      <alignment horizontal="center"/>
    </xf>
    <xf numFmtId="165" fontId="32" fillId="0" borderId="0" xfId="0" applyNumberFormat="1" applyFont="1" applyAlignment="1">
      <alignment horizontal="center"/>
    </xf>
    <xf numFmtId="9" fontId="51" fillId="2" borderId="0" xfId="0" applyNumberFormat="1" applyFont="1" applyFill="1"/>
    <xf numFmtId="0" fontId="51" fillId="2" borderId="0" xfId="0" applyFont="1" applyFill="1" applyAlignment="1">
      <alignment horizontal="center"/>
    </xf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0" xfId="0" applyFill="1"/>
    <xf numFmtId="0" fontId="0" fillId="11" borderId="5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1" borderId="8" xfId="0" applyFill="1" applyBorder="1"/>
    <xf numFmtId="9" fontId="0" fillId="0" borderId="0" xfId="2" applyFont="1" applyFill="1"/>
    <xf numFmtId="0" fontId="61" fillId="2" borderId="0" xfId="0" applyFont="1" applyFill="1"/>
    <xf numFmtId="165" fontId="61" fillId="2" borderId="0" xfId="1" applyFont="1" applyFill="1"/>
    <xf numFmtId="9" fontId="2" fillId="0" borderId="0" xfId="0" applyNumberFormat="1" applyFont="1" applyAlignment="1">
      <alignment horizontal="center"/>
    </xf>
    <xf numFmtId="165" fontId="36" fillId="0" borderId="0" xfId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Risk!$I$24:$I$30</c:f>
              <c:numCache>
                <c:formatCode>General</c:formatCode>
                <c:ptCount val="7"/>
                <c:pt idx="0">
                  <c:v>127</c:v>
                </c:pt>
                <c:pt idx="1">
                  <c:v>154</c:v>
                </c:pt>
                <c:pt idx="2">
                  <c:v>211</c:v>
                </c:pt>
                <c:pt idx="3">
                  <c:v>268</c:v>
                </c:pt>
                <c:pt idx="4">
                  <c:v>92</c:v>
                </c:pt>
                <c:pt idx="5">
                  <c:v>144</c:v>
                </c:pt>
                <c:pt idx="6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40-43BC-8098-2575D895BC9E}"/>
            </c:ext>
          </c:extLst>
        </c:ser>
        <c:ser>
          <c:idx val="1"/>
          <c:order val="1"/>
          <c:tx>
            <c:v>B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Risk!$J$24:$J$30</c:f>
              <c:numCache>
                <c:formatCode>General</c:formatCode>
                <c:ptCount val="7"/>
                <c:pt idx="0">
                  <c:v>115</c:v>
                </c:pt>
                <c:pt idx="1">
                  <c:v>118</c:v>
                </c:pt>
                <c:pt idx="2">
                  <c:v>114</c:v>
                </c:pt>
                <c:pt idx="3">
                  <c:v>116</c:v>
                </c:pt>
                <c:pt idx="4">
                  <c:v>122</c:v>
                </c:pt>
                <c:pt idx="5">
                  <c:v>125</c:v>
                </c:pt>
                <c:pt idx="6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40-43BC-8098-2575D895B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169392"/>
        <c:axId val="1840147760"/>
      </c:lineChart>
      <c:catAx>
        <c:axId val="1840169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47760"/>
        <c:crosses val="autoZero"/>
        <c:auto val="1"/>
        <c:lblAlgn val="ctr"/>
        <c:lblOffset val="100"/>
        <c:noMultiLvlLbl val="0"/>
      </c:catAx>
      <c:valAx>
        <c:axId val="184014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16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A=2; U=0.05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Utility!$K$19:$K$24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xVal>
          <c:yVal>
            <c:numRef>
              <c:f>Utility!$L$19:$L$24</c:f>
              <c:numCache>
                <c:formatCode>0.00%</c:formatCode>
                <c:ptCount val="6"/>
                <c:pt idx="0">
                  <c:v>0.05</c:v>
                </c:pt>
                <c:pt idx="1">
                  <c:v>5.2500000000000005E-2</c:v>
                </c:pt>
                <c:pt idx="2">
                  <c:v>6.0000000000000005E-2</c:v>
                </c:pt>
                <c:pt idx="3">
                  <c:v>7.2500000000000009E-2</c:v>
                </c:pt>
                <c:pt idx="4">
                  <c:v>9.0000000000000011E-2</c:v>
                </c:pt>
                <c:pt idx="5">
                  <c:v>0.1125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CF-4F47-ADDA-FE068B83C2BF}"/>
            </c:ext>
          </c:extLst>
        </c:ser>
        <c:ser>
          <c:idx val="1"/>
          <c:order val="1"/>
          <c:tx>
            <c:v>A=3; U=0.06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Utility!$K$30:$K$35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xVal>
          <c:yVal>
            <c:numRef>
              <c:f>Utility!$L$30:$L$35</c:f>
              <c:numCache>
                <c:formatCode>0.00%</c:formatCode>
                <c:ptCount val="6"/>
                <c:pt idx="0">
                  <c:v>0.06</c:v>
                </c:pt>
                <c:pt idx="1">
                  <c:v>6.3750000000000001E-2</c:v>
                </c:pt>
                <c:pt idx="2">
                  <c:v>7.4999999999999997E-2</c:v>
                </c:pt>
                <c:pt idx="3">
                  <c:v>9.375E-2</c:v>
                </c:pt>
                <c:pt idx="4">
                  <c:v>0.12000000000000001</c:v>
                </c:pt>
                <c:pt idx="5">
                  <c:v>0.15375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CF-4F47-ADDA-FE068B83C2BF}"/>
            </c:ext>
          </c:extLst>
        </c:ser>
        <c:ser>
          <c:idx val="2"/>
          <c:order val="2"/>
          <c:tx>
            <c:v>A=4; U=0.07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Utility!$K$41:$K$46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xVal>
          <c:yVal>
            <c:numRef>
              <c:f>Utility!$L$41:$L$46</c:f>
              <c:numCache>
                <c:formatCode>0.00%</c:formatCode>
                <c:ptCount val="6"/>
                <c:pt idx="0">
                  <c:v>7.0000000000000007E-2</c:v>
                </c:pt>
                <c:pt idx="1">
                  <c:v>7.5000000000000011E-2</c:v>
                </c:pt>
                <c:pt idx="2">
                  <c:v>9.0000000000000011E-2</c:v>
                </c:pt>
                <c:pt idx="3">
                  <c:v>0.115</c:v>
                </c:pt>
                <c:pt idx="4">
                  <c:v>0.15000000000000002</c:v>
                </c:pt>
                <c:pt idx="5">
                  <c:v>0.19500000000000001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CF-4F47-ADDA-FE068B83C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015376"/>
        <c:axId val="2093033264"/>
      </c:scatterChart>
      <c:valAx>
        <c:axId val="209301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33264"/>
        <c:crosses val="autoZero"/>
        <c:crossBetween val="midCat"/>
      </c:valAx>
      <c:valAx>
        <c:axId val="209303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15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UTILITY INDIFFERENCE</a:t>
            </a:r>
            <a:r>
              <a:rPr lang="en-IN" baseline="0"/>
              <a:t> CURVES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U=0.05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Utility!$K$58:$K$63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xVal>
          <c:yVal>
            <c:numRef>
              <c:f>Utility!$L$58:$L$63</c:f>
              <c:numCache>
                <c:formatCode>0.00%</c:formatCode>
                <c:ptCount val="6"/>
                <c:pt idx="0">
                  <c:v>0.05</c:v>
                </c:pt>
                <c:pt idx="1">
                  <c:v>5.2500000000000005E-2</c:v>
                </c:pt>
                <c:pt idx="2">
                  <c:v>6.0000000000000005E-2</c:v>
                </c:pt>
                <c:pt idx="3">
                  <c:v>7.2500000000000009E-2</c:v>
                </c:pt>
                <c:pt idx="4">
                  <c:v>9.0000000000000011E-2</c:v>
                </c:pt>
                <c:pt idx="5">
                  <c:v>0.1125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3-4400-8DE9-DF67246954FA}"/>
            </c:ext>
          </c:extLst>
        </c:ser>
        <c:ser>
          <c:idx val="1"/>
          <c:order val="1"/>
          <c:tx>
            <c:v>U=0.06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Utility!$K$69:$K$74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xVal>
          <c:yVal>
            <c:numRef>
              <c:f>Utility!$L$69:$L$74</c:f>
              <c:numCache>
                <c:formatCode>0.00%</c:formatCode>
                <c:ptCount val="6"/>
                <c:pt idx="0">
                  <c:v>0.06</c:v>
                </c:pt>
                <c:pt idx="1">
                  <c:v>6.25E-2</c:v>
                </c:pt>
                <c:pt idx="2">
                  <c:v>7.0000000000000007E-2</c:v>
                </c:pt>
                <c:pt idx="3">
                  <c:v>8.249999999999999E-2</c:v>
                </c:pt>
                <c:pt idx="4">
                  <c:v>0.1</c:v>
                </c:pt>
                <c:pt idx="5">
                  <c:v>0.1225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03-4400-8DE9-DF67246954FA}"/>
            </c:ext>
          </c:extLst>
        </c:ser>
        <c:ser>
          <c:idx val="2"/>
          <c:order val="2"/>
          <c:tx>
            <c:v>U=0.07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Utility!$K$80:$K$85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xVal>
          <c:yVal>
            <c:numRef>
              <c:f>Utility!$L$80:$L$85</c:f>
              <c:numCache>
                <c:formatCode>0.00%</c:formatCode>
                <c:ptCount val="6"/>
                <c:pt idx="0">
                  <c:v>7.0000000000000007E-2</c:v>
                </c:pt>
                <c:pt idx="1">
                  <c:v>7.2500000000000009E-2</c:v>
                </c:pt>
                <c:pt idx="2">
                  <c:v>8.0000000000000016E-2</c:v>
                </c:pt>
                <c:pt idx="3">
                  <c:v>9.2499999999999999E-2</c:v>
                </c:pt>
                <c:pt idx="4">
                  <c:v>0.11000000000000001</c:v>
                </c:pt>
                <c:pt idx="5">
                  <c:v>0.13250000000000001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703-4400-8DE9-DF6724695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042416"/>
        <c:axId val="2093061552"/>
      </c:scatterChart>
      <c:valAx>
        <c:axId val="209304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61552"/>
        <c:crosses val="autoZero"/>
        <c:crossBetween val="midCat"/>
      </c:valAx>
      <c:valAx>
        <c:axId val="20930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04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SECURITY MARKET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Equity!$E$60:$E$75</c:f>
              <c:numCache>
                <c:formatCode>_ * #,##0.000_ ;_ * \-#,##0.000_ ;_ * "-"??_ ;_ @_ </c:formatCode>
                <c:ptCount val="1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xVal>
          <c:yVal>
            <c:numRef>
              <c:f>Equity!$F$60:$F$75</c:f>
              <c:numCache>
                <c:formatCode>0.00%</c:formatCode>
                <c:ptCount val="16"/>
                <c:pt idx="0">
                  <c:v>0.06</c:v>
                </c:pt>
                <c:pt idx="1">
                  <c:v>7.2999999999999995E-2</c:v>
                </c:pt>
                <c:pt idx="2">
                  <c:v>8.5999999999999993E-2</c:v>
                </c:pt>
                <c:pt idx="3">
                  <c:v>9.9000000000000005E-2</c:v>
                </c:pt>
                <c:pt idx="4">
                  <c:v>0.112</c:v>
                </c:pt>
                <c:pt idx="5">
                  <c:v>0.125</c:v>
                </c:pt>
                <c:pt idx="6">
                  <c:v>0.13800000000000001</c:v>
                </c:pt>
                <c:pt idx="7">
                  <c:v>0.151</c:v>
                </c:pt>
                <c:pt idx="8">
                  <c:v>0.16400000000000001</c:v>
                </c:pt>
                <c:pt idx="9">
                  <c:v>0.17699999999999999</c:v>
                </c:pt>
                <c:pt idx="10">
                  <c:v>0.19</c:v>
                </c:pt>
                <c:pt idx="11">
                  <c:v>0.20300000000000001</c:v>
                </c:pt>
                <c:pt idx="12">
                  <c:v>0.216</c:v>
                </c:pt>
                <c:pt idx="13">
                  <c:v>0.22900000000000001</c:v>
                </c:pt>
                <c:pt idx="14">
                  <c:v>0.24199999999999999</c:v>
                </c:pt>
                <c:pt idx="15">
                  <c:v>0.255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87-497F-AABD-A5661593E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029936"/>
        <c:axId val="161003056"/>
      </c:scatterChart>
      <c:valAx>
        <c:axId val="16102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_ * #,##0.000_ ;_ * \-#,##0.000_ ;_ * &quot;-&quot;??_ ;_ @_ 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03056"/>
        <c:crosses val="autoZero"/>
        <c:crossBetween val="midCat"/>
      </c:valAx>
      <c:valAx>
        <c:axId val="16100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2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pin" dx="26" fmlaLink="$L$18" max="10" min="4" page="10" val="8"/>
</file>

<file path=xl/ctrlProps/ctrlProp2.xml><?xml version="1.0" encoding="utf-8"?>
<formControlPr xmlns="http://schemas.microsoft.com/office/spreadsheetml/2009/9/main" objectType="Spin" dx="26" fmlaLink="$J$66" max="9" min="1" page="10" val="5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162142</xdr:colOff>
      <xdr:row>38</xdr:row>
      <xdr:rowOff>156614</xdr:rowOff>
    </xdr:from>
    <xdr:to>
      <xdr:col>27</xdr:col>
      <xdr:colOff>234461</xdr:colOff>
      <xdr:row>40</xdr:row>
      <xdr:rowOff>166076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H="1" flipV="1">
          <a:off x="17131296" y="7483537"/>
          <a:ext cx="72319" cy="380693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83430</xdr:colOff>
      <xdr:row>20</xdr:row>
      <xdr:rowOff>72308</xdr:rowOff>
    </xdr:from>
    <xdr:to>
      <xdr:col>6</xdr:col>
      <xdr:colOff>161298</xdr:colOff>
      <xdr:row>32</xdr:row>
      <xdr:rowOff>38934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27810</xdr:colOff>
      <xdr:row>59</xdr:row>
      <xdr:rowOff>172424</xdr:rowOff>
    </xdr:from>
    <xdr:to>
      <xdr:col>14</xdr:col>
      <xdr:colOff>283665</xdr:colOff>
      <xdr:row>60</xdr:row>
      <xdr:rowOff>100117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 flipV="1">
          <a:off x="4310584" y="10884920"/>
          <a:ext cx="4538628" cy="1112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177985</xdr:colOff>
      <xdr:row>82</xdr:row>
      <xdr:rowOff>61182</xdr:rowOff>
    </xdr:from>
    <xdr:to>
      <xdr:col>6</xdr:col>
      <xdr:colOff>372656</xdr:colOff>
      <xdr:row>84</xdr:row>
      <xdr:rowOff>116803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 rot="16200000">
          <a:off x="3426218" y="15151007"/>
          <a:ext cx="428278" cy="806496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533956</xdr:colOff>
      <xdr:row>82</xdr:row>
      <xdr:rowOff>44497</xdr:rowOff>
    </xdr:from>
    <xdr:to>
      <xdr:col>12</xdr:col>
      <xdr:colOff>311474</xdr:colOff>
      <xdr:row>86</xdr:row>
      <xdr:rowOff>22248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 flipV="1">
          <a:off x="3593080" y="15323431"/>
          <a:ext cx="4293898" cy="7175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105679</xdr:colOff>
      <xdr:row>85</xdr:row>
      <xdr:rowOff>139050</xdr:rowOff>
    </xdr:from>
    <xdr:to>
      <xdr:col>12</xdr:col>
      <xdr:colOff>472262</xdr:colOff>
      <xdr:row>88</xdr:row>
      <xdr:rowOff>11857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7069358" y="15974189"/>
          <a:ext cx="978408" cy="484632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88993</xdr:colOff>
      <xdr:row>86</xdr:row>
      <xdr:rowOff>66745</xdr:rowOff>
    </xdr:from>
    <xdr:to>
      <xdr:col>17</xdr:col>
      <xdr:colOff>255854</xdr:colOff>
      <xdr:row>89</xdr:row>
      <xdr:rowOff>38934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/>
      </xdr:nvCxnSpPr>
      <xdr:spPr>
        <a:xfrm flipH="1">
          <a:off x="9783635" y="16113241"/>
          <a:ext cx="1312642" cy="584014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177985</xdr:colOff>
      <xdr:row>105</xdr:row>
      <xdr:rowOff>61182</xdr:rowOff>
    </xdr:from>
    <xdr:to>
      <xdr:col>6</xdr:col>
      <xdr:colOff>372656</xdr:colOff>
      <xdr:row>107</xdr:row>
      <xdr:rowOff>116803</xdr:rowOff>
    </xdr:to>
    <xdr:sp macro="" textlink="">
      <xdr:nvSpPr>
        <xdr:cNvPr id="12" name="Left Brac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rot="16200000">
          <a:off x="3420656" y="15156569"/>
          <a:ext cx="439402" cy="806496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533956</xdr:colOff>
      <xdr:row>105</xdr:row>
      <xdr:rowOff>44497</xdr:rowOff>
    </xdr:from>
    <xdr:to>
      <xdr:col>12</xdr:col>
      <xdr:colOff>311474</xdr:colOff>
      <xdr:row>109</xdr:row>
      <xdr:rowOff>22248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/>
      </xdr:nvCxnSpPr>
      <xdr:spPr>
        <a:xfrm flipV="1">
          <a:off x="3593080" y="15323431"/>
          <a:ext cx="4343956" cy="745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88993</xdr:colOff>
      <xdr:row>109</xdr:row>
      <xdr:rowOff>66745</xdr:rowOff>
    </xdr:from>
    <xdr:to>
      <xdr:col>17</xdr:col>
      <xdr:colOff>255854</xdr:colOff>
      <xdr:row>112</xdr:row>
      <xdr:rowOff>38934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/>
      </xdr:nvCxnSpPr>
      <xdr:spPr>
        <a:xfrm flipH="1">
          <a:off x="9783635" y="16113241"/>
          <a:ext cx="1312642" cy="584014"/>
        </a:xfrm>
        <a:prstGeom prst="line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500584</xdr:colOff>
      <xdr:row>3</xdr:row>
      <xdr:rowOff>155738</xdr:rowOff>
    </xdr:from>
    <xdr:to>
      <xdr:col>6</xdr:col>
      <xdr:colOff>194671</xdr:colOff>
      <xdr:row>8</xdr:row>
      <xdr:rowOff>72306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 flipH="1" flipV="1">
          <a:off x="2947883" y="711942"/>
          <a:ext cx="917737" cy="8565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584014</xdr:colOff>
      <xdr:row>18</xdr:row>
      <xdr:rowOff>94555</xdr:rowOff>
    </xdr:from>
    <xdr:to>
      <xdr:col>23</xdr:col>
      <xdr:colOff>194671</xdr:colOff>
      <xdr:row>47</xdr:row>
      <xdr:rowOff>33372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50058</xdr:colOff>
      <xdr:row>69</xdr:row>
      <xdr:rowOff>177429</xdr:rowOff>
    </xdr:from>
    <xdr:to>
      <xdr:col>21</xdr:col>
      <xdr:colOff>339284</xdr:colOff>
      <xdr:row>84</xdr:row>
      <xdr:rowOff>150731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44497</xdr:colOff>
      <xdr:row>27</xdr:row>
      <xdr:rowOff>155737</xdr:rowOff>
    </xdr:from>
    <xdr:to>
      <xdr:col>13</xdr:col>
      <xdr:colOff>450526</xdr:colOff>
      <xdr:row>41</xdr:row>
      <xdr:rowOff>38934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CxnSpPr/>
      </xdr:nvCxnSpPr>
      <xdr:spPr>
        <a:xfrm flipH="1">
          <a:off x="6324044" y="5133766"/>
          <a:ext cx="1629679" cy="246398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361533</xdr:colOff>
      <xdr:row>3</xdr:row>
      <xdr:rowOff>6953</xdr:rowOff>
    </xdr:from>
    <xdr:to>
      <xdr:col>8</xdr:col>
      <xdr:colOff>361533</xdr:colOff>
      <xdr:row>4</xdr:row>
      <xdr:rowOff>152956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4476333" y="555593"/>
          <a:ext cx="0" cy="3288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577062</xdr:colOff>
      <xdr:row>2</xdr:row>
      <xdr:rowOff>180767</xdr:rowOff>
    </xdr:from>
    <xdr:to>
      <xdr:col>6</xdr:col>
      <xdr:colOff>577062</xdr:colOff>
      <xdr:row>4</xdr:row>
      <xdr:rowOff>97336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 flipV="1">
          <a:off x="2992602" y="546527"/>
          <a:ext cx="0" cy="282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127926</xdr:colOff>
      <xdr:row>24</xdr:row>
      <xdr:rowOff>77870</xdr:rowOff>
    </xdr:from>
    <xdr:to>
      <xdr:col>6</xdr:col>
      <xdr:colOff>494509</xdr:colOff>
      <xdr:row>27</xdr:row>
      <xdr:rowOff>736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3960174" y="5256133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13</xdr:col>
      <xdr:colOff>108697</xdr:colOff>
      <xdr:row>81</xdr:row>
      <xdr:rowOff>155738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825" y="11841591"/>
          <a:ext cx="8006799" cy="345959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100116</xdr:colOff>
      <xdr:row>18</xdr:row>
      <xdr:rowOff>183548</xdr:rowOff>
    </xdr:from>
    <xdr:to>
      <xdr:col>11</xdr:col>
      <xdr:colOff>344847</xdr:colOff>
      <xdr:row>28</xdr:row>
      <xdr:rowOff>144613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4994715" y="3637577"/>
          <a:ext cx="2458424" cy="18187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433838</xdr:colOff>
      <xdr:row>59</xdr:row>
      <xdr:rowOff>113465</xdr:rowOff>
    </xdr:from>
    <xdr:to>
      <xdr:col>13</xdr:col>
      <xdr:colOff>344845</xdr:colOff>
      <xdr:row>74</xdr:row>
      <xdr:rowOff>58957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261416</xdr:colOff>
      <xdr:row>6</xdr:row>
      <xdr:rowOff>33372</xdr:rowOff>
    </xdr:from>
    <xdr:to>
      <xdr:col>11</xdr:col>
      <xdr:colOff>261416</xdr:colOff>
      <xdr:row>8</xdr:row>
      <xdr:rowOff>133488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CxnSpPr/>
      </xdr:nvCxnSpPr>
      <xdr:spPr>
        <a:xfrm flipV="1">
          <a:off x="6607708" y="1134657"/>
          <a:ext cx="0" cy="4672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272540</xdr:colOff>
      <xdr:row>3</xdr:row>
      <xdr:rowOff>27811</xdr:rowOff>
    </xdr:from>
    <xdr:to>
      <xdr:col>11</xdr:col>
      <xdr:colOff>272541</xdr:colOff>
      <xdr:row>5</xdr:row>
      <xdr:rowOff>100117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CxnSpPr/>
      </xdr:nvCxnSpPr>
      <xdr:spPr>
        <a:xfrm>
          <a:off x="6618832" y="578453"/>
          <a:ext cx="1" cy="4394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68580</xdr:colOff>
          <xdr:row>11</xdr:row>
          <xdr:rowOff>152400</xdr:rowOff>
        </xdr:from>
        <xdr:to>
          <xdr:col>15</xdr:col>
          <xdr:colOff>205740</xdr:colOff>
          <xdr:row>19</xdr:row>
          <xdr:rowOff>91440</xdr:rowOff>
        </xdr:to>
        <xdr:sp macro="" textlink="">
          <xdr:nvSpPr>
            <xdr:cNvPr id="51202" name="Spinner 2" hidden="1">
              <a:extLst>
                <a:ext uri="{63B3BB69-23CF-44E3-9099-C40C66FF867C}">
                  <a14:compatExt spid="_x0000_s51202"/>
                </a:ext>
                <a:ext uri="{FF2B5EF4-FFF2-40B4-BE49-F238E27FC236}">
                  <a16:creationId xmlns:a16="http://schemas.microsoft.com/office/drawing/2014/main" id="{00000000-0008-0000-1800-000002C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266700</xdr:colOff>
          <xdr:row>61</xdr:row>
          <xdr:rowOff>68580</xdr:rowOff>
        </xdr:from>
        <xdr:to>
          <xdr:col>12</xdr:col>
          <xdr:colOff>556260</xdr:colOff>
          <xdr:row>68</xdr:row>
          <xdr:rowOff>83820</xdr:rowOff>
        </xdr:to>
        <xdr:sp macro="" textlink="">
          <xdr:nvSpPr>
            <xdr:cNvPr id="52227" name="Spinner 3" hidden="1">
              <a:extLst>
                <a:ext uri="{63B3BB69-23CF-44E3-9099-C40C66FF867C}">
                  <a14:compatExt spid="_x0000_s52227"/>
                </a:ext>
                <a:ext uri="{FF2B5EF4-FFF2-40B4-BE49-F238E27FC236}">
                  <a16:creationId xmlns:a16="http://schemas.microsoft.com/office/drawing/2014/main" id="{00000000-0008-0000-1A00-000003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9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90D3-4568-4F10-A538-B6939CD7F6CA}">
  <sheetPr>
    <tabColor theme="5" tint="0.59999389629810485"/>
  </sheetPr>
  <dimension ref="A1:Q98"/>
  <sheetViews>
    <sheetView zoomScale="78" zoomScaleNormal="78" workbookViewId="0">
      <selection activeCell="T72" sqref="T72"/>
    </sheetView>
  </sheetViews>
  <sheetFormatPr defaultRowHeight="14.4" x14ac:dyDescent="0.3"/>
  <cols>
    <col min="6" max="6" width="11.77734375" bestFit="1" customWidth="1"/>
    <col min="8" max="9" width="11.77734375" bestFit="1" customWidth="1"/>
  </cols>
  <sheetData>
    <row r="1" spans="2:16" ht="15" thickBot="1" x14ac:dyDescent="0.35"/>
    <row r="2" spans="2:16" ht="21" x14ac:dyDescent="0.4">
      <c r="D2" s="10"/>
      <c r="E2" s="11"/>
      <c r="F2" s="11"/>
      <c r="G2" s="11"/>
      <c r="H2" s="12"/>
    </row>
    <row r="3" spans="2:16" ht="21" x14ac:dyDescent="0.4">
      <c r="D3" s="13"/>
      <c r="E3" s="14" t="s">
        <v>0</v>
      </c>
      <c r="F3" s="14" t="s">
        <v>1</v>
      </c>
      <c r="G3" s="14"/>
      <c r="H3" s="15"/>
    </row>
    <row r="4" spans="2:16" ht="21.6" thickBot="1" x14ac:dyDescent="0.45">
      <c r="D4" s="16"/>
      <c r="E4" s="17"/>
      <c r="F4" s="17"/>
      <c r="G4" s="17"/>
      <c r="H4" s="18"/>
    </row>
    <row r="6" spans="2:16" x14ac:dyDescent="0.3">
      <c r="D6" s="19" t="s">
        <v>2</v>
      </c>
    </row>
    <row r="7" spans="2:16" ht="15" thickBot="1" x14ac:dyDescent="0.35"/>
    <row r="8" spans="2:16" ht="15" thickBot="1" x14ac:dyDescent="0.35">
      <c r="E8" s="437" t="s">
        <v>11</v>
      </c>
      <c r="F8" s="438"/>
      <c r="G8" s="438"/>
      <c r="H8" s="438"/>
      <c r="I8" s="438"/>
      <c r="J8" s="438"/>
      <c r="K8" s="438"/>
      <c r="L8" s="438"/>
      <c r="M8" s="438"/>
      <c r="N8" s="438"/>
      <c r="O8" s="438"/>
      <c r="P8" s="439"/>
    </row>
    <row r="10" spans="2:16" x14ac:dyDescent="0.3">
      <c r="B10" s="20" t="s">
        <v>3</v>
      </c>
      <c r="C10" s="20">
        <v>1</v>
      </c>
      <c r="D10" s="20"/>
      <c r="E10" s="21">
        <v>0.04</v>
      </c>
      <c r="F10" s="21">
        <v>0.05</v>
      </c>
      <c r="G10" s="21">
        <v>0.06</v>
      </c>
      <c r="H10" s="21">
        <v>7.0000000000000007E-2</v>
      </c>
      <c r="I10" s="21">
        <v>0.08</v>
      </c>
      <c r="J10" s="21">
        <v>0.09</v>
      </c>
      <c r="K10" s="21">
        <v>0.1</v>
      </c>
      <c r="L10" s="21">
        <v>0.11</v>
      </c>
      <c r="M10" s="21">
        <v>0.12</v>
      </c>
      <c r="N10" s="21">
        <v>0.13</v>
      </c>
      <c r="O10" s="21">
        <v>0.14000000000000001</v>
      </c>
      <c r="P10" s="21">
        <v>0.15</v>
      </c>
    </row>
    <row r="11" spans="2:16" x14ac:dyDescent="0.3">
      <c r="D11" s="20">
        <v>1</v>
      </c>
      <c r="E11" s="22">
        <f>$C$10*(1+E$10)^$D11</f>
        <v>1.04</v>
      </c>
      <c r="F11" s="22">
        <f t="shared" ref="F11:P26" si="0">$C$10*(1+F$10)^$D11</f>
        <v>1.05</v>
      </c>
      <c r="G11" s="22">
        <f t="shared" si="0"/>
        <v>1.06</v>
      </c>
      <c r="H11" s="22">
        <f t="shared" si="0"/>
        <v>1.07</v>
      </c>
      <c r="I11" s="22">
        <f t="shared" si="0"/>
        <v>1.08</v>
      </c>
      <c r="J11" s="22">
        <f t="shared" si="0"/>
        <v>1.0900000000000001</v>
      </c>
      <c r="K11" s="22">
        <f t="shared" si="0"/>
        <v>1.1000000000000001</v>
      </c>
      <c r="L11" s="22">
        <f t="shared" si="0"/>
        <v>1.1100000000000001</v>
      </c>
      <c r="M11" s="22">
        <f t="shared" si="0"/>
        <v>1.1200000000000001</v>
      </c>
      <c r="N11" s="22">
        <f t="shared" si="0"/>
        <v>1.1299999999999999</v>
      </c>
      <c r="O11" s="22">
        <f t="shared" si="0"/>
        <v>1.1400000000000001</v>
      </c>
      <c r="P11" s="22">
        <f t="shared" si="0"/>
        <v>1.1499999999999999</v>
      </c>
    </row>
    <row r="12" spans="2:16" x14ac:dyDescent="0.3">
      <c r="D12" s="20">
        <v>2</v>
      </c>
      <c r="E12" s="22">
        <f t="shared" ref="E12:P30" si="1">$C$10*(1+E$10)^$D12</f>
        <v>1.0816000000000001</v>
      </c>
      <c r="F12" s="22">
        <f t="shared" si="0"/>
        <v>1.1025</v>
      </c>
      <c r="G12" s="22">
        <f t="shared" si="0"/>
        <v>1.1236000000000002</v>
      </c>
      <c r="H12" s="22">
        <f t="shared" si="0"/>
        <v>1.1449</v>
      </c>
      <c r="I12" s="22">
        <f t="shared" si="0"/>
        <v>1.1664000000000001</v>
      </c>
      <c r="J12" s="22">
        <f t="shared" si="0"/>
        <v>1.1881000000000002</v>
      </c>
      <c r="K12" s="22">
        <f t="shared" si="0"/>
        <v>1.2100000000000002</v>
      </c>
      <c r="L12" s="22">
        <f t="shared" si="0"/>
        <v>1.2321000000000002</v>
      </c>
      <c r="M12" s="22">
        <f t="shared" si="0"/>
        <v>1.2544000000000002</v>
      </c>
      <c r="N12" s="22">
        <f t="shared" si="0"/>
        <v>1.2768999999999997</v>
      </c>
      <c r="O12" s="22">
        <f t="shared" si="0"/>
        <v>1.2996000000000003</v>
      </c>
      <c r="P12" s="22">
        <f t="shared" si="0"/>
        <v>1.3224999999999998</v>
      </c>
    </row>
    <row r="13" spans="2:16" x14ac:dyDescent="0.3">
      <c r="D13" s="20">
        <v>3</v>
      </c>
      <c r="E13" s="22">
        <f t="shared" si="1"/>
        <v>1.1248640000000001</v>
      </c>
      <c r="F13" s="22">
        <f t="shared" si="0"/>
        <v>1.1576250000000001</v>
      </c>
      <c r="G13" s="22">
        <f t="shared" si="0"/>
        <v>1.1910160000000003</v>
      </c>
      <c r="H13" s="22">
        <f t="shared" si="0"/>
        <v>1.2250430000000001</v>
      </c>
      <c r="I13" s="22">
        <f t="shared" si="0"/>
        <v>1.2597120000000002</v>
      </c>
      <c r="J13" s="22">
        <f t="shared" si="0"/>
        <v>1.2950290000000002</v>
      </c>
      <c r="K13" s="22">
        <f t="shared" si="0"/>
        <v>1.3310000000000004</v>
      </c>
      <c r="L13" s="22">
        <f t="shared" si="0"/>
        <v>1.3676310000000003</v>
      </c>
      <c r="M13" s="22">
        <f t="shared" si="0"/>
        <v>1.4049280000000004</v>
      </c>
      <c r="N13" s="22">
        <f t="shared" si="0"/>
        <v>1.4428969999999994</v>
      </c>
      <c r="O13" s="22">
        <f t="shared" si="0"/>
        <v>1.4815440000000004</v>
      </c>
      <c r="P13" s="22">
        <f t="shared" si="0"/>
        <v>1.5208749999999995</v>
      </c>
    </row>
    <row r="14" spans="2:16" x14ac:dyDescent="0.3">
      <c r="D14" s="20">
        <v>4</v>
      </c>
      <c r="E14" s="22">
        <f t="shared" si="1"/>
        <v>1.1698585600000002</v>
      </c>
      <c r="F14" s="22">
        <f t="shared" si="0"/>
        <v>1.21550625</v>
      </c>
      <c r="G14" s="22">
        <f t="shared" si="0"/>
        <v>1.2624769600000003</v>
      </c>
      <c r="H14" s="22">
        <f t="shared" si="0"/>
        <v>1.31079601</v>
      </c>
      <c r="I14" s="22">
        <f t="shared" si="0"/>
        <v>1.3604889600000003</v>
      </c>
      <c r="J14" s="22">
        <f t="shared" si="0"/>
        <v>1.4115816100000003</v>
      </c>
      <c r="K14" s="22">
        <f t="shared" si="0"/>
        <v>1.4641000000000004</v>
      </c>
      <c r="L14" s="22">
        <f t="shared" si="0"/>
        <v>1.5180704100000004</v>
      </c>
      <c r="M14" s="22">
        <f t="shared" si="0"/>
        <v>1.5735193600000004</v>
      </c>
      <c r="N14" s="22">
        <f t="shared" si="0"/>
        <v>1.6304736099999992</v>
      </c>
      <c r="O14" s="22">
        <f t="shared" si="0"/>
        <v>1.6889601600000008</v>
      </c>
      <c r="P14" s="22">
        <f t="shared" si="0"/>
        <v>1.7490062499999994</v>
      </c>
    </row>
    <row r="15" spans="2:16" x14ac:dyDescent="0.3">
      <c r="D15" s="20">
        <v>5</v>
      </c>
      <c r="E15" s="22">
        <f t="shared" si="1"/>
        <v>1.2166529024000003</v>
      </c>
      <c r="F15" s="22">
        <f t="shared" si="0"/>
        <v>1.2762815625000001</v>
      </c>
      <c r="G15" s="22">
        <f t="shared" si="0"/>
        <v>1.3382255776000005</v>
      </c>
      <c r="H15" s="22">
        <f t="shared" si="0"/>
        <v>1.4025517307000002</v>
      </c>
      <c r="I15" s="22">
        <f t="shared" si="0"/>
        <v>1.4693280768000003</v>
      </c>
      <c r="J15" s="22">
        <f t="shared" si="0"/>
        <v>1.5386239549000005</v>
      </c>
      <c r="K15" s="22">
        <f t="shared" si="0"/>
        <v>1.6105100000000006</v>
      </c>
      <c r="L15" s="22">
        <f t="shared" si="0"/>
        <v>1.6850581551000006</v>
      </c>
      <c r="M15" s="22">
        <f t="shared" si="0"/>
        <v>1.7623416832000005</v>
      </c>
      <c r="N15" s="22">
        <f t="shared" si="0"/>
        <v>1.8424351792999989</v>
      </c>
      <c r="O15" s="22">
        <f t="shared" si="0"/>
        <v>1.9254145824000011</v>
      </c>
      <c r="P15" s="22">
        <f t="shared" si="0"/>
        <v>2.0113571874999994</v>
      </c>
    </row>
    <row r="16" spans="2:16" x14ac:dyDescent="0.3">
      <c r="D16" s="20">
        <v>6</v>
      </c>
      <c r="E16" s="22">
        <f t="shared" si="1"/>
        <v>1.2653190184960004</v>
      </c>
      <c r="F16" s="22">
        <f t="shared" si="0"/>
        <v>1.340095640625</v>
      </c>
      <c r="G16" s="22">
        <f t="shared" si="0"/>
        <v>1.4185191122560006</v>
      </c>
      <c r="H16" s="22">
        <f t="shared" si="0"/>
        <v>1.5007303518490001</v>
      </c>
      <c r="I16" s="22">
        <f t="shared" si="0"/>
        <v>1.5868743229440005</v>
      </c>
      <c r="J16" s="22">
        <f t="shared" si="0"/>
        <v>1.6771001108410006</v>
      </c>
      <c r="K16" s="22">
        <f t="shared" si="0"/>
        <v>1.7715610000000008</v>
      </c>
      <c r="L16" s="22">
        <f t="shared" si="0"/>
        <v>1.8704145521610007</v>
      </c>
      <c r="M16" s="22">
        <f t="shared" si="0"/>
        <v>1.9738226851840008</v>
      </c>
      <c r="N16" s="22">
        <f t="shared" si="0"/>
        <v>2.0819517526089983</v>
      </c>
      <c r="O16" s="22">
        <f t="shared" si="0"/>
        <v>2.1949726239360015</v>
      </c>
      <c r="P16" s="22">
        <f t="shared" si="0"/>
        <v>2.3130607656249991</v>
      </c>
    </row>
    <row r="17" spans="4:16" x14ac:dyDescent="0.3">
      <c r="D17" s="20">
        <v>7</v>
      </c>
      <c r="E17" s="22">
        <f t="shared" si="1"/>
        <v>1.3159317792358403</v>
      </c>
      <c r="F17" s="22">
        <f t="shared" si="0"/>
        <v>1.4071004226562502</v>
      </c>
      <c r="G17" s="22">
        <f t="shared" si="0"/>
        <v>1.5036302589913608</v>
      </c>
      <c r="H17" s="22">
        <f t="shared" si="0"/>
        <v>1.6057814764784302</v>
      </c>
      <c r="I17" s="22">
        <f t="shared" si="0"/>
        <v>1.7138242687795207</v>
      </c>
      <c r="J17" s="22">
        <f t="shared" si="0"/>
        <v>1.8280391208166906</v>
      </c>
      <c r="K17" s="22">
        <f t="shared" si="0"/>
        <v>1.9487171000000012</v>
      </c>
      <c r="L17" s="22">
        <f t="shared" si="0"/>
        <v>2.0761601528987108</v>
      </c>
      <c r="M17" s="22">
        <f t="shared" si="0"/>
        <v>2.210681407406081</v>
      </c>
      <c r="N17" s="22">
        <f t="shared" si="0"/>
        <v>2.352605480448168</v>
      </c>
      <c r="O17" s="22">
        <f t="shared" si="0"/>
        <v>2.502268791287042</v>
      </c>
      <c r="P17" s="22">
        <f t="shared" si="0"/>
        <v>2.6600198804687483</v>
      </c>
    </row>
    <row r="18" spans="4:16" x14ac:dyDescent="0.3">
      <c r="D18" s="20">
        <v>8</v>
      </c>
      <c r="E18" s="22">
        <f t="shared" si="1"/>
        <v>1.3685690504052741</v>
      </c>
      <c r="F18" s="22">
        <f t="shared" si="0"/>
        <v>1.4774554437890626</v>
      </c>
      <c r="G18" s="22">
        <f t="shared" si="0"/>
        <v>1.5938480745308423</v>
      </c>
      <c r="H18" s="22">
        <f t="shared" si="0"/>
        <v>1.7181861798319202</v>
      </c>
      <c r="I18" s="22">
        <f t="shared" si="0"/>
        <v>1.8509302102818823</v>
      </c>
      <c r="J18" s="22">
        <f t="shared" si="0"/>
        <v>1.9925626416901929</v>
      </c>
      <c r="K18" s="22">
        <f t="shared" si="0"/>
        <v>2.1435888100000011</v>
      </c>
      <c r="L18" s="22">
        <f t="shared" si="0"/>
        <v>2.3045377697175695</v>
      </c>
      <c r="M18" s="22">
        <f t="shared" si="0"/>
        <v>2.4759631762948109</v>
      </c>
      <c r="N18" s="22">
        <f t="shared" si="0"/>
        <v>2.6584441929064297</v>
      </c>
      <c r="O18" s="22">
        <f t="shared" si="0"/>
        <v>2.8525864220672283</v>
      </c>
      <c r="P18" s="22">
        <f t="shared" si="0"/>
        <v>3.0590228625390603</v>
      </c>
    </row>
    <row r="19" spans="4:16" x14ac:dyDescent="0.3">
      <c r="D19" s="20">
        <v>9</v>
      </c>
      <c r="E19" s="22">
        <f t="shared" si="1"/>
        <v>1.4233118124214852</v>
      </c>
      <c r="F19" s="22">
        <f t="shared" si="0"/>
        <v>1.5513282159785158</v>
      </c>
      <c r="G19" s="22">
        <f t="shared" si="0"/>
        <v>1.6894789590026928</v>
      </c>
      <c r="H19" s="22">
        <f t="shared" si="0"/>
        <v>1.8384592124201549</v>
      </c>
      <c r="I19" s="22">
        <f t="shared" si="0"/>
        <v>1.9990046271044331</v>
      </c>
      <c r="J19" s="22">
        <f t="shared" si="0"/>
        <v>2.1718932794423105</v>
      </c>
      <c r="K19" s="22">
        <f t="shared" si="0"/>
        <v>2.3579476910000015</v>
      </c>
      <c r="L19" s="22">
        <f t="shared" si="0"/>
        <v>2.5580369243865024</v>
      </c>
      <c r="M19" s="22">
        <f t="shared" si="0"/>
        <v>2.7730787574501883</v>
      </c>
      <c r="N19" s="22">
        <f t="shared" si="0"/>
        <v>3.0040419379842653</v>
      </c>
      <c r="O19" s="22">
        <f t="shared" si="0"/>
        <v>3.2519485211566406</v>
      </c>
      <c r="P19" s="22">
        <f t="shared" si="0"/>
        <v>3.5178762919199191</v>
      </c>
    </row>
    <row r="20" spans="4:16" x14ac:dyDescent="0.3">
      <c r="D20" s="20">
        <v>10</v>
      </c>
      <c r="E20" s="22">
        <f t="shared" si="1"/>
        <v>1.4802442849183446</v>
      </c>
      <c r="F20" s="22">
        <f t="shared" si="0"/>
        <v>1.6288946267774416</v>
      </c>
      <c r="G20" s="22">
        <f t="shared" si="0"/>
        <v>1.7908476965428546</v>
      </c>
      <c r="H20" s="22">
        <f t="shared" si="0"/>
        <v>1.9671513572895656</v>
      </c>
      <c r="I20" s="22">
        <f t="shared" si="0"/>
        <v>2.1589249972727877</v>
      </c>
      <c r="J20" s="22">
        <f t="shared" si="0"/>
        <v>2.3673636745921187</v>
      </c>
      <c r="K20" s="22">
        <f t="shared" si="0"/>
        <v>2.5937424601000019</v>
      </c>
      <c r="L20" s="22">
        <f t="shared" si="0"/>
        <v>2.839420986069018</v>
      </c>
      <c r="M20" s="22">
        <f t="shared" si="0"/>
        <v>3.1058482083442112</v>
      </c>
      <c r="N20" s="22">
        <f t="shared" si="0"/>
        <v>3.3945673899222193</v>
      </c>
      <c r="O20" s="22">
        <f t="shared" si="0"/>
        <v>3.7072213141185708</v>
      </c>
      <c r="P20" s="22">
        <f t="shared" si="0"/>
        <v>4.0455577357079067</v>
      </c>
    </row>
    <row r="21" spans="4:16" x14ac:dyDescent="0.3">
      <c r="D21" s="20">
        <v>11</v>
      </c>
      <c r="E21" s="22">
        <f t="shared" si="1"/>
        <v>1.5394540563150783</v>
      </c>
      <c r="F21" s="22">
        <f t="shared" si="0"/>
        <v>1.7103393581163138</v>
      </c>
      <c r="G21" s="22">
        <f t="shared" si="0"/>
        <v>1.8982985583354262</v>
      </c>
      <c r="H21" s="22">
        <f t="shared" si="0"/>
        <v>2.1048519522998355</v>
      </c>
      <c r="I21" s="22">
        <f t="shared" si="0"/>
        <v>2.3316389970546108</v>
      </c>
      <c r="J21" s="22">
        <f t="shared" si="0"/>
        <v>2.5804264053054093</v>
      </c>
      <c r="K21" s="22">
        <f t="shared" si="0"/>
        <v>2.8531167061100025</v>
      </c>
      <c r="L21" s="22">
        <f t="shared" si="0"/>
        <v>3.1517572945366101</v>
      </c>
      <c r="M21" s="22">
        <f t="shared" si="0"/>
        <v>3.4785499933455171</v>
      </c>
      <c r="N21" s="22">
        <f t="shared" si="0"/>
        <v>3.8358611506121072</v>
      </c>
      <c r="O21" s="22">
        <f t="shared" si="0"/>
        <v>4.2262322980951712</v>
      </c>
      <c r="P21" s="22">
        <f t="shared" si="0"/>
        <v>4.6523913960640924</v>
      </c>
    </row>
    <row r="22" spans="4:16" x14ac:dyDescent="0.3">
      <c r="D22" s="20">
        <v>12</v>
      </c>
      <c r="E22" s="22">
        <f t="shared" si="1"/>
        <v>1.6010322185676817</v>
      </c>
      <c r="F22" s="22">
        <f t="shared" si="0"/>
        <v>1.7958563260221292</v>
      </c>
      <c r="G22" s="22">
        <f t="shared" si="0"/>
        <v>2.0121964718355518</v>
      </c>
      <c r="H22" s="22">
        <f t="shared" si="0"/>
        <v>2.2521915889608235</v>
      </c>
      <c r="I22" s="22">
        <f t="shared" si="0"/>
        <v>2.5181701168189798</v>
      </c>
      <c r="J22" s="22">
        <f t="shared" si="0"/>
        <v>2.812664781782896</v>
      </c>
      <c r="K22" s="22">
        <f t="shared" si="0"/>
        <v>3.1384283767210026</v>
      </c>
      <c r="L22" s="22">
        <f t="shared" si="0"/>
        <v>3.4984505969356374</v>
      </c>
      <c r="M22" s="22">
        <f t="shared" si="0"/>
        <v>3.8959759925469788</v>
      </c>
      <c r="N22" s="22">
        <f t="shared" si="0"/>
        <v>4.3345231001916806</v>
      </c>
      <c r="O22" s="22">
        <f t="shared" si="0"/>
        <v>4.8179048198284962</v>
      </c>
      <c r="P22" s="22">
        <f t="shared" si="0"/>
        <v>5.3502501054737053</v>
      </c>
    </row>
    <row r="23" spans="4:16" x14ac:dyDescent="0.3">
      <c r="D23" s="20">
        <v>13</v>
      </c>
      <c r="E23" s="22">
        <f t="shared" si="1"/>
        <v>1.6650735073103891</v>
      </c>
      <c r="F23" s="22">
        <f t="shared" si="0"/>
        <v>1.885649142323236</v>
      </c>
      <c r="G23" s="22">
        <f t="shared" si="0"/>
        <v>2.1329282601456852</v>
      </c>
      <c r="H23" s="22">
        <f t="shared" si="0"/>
        <v>2.4098450001880813</v>
      </c>
      <c r="I23" s="22">
        <f t="shared" si="0"/>
        <v>2.7196237261644982</v>
      </c>
      <c r="J23" s="22">
        <f t="shared" si="0"/>
        <v>3.0658046121433573</v>
      </c>
      <c r="K23" s="22">
        <f t="shared" si="0"/>
        <v>3.4522712143931029</v>
      </c>
      <c r="L23" s="22">
        <f t="shared" si="0"/>
        <v>3.8832801625985578</v>
      </c>
      <c r="M23" s="22">
        <f t="shared" si="0"/>
        <v>4.363493111652617</v>
      </c>
      <c r="N23" s="22">
        <f t="shared" si="0"/>
        <v>4.8980111032165992</v>
      </c>
      <c r="O23" s="22">
        <f t="shared" si="0"/>
        <v>5.492411494604486</v>
      </c>
      <c r="P23" s="22">
        <f t="shared" si="0"/>
        <v>6.1527876212947614</v>
      </c>
    </row>
    <row r="24" spans="4:16" x14ac:dyDescent="0.3">
      <c r="D24" s="20">
        <v>14</v>
      </c>
      <c r="E24" s="22">
        <f t="shared" si="1"/>
        <v>1.7316764476028046</v>
      </c>
      <c r="F24" s="22">
        <f t="shared" si="0"/>
        <v>1.9799315994393973</v>
      </c>
      <c r="G24" s="22">
        <f t="shared" si="0"/>
        <v>2.2609039557544262</v>
      </c>
      <c r="H24" s="22">
        <f t="shared" si="0"/>
        <v>2.5785341502012469</v>
      </c>
      <c r="I24" s="22">
        <f t="shared" si="0"/>
        <v>2.9371936242576586</v>
      </c>
      <c r="J24" s="22">
        <f t="shared" si="0"/>
        <v>3.3417270272362596</v>
      </c>
      <c r="K24" s="22">
        <f t="shared" si="0"/>
        <v>3.7974983358324139</v>
      </c>
      <c r="L24" s="22">
        <f t="shared" si="0"/>
        <v>4.3104409804843993</v>
      </c>
      <c r="M24" s="22">
        <f t="shared" si="0"/>
        <v>4.8871122850509314</v>
      </c>
      <c r="N24" s="22">
        <f t="shared" si="0"/>
        <v>5.5347525466347554</v>
      </c>
      <c r="O24" s="22">
        <f t="shared" si="0"/>
        <v>6.2613491038491143</v>
      </c>
      <c r="P24" s="22">
        <f t="shared" si="0"/>
        <v>7.0757057644889754</v>
      </c>
    </row>
    <row r="25" spans="4:16" x14ac:dyDescent="0.3">
      <c r="D25" s="20">
        <v>15</v>
      </c>
      <c r="E25" s="22">
        <f t="shared" si="1"/>
        <v>1.8009435055069167</v>
      </c>
      <c r="F25" s="22">
        <f t="shared" si="0"/>
        <v>2.0789281794113679</v>
      </c>
      <c r="G25" s="22">
        <f t="shared" si="0"/>
        <v>2.3965581930996924</v>
      </c>
      <c r="H25" s="22">
        <f t="shared" si="0"/>
        <v>2.7590315407153345</v>
      </c>
      <c r="I25" s="22">
        <f t="shared" si="0"/>
        <v>3.1721691141982715</v>
      </c>
      <c r="J25" s="22">
        <f t="shared" si="0"/>
        <v>3.6424824596875229</v>
      </c>
      <c r="K25" s="22">
        <f t="shared" si="0"/>
        <v>4.1772481694156554</v>
      </c>
      <c r="L25" s="22">
        <f t="shared" si="0"/>
        <v>4.7845894883376827</v>
      </c>
      <c r="M25" s="22">
        <f t="shared" si="0"/>
        <v>5.4735657592570428</v>
      </c>
      <c r="N25" s="22">
        <f t="shared" si="0"/>
        <v>6.2542703776972735</v>
      </c>
      <c r="O25" s="22">
        <f t="shared" si="0"/>
        <v>7.137937978387991</v>
      </c>
      <c r="P25" s="22">
        <f t="shared" si="0"/>
        <v>8.1370616291623197</v>
      </c>
    </row>
    <row r="26" spans="4:16" x14ac:dyDescent="0.3">
      <c r="D26" s="20">
        <v>16</v>
      </c>
      <c r="E26" s="22">
        <f t="shared" si="1"/>
        <v>1.8729812457271937</v>
      </c>
      <c r="F26" s="22">
        <f t="shared" si="0"/>
        <v>2.182874588381936</v>
      </c>
      <c r="G26" s="22">
        <f t="shared" si="0"/>
        <v>2.5403516846856733</v>
      </c>
      <c r="H26" s="22">
        <f t="shared" si="0"/>
        <v>2.9521637485654075</v>
      </c>
      <c r="I26" s="22">
        <f t="shared" si="0"/>
        <v>3.4259426433341331</v>
      </c>
      <c r="J26" s="22">
        <f t="shared" si="0"/>
        <v>3.9703058810594003</v>
      </c>
      <c r="K26" s="22">
        <f t="shared" si="0"/>
        <v>4.5949729863572211</v>
      </c>
      <c r="L26" s="22">
        <f t="shared" si="0"/>
        <v>5.3108943320548292</v>
      </c>
      <c r="M26" s="22">
        <f t="shared" si="0"/>
        <v>6.1303936503678891</v>
      </c>
      <c r="N26" s="22">
        <f t="shared" si="0"/>
        <v>7.0673255267979185</v>
      </c>
      <c r="O26" s="22">
        <f t="shared" si="0"/>
        <v>8.1372492953623112</v>
      </c>
      <c r="P26" s="22">
        <f t="shared" si="0"/>
        <v>9.3576208735366659</v>
      </c>
    </row>
    <row r="27" spans="4:16" x14ac:dyDescent="0.3">
      <c r="D27" s="20">
        <v>17</v>
      </c>
      <c r="E27" s="22">
        <f t="shared" si="1"/>
        <v>1.9479004955562815</v>
      </c>
      <c r="F27" s="22">
        <f t="shared" si="1"/>
        <v>2.2920183178010332</v>
      </c>
      <c r="G27" s="22">
        <f t="shared" si="1"/>
        <v>2.692772785766814</v>
      </c>
      <c r="H27" s="22">
        <f t="shared" si="1"/>
        <v>3.1588152109649861</v>
      </c>
      <c r="I27" s="22">
        <f t="shared" si="1"/>
        <v>3.7000180548008639</v>
      </c>
      <c r="J27" s="22">
        <f t="shared" si="1"/>
        <v>4.3276334103547462</v>
      </c>
      <c r="K27" s="22">
        <f t="shared" si="1"/>
        <v>5.0544702849929433</v>
      </c>
      <c r="L27" s="22">
        <f t="shared" si="1"/>
        <v>5.8950927085808607</v>
      </c>
      <c r="M27" s="22">
        <f t="shared" si="1"/>
        <v>6.8660408884120363</v>
      </c>
      <c r="N27" s="22">
        <f t="shared" si="1"/>
        <v>7.9860778452816472</v>
      </c>
      <c r="O27" s="22">
        <f t="shared" si="1"/>
        <v>9.2764641967130359</v>
      </c>
      <c r="P27" s="22">
        <f t="shared" si="1"/>
        <v>10.761264004567165</v>
      </c>
    </row>
    <row r="28" spans="4:16" x14ac:dyDescent="0.3">
      <c r="D28" s="20">
        <v>18</v>
      </c>
      <c r="E28" s="22">
        <f t="shared" si="1"/>
        <v>2.025816515378533</v>
      </c>
      <c r="F28" s="22">
        <f t="shared" si="1"/>
        <v>2.4066192336910848</v>
      </c>
      <c r="G28" s="22">
        <f t="shared" si="1"/>
        <v>2.8543391529128228</v>
      </c>
      <c r="H28" s="22">
        <f t="shared" si="1"/>
        <v>3.3799322757325352</v>
      </c>
      <c r="I28" s="22">
        <f t="shared" si="1"/>
        <v>3.9960194991849334</v>
      </c>
      <c r="J28" s="22">
        <f t="shared" si="1"/>
        <v>4.7171204172866741</v>
      </c>
      <c r="K28" s="22">
        <f t="shared" si="1"/>
        <v>5.5599173134922379</v>
      </c>
      <c r="L28" s="22">
        <f t="shared" si="1"/>
        <v>6.5435529065247557</v>
      </c>
      <c r="M28" s="22">
        <f t="shared" si="1"/>
        <v>7.6899657950214815</v>
      </c>
      <c r="N28" s="22">
        <f t="shared" si="1"/>
        <v>9.02426796516826</v>
      </c>
      <c r="O28" s="22">
        <f t="shared" si="1"/>
        <v>10.575169184252863</v>
      </c>
      <c r="P28" s="22">
        <f t="shared" si="1"/>
        <v>12.375453605252238</v>
      </c>
    </row>
    <row r="29" spans="4:16" x14ac:dyDescent="0.3">
      <c r="D29" s="20">
        <v>19</v>
      </c>
      <c r="E29" s="22">
        <f t="shared" si="1"/>
        <v>2.1068491759936743</v>
      </c>
      <c r="F29" s="22">
        <f t="shared" si="1"/>
        <v>2.526950195375639</v>
      </c>
      <c r="G29" s="22">
        <f t="shared" si="1"/>
        <v>3.0255995020875925</v>
      </c>
      <c r="H29" s="22">
        <f t="shared" si="1"/>
        <v>3.6165275350338129</v>
      </c>
      <c r="I29" s="22">
        <f t="shared" si="1"/>
        <v>4.3157010591197285</v>
      </c>
      <c r="J29" s="22">
        <f t="shared" si="1"/>
        <v>5.1416612548424752</v>
      </c>
      <c r="K29" s="22">
        <f t="shared" si="1"/>
        <v>6.1159090448414632</v>
      </c>
      <c r="L29" s="22">
        <f t="shared" si="1"/>
        <v>7.2633437262424794</v>
      </c>
      <c r="M29" s="22">
        <f t="shared" si="1"/>
        <v>8.61276169042406</v>
      </c>
      <c r="N29" s="22">
        <f t="shared" si="1"/>
        <v>10.197422800640132</v>
      </c>
      <c r="O29" s="22">
        <f t="shared" si="1"/>
        <v>12.055692870048263</v>
      </c>
      <c r="P29" s="22">
        <f t="shared" si="1"/>
        <v>14.231771646040073</v>
      </c>
    </row>
    <row r="30" spans="4:16" x14ac:dyDescent="0.3">
      <c r="D30" s="20">
        <v>20</v>
      </c>
      <c r="E30" s="22">
        <f t="shared" si="1"/>
        <v>2.1911231430334213</v>
      </c>
      <c r="F30" s="22">
        <f t="shared" si="1"/>
        <v>2.6532977051444209</v>
      </c>
      <c r="G30" s="22">
        <f t="shared" si="1"/>
        <v>3.207135472212848</v>
      </c>
      <c r="H30" s="22">
        <f t="shared" si="1"/>
        <v>3.8696844624861795</v>
      </c>
      <c r="I30" s="22">
        <f t="shared" si="1"/>
        <v>4.6609571438493065</v>
      </c>
      <c r="J30" s="22">
        <f t="shared" si="1"/>
        <v>5.6044107677782975</v>
      </c>
      <c r="K30" s="22">
        <f t="shared" si="1"/>
        <v>6.7274999493256091</v>
      </c>
      <c r="L30" s="22">
        <f t="shared" si="1"/>
        <v>8.0623115361291529</v>
      </c>
      <c r="M30" s="22">
        <f t="shared" si="1"/>
        <v>9.6462930932749469</v>
      </c>
      <c r="N30" s="22">
        <f t="shared" si="1"/>
        <v>11.523087764723348</v>
      </c>
      <c r="O30" s="22">
        <f t="shared" si="1"/>
        <v>13.743489871855022</v>
      </c>
      <c r="P30" s="22">
        <f t="shared" si="1"/>
        <v>16.366537392946082</v>
      </c>
    </row>
    <row r="33" spans="4:12" x14ac:dyDescent="0.3">
      <c r="D33" s="25" t="s">
        <v>4</v>
      </c>
      <c r="E33" t="s">
        <v>5</v>
      </c>
    </row>
    <row r="34" spans="4:12" x14ac:dyDescent="0.3">
      <c r="E34" t="s">
        <v>6</v>
      </c>
    </row>
    <row r="36" spans="4:12" x14ac:dyDescent="0.3">
      <c r="F36" t="s">
        <v>7</v>
      </c>
      <c r="G36" t="s">
        <v>0</v>
      </c>
      <c r="H36" s="23">
        <f>100000*(1+11%)^5</f>
        <v>168505.81551000004</v>
      </c>
    </row>
    <row r="38" spans="4:12" x14ac:dyDescent="0.3">
      <c r="F38" t="s">
        <v>9</v>
      </c>
      <c r="G38" t="s">
        <v>0</v>
      </c>
      <c r="H38" s="24">
        <f>100000*L15</f>
        <v>168505.81551000004</v>
      </c>
    </row>
    <row r="40" spans="4:12" x14ac:dyDescent="0.3">
      <c r="F40" t="s">
        <v>10</v>
      </c>
      <c r="G40" t="s">
        <v>0</v>
      </c>
      <c r="H40" s="24">
        <f>FV(11%,5,0,-100000,0)</f>
        <v>168505.81551000004</v>
      </c>
    </row>
    <row r="42" spans="4:12" ht="15" thickBot="1" x14ac:dyDescent="0.35"/>
    <row r="43" spans="4:12" ht="21" x14ac:dyDescent="0.4">
      <c r="D43" s="10"/>
      <c r="E43" s="11"/>
      <c r="F43" s="11"/>
      <c r="G43" s="11"/>
      <c r="H43" s="12"/>
    </row>
    <row r="44" spans="4:12" ht="23.4" x14ac:dyDescent="0.4">
      <c r="D44" s="13"/>
      <c r="E44" s="14" t="s">
        <v>0</v>
      </c>
      <c r="F44" s="14" t="s">
        <v>12</v>
      </c>
      <c r="G44" s="14"/>
      <c r="H44" s="15"/>
      <c r="L44" s="19" t="s">
        <v>13</v>
      </c>
    </row>
    <row r="45" spans="4:12" ht="21.6" thickBot="1" x14ac:dyDescent="0.45">
      <c r="D45" s="16"/>
      <c r="E45" s="17"/>
      <c r="F45" s="17"/>
      <c r="G45" s="17"/>
      <c r="H45" s="18"/>
    </row>
    <row r="47" spans="4:12" x14ac:dyDescent="0.3">
      <c r="D47" s="19" t="s">
        <v>2</v>
      </c>
    </row>
    <row r="50" spans="4:17" x14ac:dyDescent="0.3">
      <c r="D50" s="25" t="s">
        <v>4</v>
      </c>
      <c r="E50" t="s">
        <v>14</v>
      </c>
    </row>
    <row r="51" spans="4:17" x14ac:dyDescent="0.3">
      <c r="E51" t="s">
        <v>6</v>
      </c>
    </row>
    <row r="54" spans="4:17" x14ac:dyDescent="0.3">
      <c r="G54" t="s">
        <v>0</v>
      </c>
      <c r="H54" s="23">
        <f>100000*EXP(11%*5)</f>
        <v>173325.30178673952</v>
      </c>
    </row>
    <row r="58" spans="4:17" x14ac:dyDescent="0.3">
      <c r="D58" s="25" t="s">
        <v>4</v>
      </c>
      <c r="E58" t="s">
        <v>15</v>
      </c>
    </row>
    <row r="59" spans="4:17" x14ac:dyDescent="0.3">
      <c r="E59" t="s">
        <v>16</v>
      </c>
    </row>
    <row r="62" spans="4:17" ht="15.6" x14ac:dyDescent="0.35">
      <c r="F62" t="s">
        <v>22</v>
      </c>
      <c r="G62">
        <v>3</v>
      </c>
      <c r="I62">
        <v>3</v>
      </c>
      <c r="K62">
        <v>3</v>
      </c>
      <c r="M62">
        <v>3</v>
      </c>
    </row>
    <row r="64" spans="4:17" x14ac:dyDescent="0.3">
      <c r="F64">
        <v>100</v>
      </c>
      <c r="H64" s="26">
        <f>100*12%*3/12+100</f>
        <v>103</v>
      </c>
      <c r="J64" s="26">
        <f>H64*12%*3/12+H64</f>
        <v>106.09</v>
      </c>
      <c r="L64" s="26">
        <f>J64*12%*3/12+J64</f>
        <v>109.2727</v>
      </c>
      <c r="N64" s="26">
        <f>L64*12%*3/12+L64</f>
        <v>112.550881</v>
      </c>
      <c r="P64" t="s">
        <v>25</v>
      </c>
      <c r="Q64" s="26">
        <f>100*(1+12%/4)^4</f>
        <v>112.55088099999999</v>
      </c>
    </row>
    <row r="66" spans="1:17" s="28" customFormat="1" x14ac:dyDescent="0.3">
      <c r="A66"/>
      <c r="B66"/>
      <c r="C66"/>
      <c r="D66"/>
      <c r="E66"/>
      <c r="F66"/>
      <c r="G66"/>
      <c r="H66" s="27" t="s">
        <v>18</v>
      </c>
      <c r="J66" s="27" t="s">
        <v>19</v>
      </c>
      <c r="L66" s="27" t="s">
        <v>20</v>
      </c>
      <c r="N66" s="27" t="s">
        <v>21</v>
      </c>
      <c r="Q66" s="27" t="s">
        <v>26</v>
      </c>
    </row>
    <row r="68" spans="1:17" x14ac:dyDescent="0.3">
      <c r="H68" t="s">
        <v>17</v>
      </c>
      <c r="I68" s="29">
        <f>(N64-F64)/F64</f>
        <v>0.12550881000000003</v>
      </c>
    </row>
    <row r="69" spans="1:17" ht="15" thickBot="1" x14ac:dyDescent="0.35"/>
    <row r="70" spans="1:17" ht="18" x14ac:dyDescent="0.35">
      <c r="I70" s="1"/>
      <c r="J70" s="2"/>
      <c r="K70" s="2"/>
      <c r="L70" s="2"/>
      <c r="M70" s="2"/>
      <c r="N70" s="3"/>
    </row>
    <row r="71" spans="1:17" ht="18" x14ac:dyDescent="0.35">
      <c r="I71" s="4"/>
      <c r="J71" s="5"/>
      <c r="K71" s="5"/>
      <c r="L71" s="5"/>
      <c r="M71" s="5"/>
      <c r="N71" s="6"/>
    </row>
    <row r="72" spans="1:17" ht="18" x14ac:dyDescent="0.35">
      <c r="I72" s="4"/>
      <c r="J72" s="5" t="s">
        <v>23</v>
      </c>
      <c r="K72" s="5" t="s">
        <v>8</v>
      </c>
      <c r="L72" s="5" t="s">
        <v>24</v>
      </c>
      <c r="M72" s="5"/>
      <c r="N72" s="6"/>
    </row>
    <row r="73" spans="1:17" ht="18" x14ac:dyDescent="0.35">
      <c r="I73" s="4"/>
      <c r="J73" s="5"/>
      <c r="K73" s="5"/>
      <c r="L73" s="5"/>
      <c r="M73" s="5"/>
      <c r="N73" s="6"/>
    </row>
    <row r="74" spans="1:17" ht="18.600000000000001" thickBot="1" x14ac:dyDescent="0.4">
      <c r="I74" s="7"/>
      <c r="J74" s="8"/>
      <c r="K74" s="8"/>
      <c r="L74" s="8"/>
      <c r="M74" s="8"/>
      <c r="N74" s="9"/>
    </row>
    <row r="77" spans="1:17" x14ac:dyDescent="0.3">
      <c r="J77" t="s">
        <v>17</v>
      </c>
      <c r="K77" s="29">
        <f>(1+12%/4)^4-1</f>
        <v>0.12550880999999992</v>
      </c>
    </row>
    <row r="80" spans="1:17" x14ac:dyDescent="0.3">
      <c r="D80" s="25" t="s">
        <v>4</v>
      </c>
      <c r="E80" t="s">
        <v>27</v>
      </c>
    </row>
    <row r="82" spans="5:12" x14ac:dyDescent="0.3">
      <c r="E82" t="s">
        <v>28</v>
      </c>
    </row>
    <row r="86" spans="5:12" x14ac:dyDescent="0.3">
      <c r="F86" s="23">
        <v>500000</v>
      </c>
      <c r="G86" t="s">
        <v>8</v>
      </c>
      <c r="H86" t="s">
        <v>3</v>
      </c>
      <c r="I86" t="s">
        <v>29</v>
      </c>
      <c r="J86" t="s">
        <v>30</v>
      </c>
    </row>
    <row r="89" spans="5:12" x14ac:dyDescent="0.3">
      <c r="F89" t="s">
        <v>31</v>
      </c>
      <c r="G89" t="s">
        <v>3</v>
      </c>
      <c r="H89" t="s">
        <v>8</v>
      </c>
      <c r="I89" s="23">
        <f>F86/((1+10%/12)^84)</f>
        <v>249013.88600242828</v>
      </c>
    </row>
    <row r="91" spans="5:12" ht="15" thickBot="1" x14ac:dyDescent="0.35"/>
    <row r="92" spans="5:12" ht="15" thickBot="1" x14ac:dyDescent="0.35">
      <c r="G92" s="437" t="s">
        <v>32</v>
      </c>
      <c r="H92" s="438"/>
      <c r="I92" s="439"/>
    </row>
    <row r="94" spans="5:12" x14ac:dyDescent="0.3">
      <c r="K94" s="30" t="s">
        <v>35</v>
      </c>
      <c r="L94" s="30" t="s">
        <v>36</v>
      </c>
    </row>
    <row r="95" spans="5:12" x14ac:dyDescent="0.3">
      <c r="G95" t="s">
        <v>33</v>
      </c>
      <c r="I95" s="23">
        <v>249013.88600242828</v>
      </c>
      <c r="K95" s="30"/>
      <c r="L95" s="30"/>
    </row>
    <row r="96" spans="5:12" x14ac:dyDescent="0.3">
      <c r="K96" s="30" t="s">
        <v>37</v>
      </c>
      <c r="L96" s="31">
        <v>500000</v>
      </c>
    </row>
    <row r="97" spans="7:12" x14ac:dyDescent="0.3">
      <c r="G97" t="s">
        <v>34</v>
      </c>
      <c r="I97" s="24">
        <f>I95*(1+10%/12)^84</f>
        <v>500000</v>
      </c>
      <c r="K97" s="30"/>
      <c r="L97" s="30"/>
    </row>
    <row r="98" spans="7:12" x14ac:dyDescent="0.3">
      <c r="K98" s="30" t="s">
        <v>38</v>
      </c>
      <c r="L98" s="30" t="s">
        <v>39</v>
      </c>
    </row>
  </sheetData>
  <mergeCells count="2">
    <mergeCell ref="E8:P8"/>
    <mergeCell ref="G92:I9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80DAE-D7F0-4DE1-BD52-FD7276E572D1}">
  <sheetPr>
    <tabColor theme="5" tint="0.59999389629810485"/>
  </sheetPr>
  <dimension ref="B1:P53"/>
  <sheetViews>
    <sheetView zoomScale="137" zoomScaleNormal="137" workbookViewId="0">
      <selection activeCell="L44" sqref="L44"/>
    </sheetView>
  </sheetViews>
  <sheetFormatPr defaultRowHeight="14.4" x14ac:dyDescent="0.3"/>
  <cols>
    <col min="6" max="6" width="11.77734375" bestFit="1" customWidth="1"/>
    <col min="8" max="9" width="11.77734375" bestFit="1" customWidth="1"/>
  </cols>
  <sheetData>
    <row r="1" spans="2:16" ht="15" thickBot="1" x14ac:dyDescent="0.35"/>
    <row r="2" spans="2:16" ht="21" x14ac:dyDescent="0.4">
      <c r="D2" s="10"/>
      <c r="E2" s="11"/>
      <c r="F2" s="11"/>
      <c r="G2" s="11"/>
      <c r="H2" s="12"/>
    </row>
    <row r="3" spans="2:16" ht="21" x14ac:dyDescent="0.4">
      <c r="D3" s="13"/>
      <c r="E3" s="14" t="s">
        <v>41</v>
      </c>
      <c r="F3" s="14" t="s">
        <v>42</v>
      </c>
      <c r="G3" s="14"/>
      <c r="H3" s="15"/>
    </row>
    <row r="4" spans="2:16" ht="21.6" thickBot="1" x14ac:dyDescent="0.45">
      <c r="D4" s="16"/>
      <c r="E4" s="17"/>
      <c r="F4" s="17"/>
      <c r="G4" s="17"/>
      <c r="H4" s="18"/>
    </row>
    <row r="6" spans="2:16" x14ac:dyDescent="0.3">
      <c r="D6" s="19" t="s">
        <v>2</v>
      </c>
    </row>
    <row r="7" spans="2:16" ht="15" thickBot="1" x14ac:dyDescent="0.35"/>
    <row r="8" spans="2:16" ht="15" thickBot="1" x14ac:dyDescent="0.35">
      <c r="E8" s="437" t="s">
        <v>44</v>
      </c>
      <c r="F8" s="438"/>
      <c r="G8" s="438"/>
      <c r="H8" s="438"/>
      <c r="I8" s="438"/>
      <c r="J8" s="438"/>
      <c r="K8" s="438"/>
      <c r="L8" s="438"/>
      <c r="M8" s="438"/>
      <c r="N8" s="438"/>
      <c r="O8" s="438"/>
      <c r="P8" s="439"/>
    </row>
    <row r="10" spans="2:16" x14ac:dyDescent="0.3">
      <c r="B10" s="20" t="s">
        <v>43</v>
      </c>
      <c r="C10" s="20">
        <v>1</v>
      </c>
      <c r="D10" s="20"/>
      <c r="E10" s="21">
        <v>0.04</v>
      </c>
      <c r="F10" s="21">
        <v>0.05</v>
      </c>
      <c r="G10" s="21">
        <v>0.06</v>
      </c>
      <c r="H10" s="21">
        <v>7.0000000000000007E-2</v>
      </c>
      <c r="I10" s="21">
        <v>0.08</v>
      </c>
      <c r="J10" s="21">
        <v>0.09</v>
      </c>
      <c r="K10" s="21">
        <v>0.1</v>
      </c>
      <c r="L10" s="21">
        <v>0.11</v>
      </c>
      <c r="M10" s="21">
        <v>0.12</v>
      </c>
      <c r="N10" s="21">
        <v>0.13</v>
      </c>
      <c r="O10" s="21">
        <v>0.14000000000000001</v>
      </c>
      <c r="P10" s="21">
        <v>0.15</v>
      </c>
    </row>
    <row r="11" spans="2:16" x14ac:dyDescent="0.3">
      <c r="D11" s="20">
        <v>1</v>
      </c>
      <c r="E11" s="22">
        <f>$C$10/(1+E$10)^$D11</f>
        <v>0.96153846153846145</v>
      </c>
      <c r="F11" s="22">
        <f t="shared" ref="F11:P26" si="0">$C$10/(1+F$10)^$D11</f>
        <v>0.95238095238095233</v>
      </c>
      <c r="G11" s="22">
        <f t="shared" si="0"/>
        <v>0.94339622641509424</v>
      </c>
      <c r="H11" s="22">
        <f t="shared" si="0"/>
        <v>0.93457943925233644</v>
      </c>
      <c r="I11" s="22">
        <f t="shared" si="0"/>
        <v>0.92592592592592582</v>
      </c>
      <c r="J11" s="22">
        <f t="shared" si="0"/>
        <v>0.9174311926605504</v>
      </c>
      <c r="K11" s="22">
        <f t="shared" si="0"/>
        <v>0.90909090909090906</v>
      </c>
      <c r="L11" s="22">
        <f t="shared" si="0"/>
        <v>0.9009009009009008</v>
      </c>
      <c r="M11" s="22">
        <f t="shared" si="0"/>
        <v>0.89285714285714279</v>
      </c>
      <c r="N11" s="22">
        <f t="shared" si="0"/>
        <v>0.88495575221238942</v>
      </c>
      <c r="O11" s="22">
        <f t="shared" si="0"/>
        <v>0.8771929824561403</v>
      </c>
      <c r="P11" s="22">
        <f t="shared" si="0"/>
        <v>0.86956521739130443</v>
      </c>
    </row>
    <row r="12" spans="2:16" x14ac:dyDescent="0.3">
      <c r="D12" s="20">
        <v>2</v>
      </c>
      <c r="E12" s="22">
        <f t="shared" ref="E12:P30" si="1">$C$10/(1+E$10)^$D12</f>
        <v>0.92455621301775137</v>
      </c>
      <c r="F12" s="22">
        <f t="shared" si="0"/>
        <v>0.90702947845804982</v>
      </c>
      <c r="G12" s="22">
        <f t="shared" si="0"/>
        <v>0.88999644001423983</v>
      </c>
      <c r="H12" s="22">
        <f t="shared" si="0"/>
        <v>0.87343872827321156</v>
      </c>
      <c r="I12" s="22">
        <f t="shared" si="0"/>
        <v>0.85733882030178321</v>
      </c>
      <c r="J12" s="22">
        <f t="shared" si="0"/>
        <v>0.84167999326655996</v>
      </c>
      <c r="K12" s="22">
        <f t="shared" si="0"/>
        <v>0.82644628099173545</v>
      </c>
      <c r="L12" s="22">
        <f t="shared" si="0"/>
        <v>0.8116224332440547</v>
      </c>
      <c r="M12" s="22">
        <f t="shared" si="0"/>
        <v>0.79719387755102034</v>
      </c>
      <c r="N12" s="22">
        <f t="shared" si="0"/>
        <v>0.78314668337379612</v>
      </c>
      <c r="O12" s="22">
        <f t="shared" si="0"/>
        <v>0.76946752847029842</v>
      </c>
      <c r="P12" s="22">
        <f t="shared" si="0"/>
        <v>0.7561436672967865</v>
      </c>
    </row>
    <row r="13" spans="2:16" x14ac:dyDescent="0.3">
      <c r="D13" s="20">
        <v>3</v>
      </c>
      <c r="E13" s="22">
        <f t="shared" si="1"/>
        <v>0.88899635867091487</v>
      </c>
      <c r="F13" s="22">
        <f t="shared" si="0"/>
        <v>0.86383759853147601</v>
      </c>
      <c r="G13" s="22">
        <f t="shared" si="0"/>
        <v>0.8396192830323016</v>
      </c>
      <c r="H13" s="22">
        <f t="shared" si="0"/>
        <v>0.81629787689085187</v>
      </c>
      <c r="I13" s="22">
        <f t="shared" si="0"/>
        <v>0.79383224102016958</v>
      </c>
      <c r="J13" s="22">
        <f t="shared" si="0"/>
        <v>0.77218348006106419</v>
      </c>
      <c r="K13" s="22">
        <f t="shared" si="0"/>
        <v>0.75131480090157754</v>
      </c>
      <c r="L13" s="22">
        <f t="shared" si="0"/>
        <v>0.73119138130095018</v>
      </c>
      <c r="M13" s="22">
        <f t="shared" si="0"/>
        <v>0.71178024781341087</v>
      </c>
      <c r="N13" s="22">
        <f t="shared" si="0"/>
        <v>0.69305016227769578</v>
      </c>
      <c r="O13" s="22">
        <f t="shared" si="0"/>
        <v>0.67497151620201612</v>
      </c>
      <c r="P13" s="22">
        <f t="shared" si="0"/>
        <v>0.65751623243198831</v>
      </c>
    </row>
    <row r="14" spans="2:16" x14ac:dyDescent="0.3">
      <c r="D14" s="20">
        <v>4</v>
      </c>
      <c r="E14" s="22">
        <f t="shared" si="1"/>
        <v>0.85480419102972571</v>
      </c>
      <c r="F14" s="22">
        <f t="shared" si="0"/>
        <v>0.82270247479188197</v>
      </c>
      <c r="G14" s="22">
        <f t="shared" si="0"/>
        <v>0.79209366323802044</v>
      </c>
      <c r="H14" s="22">
        <f t="shared" si="0"/>
        <v>0.7628952120475252</v>
      </c>
      <c r="I14" s="22">
        <f t="shared" si="0"/>
        <v>0.73502985279645328</v>
      </c>
      <c r="J14" s="22">
        <f t="shared" si="0"/>
        <v>0.7084252110651964</v>
      </c>
      <c r="K14" s="22">
        <f t="shared" si="0"/>
        <v>0.68301345536507052</v>
      </c>
      <c r="L14" s="22">
        <f t="shared" si="0"/>
        <v>0.65873097414500015</v>
      </c>
      <c r="M14" s="22">
        <f t="shared" si="0"/>
        <v>0.63551807840483121</v>
      </c>
      <c r="N14" s="22">
        <f t="shared" si="0"/>
        <v>0.61331872767937679</v>
      </c>
      <c r="O14" s="22">
        <f t="shared" si="0"/>
        <v>0.59208027737018942</v>
      </c>
      <c r="P14" s="22">
        <f t="shared" si="0"/>
        <v>0.57175324559303342</v>
      </c>
    </row>
    <row r="15" spans="2:16" x14ac:dyDescent="0.3">
      <c r="D15" s="20">
        <v>5</v>
      </c>
      <c r="E15" s="22">
        <f t="shared" si="1"/>
        <v>0.82192710675935154</v>
      </c>
      <c r="F15" s="22">
        <f t="shared" si="0"/>
        <v>0.78352616646845896</v>
      </c>
      <c r="G15" s="22">
        <f t="shared" si="0"/>
        <v>0.74725817286605689</v>
      </c>
      <c r="H15" s="22">
        <f t="shared" si="0"/>
        <v>0.71298617948366838</v>
      </c>
      <c r="I15" s="22">
        <f t="shared" si="0"/>
        <v>0.68058319703375303</v>
      </c>
      <c r="J15" s="22">
        <f t="shared" si="0"/>
        <v>0.64993138629834524</v>
      </c>
      <c r="K15" s="22">
        <f t="shared" si="0"/>
        <v>0.62092132305915493</v>
      </c>
      <c r="L15" s="22">
        <f t="shared" si="0"/>
        <v>0.5934513280585586</v>
      </c>
      <c r="M15" s="22">
        <f t="shared" si="0"/>
        <v>0.56742685571859919</v>
      </c>
      <c r="N15" s="22">
        <f t="shared" si="0"/>
        <v>0.54275993599944861</v>
      </c>
      <c r="O15" s="22">
        <f t="shared" si="0"/>
        <v>0.51936866435981521</v>
      </c>
      <c r="P15" s="22">
        <f t="shared" si="0"/>
        <v>0.49717673529828987</v>
      </c>
    </row>
    <row r="16" spans="2:16" x14ac:dyDescent="0.3">
      <c r="D16" s="20">
        <v>6</v>
      </c>
      <c r="E16" s="22">
        <f t="shared" si="1"/>
        <v>0.79031452573014571</v>
      </c>
      <c r="F16" s="22">
        <f t="shared" si="0"/>
        <v>0.74621539663662761</v>
      </c>
      <c r="G16" s="22">
        <f t="shared" si="0"/>
        <v>0.70496054043967626</v>
      </c>
      <c r="H16" s="22">
        <f t="shared" si="0"/>
        <v>0.66634222381651254</v>
      </c>
      <c r="I16" s="22">
        <f t="shared" si="0"/>
        <v>0.63016962688310452</v>
      </c>
      <c r="J16" s="22">
        <f t="shared" si="0"/>
        <v>0.5962673268792158</v>
      </c>
      <c r="K16" s="22">
        <f t="shared" si="0"/>
        <v>0.56447393005377722</v>
      </c>
      <c r="L16" s="22">
        <f t="shared" si="0"/>
        <v>0.53464083608879154</v>
      </c>
      <c r="M16" s="22">
        <f t="shared" si="0"/>
        <v>0.50663112117732068</v>
      </c>
      <c r="N16" s="22">
        <f t="shared" si="0"/>
        <v>0.48031852743314046</v>
      </c>
      <c r="O16" s="22">
        <f t="shared" si="0"/>
        <v>0.45558654768404844</v>
      </c>
      <c r="P16" s="22">
        <f t="shared" si="0"/>
        <v>0.43232759591155645</v>
      </c>
    </row>
    <row r="17" spans="4:16" x14ac:dyDescent="0.3">
      <c r="D17" s="20">
        <v>7</v>
      </c>
      <c r="E17" s="22">
        <f t="shared" si="1"/>
        <v>0.75991781320206331</v>
      </c>
      <c r="F17" s="22">
        <f t="shared" si="0"/>
        <v>0.71068133013012147</v>
      </c>
      <c r="G17" s="22">
        <f t="shared" si="0"/>
        <v>0.66505711362233599</v>
      </c>
      <c r="H17" s="22">
        <f t="shared" si="0"/>
        <v>0.62274974188459109</v>
      </c>
      <c r="I17" s="22">
        <f t="shared" si="0"/>
        <v>0.58349039526213387</v>
      </c>
      <c r="J17" s="22">
        <f t="shared" si="0"/>
        <v>0.54703424484331731</v>
      </c>
      <c r="K17" s="22">
        <f t="shared" si="0"/>
        <v>0.51315811823070645</v>
      </c>
      <c r="L17" s="22">
        <f t="shared" si="0"/>
        <v>0.48165841089080319</v>
      </c>
      <c r="M17" s="22">
        <f t="shared" si="0"/>
        <v>0.45234921533689343</v>
      </c>
      <c r="N17" s="22">
        <f t="shared" si="0"/>
        <v>0.425060643746142</v>
      </c>
      <c r="O17" s="22">
        <f t="shared" si="0"/>
        <v>0.39963732252986695</v>
      </c>
      <c r="P17" s="22">
        <f t="shared" si="0"/>
        <v>0.37593703992309269</v>
      </c>
    </row>
    <row r="18" spans="4:16" x14ac:dyDescent="0.3">
      <c r="D18" s="20">
        <v>8</v>
      </c>
      <c r="E18" s="22">
        <f t="shared" si="1"/>
        <v>0.73069020500198378</v>
      </c>
      <c r="F18" s="22">
        <f t="shared" si="0"/>
        <v>0.67683936202868722</v>
      </c>
      <c r="G18" s="22">
        <f t="shared" si="0"/>
        <v>0.62741237134182648</v>
      </c>
      <c r="H18" s="22">
        <f t="shared" si="0"/>
        <v>0.5820091045650384</v>
      </c>
      <c r="I18" s="22">
        <f t="shared" si="0"/>
        <v>0.54026888450197574</v>
      </c>
      <c r="J18" s="22">
        <f t="shared" si="0"/>
        <v>0.50186627967276809</v>
      </c>
      <c r="K18" s="22">
        <f t="shared" si="0"/>
        <v>0.46650738020973315</v>
      </c>
      <c r="L18" s="22">
        <f t="shared" si="0"/>
        <v>0.43392649629802077</v>
      </c>
      <c r="M18" s="22">
        <f t="shared" si="0"/>
        <v>0.4038832279793691</v>
      </c>
      <c r="N18" s="22">
        <f t="shared" si="0"/>
        <v>0.37615986172224958</v>
      </c>
      <c r="O18" s="22">
        <f t="shared" si="0"/>
        <v>0.35055905485076044</v>
      </c>
      <c r="P18" s="22">
        <f t="shared" si="0"/>
        <v>0.32690177384616753</v>
      </c>
    </row>
    <row r="19" spans="4:16" x14ac:dyDescent="0.3">
      <c r="D19" s="20">
        <v>9</v>
      </c>
      <c r="E19" s="22">
        <f t="shared" si="1"/>
        <v>0.70258673557883045</v>
      </c>
      <c r="F19" s="22">
        <f t="shared" si="0"/>
        <v>0.64460891621779726</v>
      </c>
      <c r="G19" s="22">
        <f t="shared" si="0"/>
        <v>0.59189846353002495</v>
      </c>
      <c r="H19" s="22">
        <f t="shared" si="0"/>
        <v>0.54393374258414806</v>
      </c>
      <c r="I19" s="22">
        <f t="shared" si="0"/>
        <v>0.50024896713145905</v>
      </c>
      <c r="J19" s="22">
        <f t="shared" si="0"/>
        <v>0.46042777951630098</v>
      </c>
      <c r="K19" s="22">
        <f t="shared" si="0"/>
        <v>0.42409761837248466</v>
      </c>
      <c r="L19" s="22">
        <f t="shared" si="0"/>
        <v>0.39092477143965831</v>
      </c>
      <c r="M19" s="22">
        <f t="shared" si="0"/>
        <v>0.36061002498157957</v>
      </c>
      <c r="N19" s="22">
        <f t="shared" si="0"/>
        <v>0.33288483338252178</v>
      </c>
      <c r="O19" s="22">
        <f t="shared" si="0"/>
        <v>0.3075079428515442</v>
      </c>
      <c r="P19" s="22">
        <f t="shared" si="0"/>
        <v>0.28426241204014574</v>
      </c>
    </row>
    <row r="20" spans="4:16" x14ac:dyDescent="0.3">
      <c r="D20" s="20">
        <v>10</v>
      </c>
      <c r="E20" s="22">
        <f t="shared" si="1"/>
        <v>0.67556416882579851</v>
      </c>
      <c r="F20" s="22">
        <f t="shared" si="0"/>
        <v>0.61391325354075932</v>
      </c>
      <c r="G20" s="22">
        <f t="shared" si="0"/>
        <v>0.55839477691511785</v>
      </c>
      <c r="H20" s="22">
        <f t="shared" si="0"/>
        <v>0.5083492921347178</v>
      </c>
      <c r="I20" s="22">
        <f t="shared" si="0"/>
        <v>0.46319348808468425</v>
      </c>
      <c r="J20" s="22">
        <f t="shared" si="0"/>
        <v>0.42241080689568894</v>
      </c>
      <c r="K20" s="22">
        <f t="shared" si="0"/>
        <v>0.38554328942953148</v>
      </c>
      <c r="L20" s="22">
        <f t="shared" si="0"/>
        <v>0.3521844787744669</v>
      </c>
      <c r="M20" s="22">
        <f t="shared" si="0"/>
        <v>0.32197323659069599</v>
      </c>
      <c r="N20" s="22">
        <f t="shared" si="0"/>
        <v>0.2945883481261255</v>
      </c>
      <c r="O20" s="22">
        <f t="shared" si="0"/>
        <v>0.26974380951889843</v>
      </c>
      <c r="P20" s="22">
        <f t="shared" si="0"/>
        <v>0.24718470612186585</v>
      </c>
    </row>
    <row r="21" spans="4:16" x14ac:dyDescent="0.3">
      <c r="D21" s="20">
        <v>11</v>
      </c>
      <c r="E21" s="22">
        <f t="shared" si="1"/>
        <v>0.6495809315632679</v>
      </c>
      <c r="F21" s="22">
        <f t="shared" si="0"/>
        <v>0.5846792890864374</v>
      </c>
      <c r="G21" s="22">
        <f t="shared" si="0"/>
        <v>0.52678752539162055</v>
      </c>
      <c r="H21" s="22">
        <f t="shared" si="0"/>
        <v>0.47509279638758667</v>
      </c>
      <c r="I21" s="22">
        <f t="shared" si="0"/>
        <v>0.42888285933767062</v>
      </c>
      <c r="J21" s="22">
        <f t="shared" si="0"/>
        <v>0.38753285036301738</v>
      </c>
      <c r="K21" s="22">
        <f t="shared" si="0"/>
        <v>0.3504938994813922</v>
      </c>
      <c r="L21" s="22">
        <f t="shared" si="0"/>
        <v>0.31728331421123146</v>
      </c>
      <c r="M21" s="22">
        <f t="shared" si="0"/>
        <v>0.28747610409883567</v>
      </c>
      <c r="N21" s="22">
        <f t="shared" si="0"/>
        <v>0.26069765320896066</v>
      </c>
      <c r="O21" s="22">
        <f t="shared" si="0"/>
        <v>0.23661737677096348</v>
      </c>
      <c r="P21" s="22">
        <f t="shared" si="0"/>
        <v>0.21494322271466598</v>
      </c>
    </row>
    <row r="22" spans="4:16" x14ac:dyDescent="0.3">
      <c r="D22" s="20">
        <v>12</v>
      </c>
      <c r="E22" s="22">
        <f t="shared" si="1"/>
        <v>0.62459704958006512</v>
      </c>
      <c r="F22" s="22">
        <f t="shared" si="0"/>
        <v>0.5568374181775595</v>
      </c>
      <c r="G22" s="22">
        <f t="shared" si="0"/>
        <v>0.4969693635770005</v>
      </c>
      <c r="H22" s="22">
        <f t="shared" si="0"/>
        <v>0.44401195924073528</v>
      </c>
      <c r="I22" s="22">
        <f t="shared" si="0"/>
        <v>0.39711375864599124</v>
      </c>
      <c r="J22" s="22">
        <f t="shared" si="0"/>
        <v>0.35553472510368567</v>
      </c>
      <c r="K22" s="22">
        <f t="shared" si="0"/>
        <v>0.31863081771035656</v>
      </c>
      <c r="L22" s="22">
        <f t="shared" si="0"/>
        <v>0.28584082361372198</v>
      </c>
      <c r="M22" s="22">
        <f t="shared" si="0"/>
        <v>0.25667509294538904</v>
      </c>
      <c r="N22" s="22">
        <f t="shared" si="0"/>
        <v>0.23070588779554044</v>
      </c>
      <c r="O22" s="22">
        <f t="shared" si="0"/>
        <v>0.20755910243066969</v>
      </c>
      <c r="P22" s="22">
        <f t="shared" si="0"/>
        <v>0.18690715018666609</v>
      </c>
    </row>
    <row r="23" spans="4:16" x14ac:dyDescent="0.3">
      <c r="D23" s="20">
        <v>13</v>
      </c>
      <c r="E23" s="22">
        <f t="shared" si="1"/>
        <v>0.600574086134678</v>
      </c>
      <c r="F23" s="22">
        <f t="shared" si="0"/>
        <v>0.53032135064529462</v>
      </c>
      <c r="G23" s="22">
        <f t="shared" si="0"/>
        <v>0.46883902224245327</v>
      </c>
      <c r="H23" s="22">
        <f t="shared" si="0"/>
        <v>0.41496444788853759</v>
      </c>
      <c r="I23" s="22">
        <f t="shared" si="0"/>
        <v>0.36769792467221413</v>
      </c>
      <c r="J23" s="22">
        <f t="shared" si="0"/>
        <v>0.32617864688411524</v>
      </c>
      <c r="K23" s="22">
        <f t="shared" si="0"/>
        <v>0.28966437973668779</v>
      </c>
      <c r="L23" s="22">
        <f t="shared" si="0"/>
        <v>0.25751425550785767</v>
      </c>
      <c r="M23" s="22">
        <f t="shared" si="0"/>
        <v>0.22917419012981158</v>
      </c>
      <c r="N23" s="22">
        <f t="shared" si="0"/>
        <v>0.20416450247392959</v>
      </c>
      <c r="O23" s="22">
        <f t="shared" si="0"/>
        <v>0.18206938809707865</v>
      </c>
      <c r="P23" s="22">
        <f t="shared" si="0"/>
        <v>0.16252795668405748</v>
      </c>
    </row>
    <row r="24" spans="4:16" x14ac:dyDescent="0.3">
      <c r="D24" s="20">
        <v>14</v>
      </c>
      <c r="E24" s="22">
        <f t="shared" si="1"/>
        <v>0.57747508282180582</v>
      </c>
      <c r="F24" s="22">
        <f t="shared" si="0"/>
        <v>0.50506795299551888</v>
      </c>
      <c r="G24" s="22">
        <f t="shared" si="0"/>
        <v>0.44230096437967292</v>
      </c>
      <c r="H24" s="22">
        <f t="shared" si="0"/>
        <v>0.3878172410173249</v>
      </c>
      <c r="I24" s="22">
        <f t="shared" si="0"/>
        <v>0.34046104136316119</v>
      </c>
      <c r="J24" s="22">
        <f t="shared" si="0"/>
        <v>0.29924646503129837</v>
      </c>
      <c r="K24" s="22">
        <f t="shared" si="0"/>
        <v>0.26333125430607973</v>
      </c>
      <c r="L24" s="22">
        <f t="shared" si="0"/>
        <v>0.23199482478185374</v>
      </c>
      <c r="M24" s="22">
        <f t="shared" si="0"/>
        <v>0.20461981261590317</v>
      </c>
      <c r="N24" s="22">
        <f t="shared" si="0"/>
        <v>0.18067655086188467</v>
      </c>
      <c r="O24" s="22">
        <f t="shared" si="0"/>
        <v>0.15970998955884091</v>
      </c>
      <c r="P24" s="22">
        <f t="shared" si="0"/>
        <v>0.14132865798613695</v>
      </c>
    </row>
    <row r="25" spans="4:16" x14ac:dyDescent="0.3">
      <c r="D25" s="20">
        <v>15</v>
      </c>
      <c r="E25" s="22">
        <f t="shared" si="1"/>
        <v>0.55526450271327477</v>
      </c>
      <c r="F25" s="22">
        <f t="shared" si="0"/>
        <v>0.48101709809097021</v>
      </c>
      <c r="G25" s="22">
        <f t="shared" si="0"/>
        <v>0.41726506073554037</v>
      </c>
      <c r="H25" s="22">
        <f t="shared" si="0"/>
        <v>0.36244601964235967</v>
      </c>
      <c r="I25" s="22">
        <f t="shared" si="0"/>
        <v>0.31524170496588994</v>
      </c>
      <c r="J25" s="22">
        <f t="shared" si="0"/>
        <v>0.27453804131311776</v>
      </c>
      <c r="K25" s="22">
        <f t="shared" si="0"/>
        <v>0.23939204936916339</v>
      </c>
      <c r="L25" s="22">
        <f t="shared" si="0"/>
        <v>0.2090043466503187</v>
      </c>
      <c r="M25" s="22">
        <f t="shared" si="0"/>
        <v>0.18269626126419927</v>
      </c>
      <c r="N25" s="22">
        <f t="shared" si="0"/>
        <v>0.15989075297511918</v>
      </c>
      <c r="O25" s="22">
        <f t="shared" si="0"/>
        <v>0.1400964820691587</v>
      </c>
      <c r="P25" s="22">
        <f t="shared" si="0"/>
        <v>0.1228944852053365</v>
      </c>
    </row>
    <row r="26" spans="4:16" x14ac:dyDescent="0.3">
      <c r="D26" s="20">
        <v>16</v>
      </c>
      <c r="E26" s="22">
        <f t="shared" si="1"/>
        <v>0.53390817568584104</v>
      </c>
      <c r="F26" s="22">
        <f t="shared" si="0"/>
        <v>0.45811152199140021</v>
      </c>
      <c r="G26" s="22">
        <f t="shared" si="0"/>
        <v>0.39364628371277405</v>
      </c>
      <c r="H26" s="22">
        <f t="shared" si="0"/>
        <v>0.33873459779659787</v>
      </c>
      <c r="I26" s="22">
        <f t="shared" si="0"/>
        <v>0.29189046756100923</v>
      </c>
      <c r="J26" s="22">
        <f t="shared" si="0"/>
        <v>0.2518697626725851</v>
      </c>
      <c r="K26" s="22">
        <f t="shared" si="0"/>
        <v>0.21762913579014853</v>
      </c>
      <c r="L26" s="22">
        <f t="shared" si="0"/>
        <v>0.18829220418947626</v>
      </c>
      <c r="M26" s="22">
        <f t="shared" si="0"/>
        <v>0.16312166184303503</v>
      </c>
      <c r="N26" s="22">
        <f t="shared" si="0"/>
        <v>0.14149624157090193</v>
      </c>
      <c r="O26" s="22">
        <f t="shared" si="0"/>
        <v>0.12289165093785848</v>
      </c>
      <c r="P26" s="22">
        <f t="shared" si="0"/>
        <v>0.10686476974377089</v>
      </c>
    </row>
    <row r="27" spans="4:16" x14ac:dyDescent="0.3">
      <c r="D27" s="20">
        <v>17</v>
      </c>
      <c r="E27" s="22">
        <f t="shared" si="1"/>
        <v>0.51337324585177024</v>
      </c>
      <c r="F27" s="22">
        <f t="shared" si="1"/>
        <v>0.43629668761085727</v>
      </c>
      <c r="G27" s="22">
        <f t="shared" si="1"/>
        <v>0.37136441859695657</v>
      </c>
      <c r="H27" s="22">
        <f t="shared" si="1"/>
        <v>0.31657439046411018</v>
      </c>
      <c r="I27" s="22">
        <f t="shared" si="1"/>
        <v>0.27026895144537894</v>
      </c>
      <c r="J27" s="22">
        <f t="shared" si="1"/>
        <v>0.23107317676383954</v>
      </c>
      <c r="K27" s="22">
        <f t="shared" si="1"/>
        <v>0.19784466890013502</v>
      </c>
      <c r="L27" s="22">
        <f t="shared" si="1"/>
        <v>0.16963261638691554</v>
      </c>
      <c r="M27" s="22">
        <f t="shared" si="1"/>
        <v>0.14564434093128129</v>
      </c>
      <c r="N27" s="22">
        <f t="shared" si="1"/>
        <v>0.12521791289460349</v>
      </c>
      <c r="O27" s="22">
        <f t="shared" si="1"/>
        <v>0.107799693805139</v>
      </c>
      <c r="P27" s="22">
        <f t="shared" si="1"/>
        <v>9.2925886733713825E-2</v>
      </c>
    </row>
    <row r="28" spans="4:16" x14ac:dyDescent="0.3">
      <c r="D28" s="20">
        <v>18</v>
      </c>
      <c r="E28" s="22">
        <f t="shared" si="1"/>
        <v>0.49362812101131748</v>
      </c>
      <c r="F28" s="22">
        <f t="shared" si="1"/>
        <v>0.41552065486748313</v>
      </c>
      <c r="G28" s="22">
        <f t="shared" si="1"/>
        <v>0.35034379112920433</v>
      </c>
      <c r="H28" s="22">
        <f t="shared" si="1"/>
        <v>0.29586391632159825</v>
      </c>
      <c r="I28" s="22">
        <f t="shared" si="1"/>
        <v>0.25024902911609154</v>
      </c>
      <c r="J28" s="22">
        <f t="shared" si="1"/>
        <v>0.21199374015031147</v>
      </c>
      <c r="K28" s="22">
        <f t="shared" si="1"/>
        <v>0.17985878990921364</v>
      </c>
      <c r="L28" s="22">
        <f t="shared" si="1"/>
        <v>0.15282217692514913</v>
      </c>
      <c r="M28" s="22">
        <f t="shared" si="1"/>
        <v>0.13003959011721541</v>
      </c>
      <c r="N28" s="22">
        <f t="shared" si="1"/>
        <v>0.1108123122961093</v>
      </c>
      <c r="O28" s="22">
        <f t="shared" si="1"/>
        <v>9.4561134916788581E-2</v>
      </c>
      <c r="P28" s="22">
        <f t="shared" si="1"/>
        <v>8.0805118898881603E-2</v>
      </c>
    </row>
    <row r="29" spans="4:16" x14ac:dyDescent="0.3">
      <c r="D29" s="20">
        <v>19</v>
      </c>
      <c r="E29" s="22">
        <f t="shared" si="1"/>
        <v>0.47464242404934376</v>
      </c>
      <c r="F29" s="22">
        <f t="shared" si="1"/>
        <v>0.39573395701665059</v>
      </c>
      <c r="G29" s="22">
        <f t="shared" si="1"/>
        <v>0.3305130104992493</v>
      </c>
      <c r="H29" s="22">
        <f t="shared" si="1"/>
        <v>0.27650833301083949</v>
      </c>
      <c r="I29" s="22">
        <f t="shared" si="1"/>
        <v>0.23171206399638106</v>
      </c>
      <c r="J29" s="22">
        <f t="shared" si="1"/>
        <v>0.19448966986267105</v>
      </c>
      <c r="K29" s="22">
        <f t="shared" si="1"/>
        <v>0.16350799082655781</v>
      </c>
      <c r="L29" s="22">
        <f t="shared" si="1"/>
        <v>0.13767763686950371</v>
      </c>
      <c r="M29" s="22">
        <f t="shared" si="1"/>
        <v>0.1161067768903709</v>
      </c>
      <c r="N29" s="22">
        <f t="shared" si="1"/>
        <v>9.8063993182397627E-2</v>
      </c>
      <c r="O29" s="22">
        <f t="shared" si="1"/>
        <v>8.2948363962095248E-2</v>
      </c>
      <c r="P29" s="22">
        <f t="shared" si="1"/>
        <v>7.0265320781636179E-2</v>
      </c>
    </row>
    <row r="30" spans="4:16" x14ac:dyDescent="0.3">
      <c r="D30" s="20">
        <v>20</v>
      </c>
      <c r="E30" s="22">
        <f t="shared" si="1"/>
        <v>0.45638694620129205</v>
      </c>
      <c r="F30" s="22">
        <f t="shared" si="1"/>
        <v>0.37688948287300061</v>
      </c>
      <c r="G30" s="22">
        <f t="shared" si="1"/>
        <v>0.31180472688608429</v>
      </c>
      <c r="H30" s="22">
        <f t="shared" si="1"/>
        <v>0.2584190028138687</v>
      </c>
      <c r="I30" s="22">
        <f t="shared" si="1"/>
        <v>0.21454820740405653</v>
      </c>
      <c r="J30" s="22">
        <f t="shared" si="1"/>
        <v>0.17843088978226704</v>
      </c>
      <c r="K30" s="22">
        <f t="shared" si="1"/>
        <v>0.14864362802414349</v>
      </c>
      <c r="L30" s="22">
        <f t="shared" si="1"/>
        <v>0.12403390708964297</v>
      </c>
      <c r="M30" s="22">
        <f t="shared" si="1"/>
        <v>0.1036667650806883</v>
      </c>
      <c r="N30" s="22">
        <f t="shared" si="1"/>
        <v>8.678229485167932E-2</v>
      </c>
      <c r="O30" s="22">
        <f t="shared" si="1"/>
        <v>7.2761722773767745E-2</v>
      </c>
      <c r="P30" s="22">
        <f t="shared" si="1"/>
        <v>6.1100278940553199E-2</v>
      </c>
    </row>
    <row r="33" spans="4:12" x14ac:dyDescent="0.3">
      <c r="D33" s="25" t="s">
        <v>4</v>
      </c>
      <c r="E33" t="s">
        <v>45</v>
      </c>
    </row>
    <row r="36" spans="4:12" x14ac:dyDescent="0.3">
      <c r="F36" t="s">
        <v>7</v>
      </c>
      <c r="H36" s="23">
        <f>100000/(1+11%)^5</f>
        <v>59345.132805855865</v>
      </c>
    </row>
    <row r="38" spans="4:12" x14ac:dyDescent="0.3">
      <c r="F38" t="s">
        <v>46</v>
      </c>
      <c r="H38" s="24">
        <f>100000*L15</f>
        <v>59345.132805855857</v>
      </c>
    </row>
    <row r="40" spans="4:12" x14ac:dyDescent="0.3">
      <c r="F40" t="s">
        <v>10</v>
      </c>
      <c r="H40" s="41">
        <f>PV(11%,5,0,100000,0)</f>
        <v>-59345.132805855865</v>
      </c>
    </row>
    <row r="42" spans="4:12" ht="15" thickBot="1" x14ac:dyDescent="0.35"/>
    <row r="43" spans="4:12" ht="21" x14ac:dyDescent="0.4">
      <c r="D43" s="10"/>
      <c r="E43" s="11"/>
      <c r="F43" s="11"/>
      <c r="G43" s="11"/>
      <c r="H43" s="12"/>
    </row>
    <row r="44" spans="4:12" ht="23.4" x14ac:dyDescent="0.4">
      <c r="D44" s="13"/>
      <c r="E44" s="14" t="s">
        <v>41</v>
      </c>
      <c r="F44" s="14" t="s">
        <v>48</v>
      </c>
      <c r="G44" s="14"/>
      <c r="H44" s="15"/>
      <c r="L44" s="19" t="s">
        <v>13</v>
      </c>
    </row>
    <row r="45" spans="4:12" ht="21.6" thickBot="1" x14ac:dyDescent="0.45">
      <c r="D45" s="16"/>
      <c r="E45" s="17"/>
      <c r="F45" s="17"/>
      <c r="G45" s="17"/>
      <c r="H45" s="18"/>
    </row>
    <row r="47" spans="4:12" x14ac:dyDescent="0.3">
      <c r="D47" s="19" t="s">
        <v>2</v>
      </c>
    </row>
    <row r="50" spans="4:8" x14ac:dyDescent="0.3">
      <c r="D50" s="25" t="s">
        <v>4</v>
      </c>
      <c r="E50" t="s">
        <v>47</v>
      </c>
    </row>
    <row r="53" spans="4:8" x14ac:dyDescent="0.3">
      <c r="G53" t="s">
        <v>41</v>
      </c>
      <c r="H53" s="23">
        <f>100000*EXP(-11%*5)</f>
        <v>57694.981038048667</v>
      </c>
    </row>
  </sheetData>
  <mergeCells count="1">
    <mergeCell ref="E8:P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356F-64AD-40FC-B970-0B042A60CD6E}">
  <sheetPr>
    <tabColor theme="5" tint="0.59999389629810485"/>
  </sheetPr>
  <dimension ref="B3:K119"/>
  <sheetViews>
    <sheetView topLeftCell="A22" zoomScale="73" zoomScaleNormal="137" workbookViewId="0"/>
  </sheetViews>
  <sheetFormatPr defaultRowHeight="14.4" x14ac:dyDescent="0.3"/>
  <cols>
    <col min="2" max="2" width="2.33203125" style="42" bestFit="1" customWidth="1"/>
    <col min="5" max="6" width="10.21875" bestFit="1" customWidth="1"/>
    <col min="7" max="7" width="10.77734375" bestFit="1" customWidth="1"/>
    <col min="8" max="8" width="10.44140625" bestFit="1" customWidth="1"/>
    <col min="9" max="9" width="10.21875" bestFit="1" customWidth="1"/>
  </cols>
  <sheetData>
    <row r="3" spans="2:8" x14ac:dyDescent="0.3">
      <c r="B3" s="42" t="s">
        <v>4</v>
      </c>
      <c r="C3" t="s">
        <v>49</v>
      </c>
    </row>
    <row r="4" spans="2:8" x14ac:dyDescent="0.3">
      <c r="C4" t="s">
        <v>50</v>
      </c>
    </row>
    <row r="6" spans="2:8" x14ac:dyDescent="0.3">
      <c r="C6" t="s">
        <v>51</v>
      </c>
    </row>
    <row r="9" spans="2:8" x14ac:dyDescent="0.3">
      <c r="C9" s="46" t="s">
        <v>57</v>
      </c>
    </row>
    <row r="11" spans="2:8" x14ac:dyDescent="0.3">
      <c r="F11" s="23">
        <v>1000</v>
      </c>
      <c r="G11" s="44">
        <v>0.1</v>
      </c>
    </row>
    <row r="12" spans="2:8" s="25" customFormat="1" x14ac:dyDescent="0.3">
      <c r="D12" s="25" t="s">
        <v>56</v>
      </c>
      <c r="E12" s="25" t="s">
        <v>52</v>
      </c>
      <c r="F12" s="25" t="s">
        <v>53</v>
      </c>
      <c r="G12" s="25" t="s">
        <v>54</v>
      </c>
      <c r="H12" s="25" t="s">
        <v>55</v>
      </c>
    </row>
    <row r="13" spans="2:8" s="20" customFormat="1" x14ac:dyDescent="0.3">
      <c r="B13" s="25"/>
      <c r="D13" s="20">
        <v>1</v>
      </c>
      <c r="E13" s="43">
        <v>0</v>
      </c>
      <c r="F13" s="43">
        <f>F11</f>
        <v>1000</v>
      </c>
      <c r="G13" s="43">
        <v>0</v>
      </c>
      <c r="H13" s="43">
        <f>E13+F13+G13</f>
        <v>1000</v>
      </c>
    </row>
    <row r="14" spans="2:8" s="20" customFormat="1" x14ac:dyDescent="0.3">
      <c r="B14" s="25"/>
      <c r="D14" s="20">
        <v>2</v>
      </c>
      <c r="E14" s="43">
        <f>H13</f>
        <v>1000</v>
      </c>
      <c r="F14" s="43">
        <f>$F$11</f>
        <v>1000</v>
      </c>
      <c r="G14" s="43">
        <f>E14*$G$11</f>
        <v>100</v>
      </c>
      <c r="H14" s="43">
        <f>E14+F14+G14</f>
        <v>2100</v>
      </c>
    </row>
    <row r="15" spans="2:8" s="20" customFormat="1" x14ac:dyDescent="0.3">
      <c r="B15" s="25"/>
      <c r="D15" s="20">
        <v>3</v>
      </c>
      <c r="E15" s="43">
        <f t="shared" ref="E15:E17" si="0">H14</f>
        <v>2100</v>
      </c>
      <c r="F15" s="43">
        <f t="shared" ref="F15:F17" si="1">$F$11</f>
        <v>1000</v>
      </c>
      <c r="G15" s="43">
        <f t="shared" ref="G15:G17" si="2">E15*$G$11</f>
        <v>210</v>
      </c>
      <c r="H15" s="43">
        <f t="shared" ref="H15:H17" si="3">E15+F15+G15</f>
        <v>3310</v>
      </c>
    </row>
    <row r="16" spans="2:8" s="20" customFormat="1" x14ac:dyDescent="0.3">
      <c r="B16" s="25"/>
      <c r="D16" s="20">
        <v>4</v>
      </c>
      <c r="E16" s="43">
        <f t="shared" si="0"/>
        <v>3310</v>
      </c>
      <c r="F16" s="43">
        <f t="shared" si="1"/>
        <v>1000</v>
      </c>
      <c r="G16" s="43">
        <f t="shared" si="2"/>
        <v>331</v>
      </c>
      <c r="H16" s="43">
        <f t="shared" si="3"/>
        <v>4641</v>
      </c>
    </row>
    <row r="17" spans="2:9" s="20" customFormat="1" x14ac:dyDescent="0.3">
      <c r="B17" s="25"/>
      <c r="D17" s="20">
        <v>5</v>
      </c>
      <c r="E17" s="43">
        <f t="shared" si="0"/>
        <v>4641</v>
      </c>
      <c r="F17" s="43">
        <f t="shared" si="1"/>
        <v>1000</v>
      </c>
      <c r="G17" s="43">
        <f t="shared" si="2"/>
        <v>464.1</v>
      </c>
      <c r="H17" s="45">
        <f t="shared" si="3"/>
        <v>6105.1</v>
      </c>
    </row>
    <row r="18" spans="2:9" s="20" customFormat="1" x14ac:dyDescent="0.3">
      <c r="B18" s="25"/>
    </row>
    <row r="20" spans="2:9" x14ac:dyDescent="0.3">
      <c r="C20" s="46" t="s">
        <v>58</v>
      </c>
    </row>
    <row r="22" spans="2:9" x14ac:dyDescent="0.3">
      <c r="E22" t="s">
        <v>59</v>
      </c>
      <c r="F22" t="s">
        <v>8</v>
      </c>
      <c r="G22" t="s">
        <v>60</v>
      </c>
      <c r="H22" t="s">
        <v>29</v>
      </c>
      <c r="I22" s="47" t="s">
        <v>61</v>
      </c>
    </row>
    <row r="23" spans="2:9" x14ac:dyDescent="0.3">
      <c r="I23" t="s">
        <v>62</v>
      </c>
    </row>
    <row r="25" spans="2:9" x14ac:dyDescent="0.3">
      <c r="E25" t="s">
        <v>59</v>
      </c>
      <c r="F25" t="s">
        <v>8</v>
      </c>
      <c r="G25">
        <f>1000</f>
        <v>1000</v>
      </c>
      <c r="H25" t="s">
        <v>29</v>
      </c>
      <c r="I25" s="47">
        <f>(1+10%)^5-1</f>
        <v>0.61051000000000055</v>
      </c>
    </row>
    <row r="26" spans="2:9" x14ac:dyDescent="0.3">
      <c r="I26" s="44">
        <v>0.1</v>
      </c>
    </row>
    <row r="28" spans="2:9" x14ac:dyDescent="0.3">
      <c r="F28" t="s">
        <v>8</v>
      </c>
      <c r="G28" s="48">
        <f>G25*I25/I26</f>
        <v>6105.1000000000049</v>
      </c>
    </row>
    <row r="31" spans="2:9" x14ac:dyDescent="0.3">
      <c r="C31" s="46" t="s">
        <v>63</v>
      </c>
    </row>
    <row r="33" spans="2:8" x14ac:dyDescent="0.3">
      <c r="E33" t="s">
        <v>59</v>
      </c>
      <c r="F33" t="s">
        <v>8</v>
      </c>
      <c r="G33" s="49">
        <f>FV(10%,5,-1000,0,0)</f>
        <v>6105.1000000000058</v>
      </c>
    </row>
    <row r="37" spans="2:8" x14ac:dyDescent="0.3">
      <c r="B37" s="42" t="s">
        <v>4</v>
      </c>
      <c r="C37" t="s">
        <v>49</v>
      </c>
    </row>
    <row r="38" spans="2:8" x14ac:dyDescent="0.3">
      <c r="C38" t="s">
        <v>50</v>
      </c>
    </row>
    <row r="40" spans="2:8" x14ac:dyDescent="0.3">
      <c r="C40" t="s">
        <v>64</v>
      </c>
    </row>
    <row r="43" spans="2:8" x14ac:dyDescent="0.3">
      <c r="C43" s="46" t="s">
        <v>57</v>
      </c>
    </row>
    <row r="45" spans="2:8" x14ac:dyDescent="0.3">
      <c r="F45" s="23">
        <v>1000</v>
      </c>
      <c r="G45" s="44">
        <v>0.1</v>
      </c>
    </row>
    <row r="46" spans="2:8" x14ac:dyDescent="0.3">
      <c r="C46" s="25"/>
      <c r="D46" s="25" t="s">
        <v>56</v>
      </c>
      <c r="E46" s="25" t="s">
        <v>52</v>
      </c>
      <c r="F46" s="25" t="s">
        <v>53</v>
      </c>
      <c r="G46" s="25" t="s">
        <v>54</v>
      </c>
      <c r="H46" s="25" t="s">
        <v>55</v>
      </c>
    </row>
    <row r="47" spans="2:8" x14ac:dyDescent="0.3">
      <c r="C47" s="20"/>
      <c r="D47" s="20">
        <v>1</v>
      </c>
      <c r="E47" s="43">
        <v>0</v>
      </c>
      <c r="F47" s="43">
        <f>F45</f>
        <v>1000</v>
      </c>
      <c r="G47" s="43">
        <f>F47*G45</f>
        <v>100</v>
      </c>
      <c r="H47" s="43">
        <f>E47+F47+G47</f>
        <v>1100</v>
      </c>
    </row>
    <row r="48" spans="2:8" x14ac:dyDescent="0.3">
      <c r="C48" s="20"/>
      <c r="D48" s="20">
        <v>2</v>
      </c>
      <c r="E48" s="43">
        <f>H47</f>
        <v>1100</v>
      </c>
      <c r="F48" s="43">
        <f>$F$45</f>
        <v>1000</v>
      </c>
      <c r="G48" s="43">
        <f>(E48+F48)*$G$45</f>
        <v>210</v>
      </c>
      <c r="H48" s="43">
        <f>E48+F48+G48</f>
        <v>2310</v>
      </c>
    </row>
    <row r="49" spans="3:11" x14ac:dyDescent="0.3">
      <c r="C49" s="20"/>
      <c r="D49" s="20">
        <v>3</v>
      </c>
      <c r="E49" s="43">
        <f t="shared" ref="E49:E51" si="4">H48</f>
        <v>2310</v>
      </c>
      <c r="F49" s="43">
        <f t="shared" ref="F49:F51" si="5">$F$45</f>
        <v>1000</v>
      </c>
      <c r="G49" s="43">
        <f t="shared" ref="G49:G51" si="6">(E49+F49)*$G$45</f>
        <v>331</v>
      </c>
      <c r="H49" s="43">
        <f t="shared" ref="H49:H51" si="7">E49+F49+G49</f>
        <v>3641</v>
      </c>
    </row>
    <row r="50" spans="3:11" x14ac:dyDescent="0.3">
      <c r="C50" s="20"/>
      <c r="D50" s="20">
        <v>4</v>
      </c>
      <c r="E50" s="43">
        <f t="shared" si="4"/>
        <v>3641</v>
      </c>
      <c r="F50" s="43">
        <f t="shared" si="5"/>
        <v>1000</v>
      </c>
      <c r="G50" s="43">
        <f t="shared" si="6"/>
        <v>464.1</v>
      </c>
      <c r="H50" s="43">
        <f t="shared" si="7"/>
        <v>5105.1000000000004</v>
      </c>
    </row>
    <row r="51" spans="3:11" x14ac:dyDescent="0.3">
      <c r="C51" s="20"/>
      <c r="D51" s="20">
        <v>5</v>
      </c>
      <c r="E51" s="43">
        <f t="shared" si="4"/>
        <v>5105.1000000000004</v>
      </c>
      <c r="F51" s="43">
        <f t="shared" si="5"/>
        <v>1000</v>
      </c>
      <c r="G51" s="43">
        <f t="shared" si="6"/>
        <v>610.5100000000001</v>
      </c>
      <c r="H51" s="45">
        <f t="shared" si="7"/>
        <v>6715.6100000000006</v>
      </c>
    </row>
    <row r="54" spans="3:11" x14ac:dyDescent="0.3">
      <c r="C54" s="46" t="s">
        <v>58</v>
      </c>
    </row>
    <row r="56" spans="3:11" x14ac:dyDescent="0.3">
      <c r="E56" t="s">
        <v>59</v>
      </c>
      <c r="F56" t="s">
        <v>8</v>
      </c>
      <c r="G56" t="s">
        <v>60</v>
      </c>
      <c r="H56" t="s">
        <v>29</v>
      </c>
      <c r="I56" s="47" t="s">
        <v>61</v>
      </c>
      <c r="J56" t="s">
        <v>29</v>
      </c>
      <c r="K56" t="s">
        <v>65</v>
      </c>
    </row>
    <row r="57" spans="3:11" x14ac:dyDescent="0.3">
      <c r="I57" t="s">
        <v>62</v>
      </c>
    </row>
    <row r="59" spans="3:11" x14ac:dyDescent="0.3">
      <c r="E59" t="s">
        <v>59</v>
      </c>
      <c r="F59" t="s">
        <v>8</v>
      </c>
      <c r="G59">
        <f>1000</f>
        <v>1000</v>
      </c>
      <c r="H59" t="s">
        <v>29</v>
      </c>
      <c r="I59" s="47">
        <f>(1+10%)^5-1</f>
        <v>0.61051000000000055</v>
      </c>
      <c r="J59" t="s">
        <v>29</v>
      </c>
      <c r="K59" s="50">
        <f>1+10%</f>
        <v>1.1000000000000001</v>
      </c>
    </row>
    <row r="60" spans="3:11" x14ac:dyDescent="0.3">
      <c r="I60" s="44">
        <v>0.1</v>
      </c>
    </row>
    <row r="62" spans="3:11" x14ac:dyDescent="0.3">
      <c r="F62" t="s">
        <v>8</v>
      </c>
      <c r="G62" s="48">
        <f>G59*I59/I60*K59</f>
        <v>6715.610000000006</v>
      </c>
    </row>
    <row r="65" spans="2:9" x14ac:dyDescent="0.3">
      <c r="C65" s="46" t="s">
        <v>63</v>
      </c>
    </row>
    <row r="67" spans="2:9" x14ac:dyDescent="0.3">
      <c r="E67" t="s">
        <v>59</v>
      </c>
      <c r="F67" t="s">
        <v>8</v>
      </c>
      <c r="G67" s="49">
        <f>FV(10%,5,-1000,0,1)</f>
        <v>6715.6100000000069</v>
      </c>
    </row>
    <row r="69" spans="2:9" x14ac:dyDescent="0.3">
      <c r="B69" s="42" t="s">
        <v>4</v>
      </c>
      <c r="C69" t="s">
        <v>66</v>
      </c>
    </row>
    <row r="70" spans="2:9" x14ac:dyDescent="0.3">
      <c r="C70" t="s">
        <v>67</v>
      </c>
    </row>
    <row r="71" spans="2:9" x14ac:dyDescent="0.3">
      <c r="C71" t="s">
        <v>68</v>
      </c>
    </row>
    <row r="74" spans="2:9" x14ac:dyDescent="0.3">
      <c r="C74" s="46" t="s">
        <v>70</v>
      </c>
    </row>
    <row r="76" spans="2:9" x14ac:dyDescent="0.3">
      <c r="G76" s="44">
        <v>7.0000000000000007E-2</v>
      </c>
    </row>
    <row r="77" spans="2:9" s="25" customFormat="1" x14ac:dyDescent="0.3">
      <c r="D77" s="25" t="s">
        <v>56</v>
      </c>
      <c r="E77" s="25" t="s">
        <v>52</v>
      </c>
      <c r="F77" s="25" t="s">
        <v>53</v>
      </c>
      <c r="G77" s="25" t="s">
        <v>54</v>
      </c>
      <c r="H77" s="25" t="s">
        <v>69</v>
      </c>
      <c r="I77" s="25" t="s">
        <v>55</v>
      </c>
    </row>
    <row r="78" spans="2:9" s="20" customFormat="1" x14ac:dyDescent="0.3">
      <c r="B78" s="25"/>
      <c r="D78" s="20">
        <v>1</v>
      </c>
      <c r="E78" s="43">
        <v>0</v>
      </c>
      <c r="F78" s="45">
        <v>82003.948718951855</v>
      </c>
      <c r="G78" s="43">
        <f>F78*G76</f>
        <v>5740.27641032663</v>
      </c>
      <c r="H78" s="43">
        <v>20000</v>
      </c>
      <c r="I78" s="43">
        <f>E78+F78+G78-H78</f>
        <v>67744.225129278479</v>
      </c>
    </row>
    <row r="79" spans="2:9" s="20" customFormat="1" x14ac:dyDescent="0.3">
      <c r="B79" s="25"/>
      <c r="D79" s="20">
        <v>2</v>
      </c>
      <c r="E79" s="43">
        <f>I78</f>
        <v>67744.225129278479</v>
      </c>
      <c r="F79" s="43">
        <v>0</v>
      </c>
      <c r="G79" s="43">
        <f>E79*$G$76</f>
        <v>4742.0957590494936</v>
      </c>
      <c r="H79" s="43">
        <v>20000</v>
      </c>
      <c r="I79" s="43">
        <f>E79+F79+G79-H79</f>
        <v>52486.320888327973</v>
      </c>
    </row>
    <row r="80" spans="2:9" s="20" customFormat="1" x14ac:dyDescent="0.3">
      <c r="B80" s="25"/>
      <c r="D80" s="20">
        <v>3</v>
      </c>
      <c r="E80" s="43">
        <f t="shared" ref="E80:E82" si="8">I79</f>
        <v>52486.320888327973</v>
      </c>
      <c r="F80" s="43">
        <v>0</v>
      </c>
      <c r="G80" s="43">
        <f t="shared" ref="G80:G82" si="9">E80*$G$76</f>
        <v>3674.0424621829584</v>
      </c>
      <c r="H80" s="43">
        <v>20000</v>
      </c>
      <c r="I80" s="43">
        <f t="shared" ref="I80:I82" si="10">E80+F80+G80-H80</f>
        <v>36160.363350510932</v>
      </c>
    </row>
    <row r="81" spans="2:9" s="20" customFormat="1" x14ac:dyDescent="0.3">
      <c r="B81" s="25"/>
      <c r="D81" s="20">
        <v>4</v>
      </c>
      <c r="E81" s="43">
        <f t="shared" si="8"/>
        <v>36160.363350510932</v>
      </c>
      <c r="F81" s="43">
        <v>0</v>
      </c>
      <c r="G81" s="43">
        <f t="shared" si="9"/>
        <v>2531.2254345357655</v>
      </c>
      <c r="H81" s="43">
        <v>20000</v>
      </c>
      <c r="I81" s="43">
        <f t="shared" si="10"/>
        <v>18691.588785046697</v>
      </c>
    </row>
    <row r="82" spans="2:9" s="20" customFormat="1" x14ac:dyDescent="0.3">
      <c r="B82" s="25"/>
      <c r="D82" s="20">
        <v>5</v>
      </c>
      <c r="E82" s="43">
        <f t="shared" si="8"/>
        <v>18691.588785046697</v>
      </c>
      <c r="F82" s="43">
        <v>0</v>
      </c>
      <c r="G82" s="43">
        <f t="shared" si="9"/>
        <v>1308.4112149532689</v>
      </c>
      <c r="H82" s="43">
        <v>20000</v>
      </c>
      <c r="I82" s="43">
        <f t="shared" si="10"/>
        <v>-3.2741809263825417E-11</v>
      </c>
    </row>
    <row r="83" spans="2:9" s="20" customFormat="1" x14ac:dyDescent="0.3">
      <c r="B83" s="25"/>
    </row>
    <row r="84" spans="2:9" s="20" customFormat="1" x14ac:dyDescent="0.3">
      <c r="B84" s="25"/>
    </row>
    <row r="85" spans="2:9" s="20" customFormat="1" x14ac:dyDescent="0.3">
      <c r="B85" s="25"/>
      <c r="C85" s="51" t="s">
        <v>71</v>
      </c>
    </row>
    <row r="86" spans="2:9" s="20" customFormat="1" x14ac:dyDescent="0.3">
      <c r="B86" s="25"/>
    </row>
    <row r="87" spans="2:9" s="20" customFormat="1" x14ac:dyDescent="0.3">
      <c r="B87" s="25"/>
      <c r="E87" s="20" t="s">
        <v>72</v>
      </c>
      <c r="F87" s="20" t="s">
        <v>8</v>
      </c>
      <c r="G87" s="20" t="s">
        <v>60</v>
      </c>
      <c r="H87" s="20" t="s">
        <v>73</v>
      </c>
      <c r="I87" s="52" t="s">
        <v>74</v>
      </c>
    </row>
    <row r="88" spans="2:9" s="20" customFormat="1" x14ac:dyDescent="0.3">
      <c r="B88" s="25"/>
      <c r="I88" s="20" t="s">
        <v>62</v>
      </c>
    </row>
    <row r="89" spans="2:9" s="20" customFormat="1" x14ac:dyDescent="0.3">
      <c r="B89" s="25"/>
    </row>
    <row r="90" spans="2:9" s="20" customFormat="1" x14ac:dyDescent="0.3">
      <c r="B90" s="25"/>
      <c r="E90" s="20" t="s">
        <v>72</v>
      </c>
      <c r="F90" s="20" t="s">
        <v>8</v>
      </c>
      <c r="G90" s="45">
        <f>20000*(1-(1/(1+7%)^5))/7%</f>
        <v>82003.948718951884</v>
      </c>
    </row>
    <row r="91" spans="2:9" s="20" customFormat="1" x14ac:dyDescent="0.3">
      <c r="B91" s="25"/>
    </row>
    <row r="92" spans="2:9" s="20" customFormat="1" x14ac:dyDescent="0.3">
      <c r="B92" s="25"/>
    </row>
    <row r="93" spans="2:9" s="20" customFormat="1" x14ac:dyDescent="0.3">
      <c r="B93" s="25"/>
      <c r="C93" s="51" t="s">
        <v>75</v>
      </c>
    </row>
    <row r="94" spans="2:9" s="20" customFormat="1" x14ac:dyDescent="0.3">
      <c r="B94" s="25"/>
    </row>
    <row r="95" spans="2:9" s="20" customFormat="1" x14ac:dyDescent="0.3">
      <c r="B95" s="25"/>
    </row>
    <row r="96" spans="2:9" s="20" customFormat="1" x14ac:dyDescent="0.3">
      <c r="B96" s="25"/>
      <c r="E96" s="20" t="s">
        <v>72</v>
      </c>
      <c r="F96" s="20" t="s">
        <v>8</v>
      </c>
      <c r="G96" s="53">
        <f>PV(7%,5,-20000,0,0)</f>
        <v>82003.948718951899</v>
      </c>
    </row>
    <row r="97" spans="2:2" s="20" customFormat="1" x14ac:dyDescent="0.3">
      <c r="B97" s="25"/>
    </row>
    <row r="98" spans="2:2" s="20" customFormat="1" x14ac:dyDescent="0.3">
      <c r="B98" s="25"/>
    </row>
    <row r="99" spans="2:2" s="20" customFormat="1" x14ac:dyDescent="0.3">
      <c r="B99" s="25"/>
    </row>
    <row r="100" spans="2:2" s="20" customFormat="1" x14ac:dyDescent="0.3">
      <c r="B100" s="25"/>
    </row>
    <row r="101" spans="2:2" s="20" customFormat="1" x14ac:dyDescent="0.3">
      <c r="B101" s="25"/>
    </row>
    <row r="102" spans="2:2" s="20" customFormat="1" x14ac:dyDescent="0.3">
      <c r="B102" s="25"/>
    </row>
    <row r="103" spans="2:2" s="20" customFormat="1" x14ac:dyDescent="0.3">
      <c r="B103" s="25"/>
    </row>
    <row r="104" spans="2:2" s="20" customFormat="1" x14ac:dyDescent="0.3">
      <c r="B104" s="25"/>
    </row>
    <row r="105" spans="2:2" s="20" customFormat="1" x14ac:dyDescent="0.3">
      <c r="B105" s="25"/>
    </row>
    <row r="106" spans="2:2" s="20" customFormat="1" x14ac:dyDescent="0.3">
      <c r="B106" s="25"/>
    </row>
    <row r="107" spans="2:2" s="20" customFormat="1" x14ac:dyDescent="0.3">
      <c r="B107" s="25"/>
    </row>
    <row r="108" spans="2:2" s="20" customFormat="1" x14ac:dyDescent="0.3">
      <c r="B108" s="25"/>
    </row>
    <row r="109" spans="2:2" s="20" customFormat="1" x14ac:dyDescent="0.3">
      <c r="B109" s="25"/>
    </row>
    <row r="110" spans="2:2" s="20" customFormat="1" x14ac:dyDescent="0.3">
      <c r="B110" s="25"/>
    </row>
    <row r="111" spans="2:2" s="20" customFormat="1" x14ac:dyDescent="0.3">
      <c r="B111" s="25"/>
    </row>
    <row r="112" spans="2:2" s="20" customFormat="1" x14ac:dyDescent="0.3">
      <c r="B112" s="25"/>
    </row>
    <row r="113" spans="2:2" s="20" customFormat="1" x14ac:dyDescent="0.3">
      <c r="B113" s="25"/>
    </row>
    <row r="114" spans="2:2" s="20" customFormat="1" x14ac:dyDescent="0.3">
      <c r="B114" s="25"/>
    </row>
    <row r="115" spans="2:2" s="20" customFormat="1" x14ac:dyDescent="0.3">
      <c r="B115" s="25"/>
    </row>
    <row r="116" spans="2:2" s="20" customFormat="1" x14ac:dyDescent="0.3">
      <c r="B116" s="25"/>
    </row>
    <row r="117" spans="2:2" s="20" customFormat="1" x14ac:dyDescent="0.3">
      <c r="B117" s="25"/>
    </row>
    <row r="118" spans="2:2" s="20" customFormat="1" x14ac:dyDescent="0.3">
      <c r="B118" s="25"/>
    </row>
    <row r="119" spans="2:2" s="20" customFormat="1" x14ac:dyDescent="0.3">
      <c r="B119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8E95-8C4F-46F2-B22B-8603DCFACD26}">
  <sheetPr>
    <tabColor theme="5" tint="0.59999389629810485"/>
  </sheetPr>
  <dimension ref="B2:P41"/>
  <sheetViews>
    <sheetView zoomScale="137" zoomScaleNormal="137" workbookViewId="0">
      <selection activeCell="J14" sqref="J14"/>
    </sheetView>
  </sheetViews>
  <sheetFormatPr defaultRowHeight="14.4" x14ac:dyDescent="0.3"/>
  <cols>
    <col min="5" max="5" width="10.21875" bestFit="1" customWidth="1"/>
    <col min="6" max="7" width="9.21875" bestFit="1" customWidth="1"/>
    <col min="8" max="8" width="10.33203125" bestFit="1" customWidth="1"/>
    <col min="9" max="9" width="10.21875" bestFit="1" customWidth="1"/>
    <col min="12" max="12" width="10.21875" bestFit="1" customWidth="1"/>
  </cols>
  <sheetData>
    <row r="2" spans="2:16" ht="15" thickBot="1" x14ac:dyDescent="0.35"/>
    <row r="3" spans="2:16" x14ac:dyDescent="0.3">
      <c r="C3" s="32"/>
      <c r="D3" s="33"/>
      <c r="E3" s="33"/>
      <c r="F3" s="34"/>
      <c r="G3" s="33"/>
      <c r="H3" s="33"/>
      <c r="I3" s="33"/>
      <c r="J3" s="33"/>
      <c r="K3" s="33"/>
      <c r="L3" s="33"/>
      <c r="M3" s="33"/>
      <c r="N3" s="35"/>
    </row>
    <row r="4" spans="2:16" x14ac:dyDescent="0.3">
      <c r="C4" s="36"/>
      <c r="D4" t="s">
        <v>76</v>
      </c>
      <c r="N4" s="37"/>
    </row>
    <row r="5" spans="2:16" x14ac:dyDescent="0.3">
      <c r="C5" s="36"/>
      <c r="D5" t="s">
        <v>40</v>
      </c>
      <c r="N5" s="37"/>
    </row>
    <row r="6" spans="2:16" ht="15" thickBot="1" x14ac:dyDescent="0.35"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40"/>
    </row>
    <row r="8" spans="2:16" ht="15" thickBot="1" x14ac:dyDescent="0.35"/>
    <row r="9" spans="2:16" ht="15" thickBot="1" x14ac:dyDescent="0.35">
      <c r="C9" s="437" t="s">
        <v>77</v>
      </c>
      <c r="D9" s="438"/>
      <c r="E9" s="438"/>
      <c r="F9" s="438"/>
      <c r="G9" s="438"/>
      <c r="H9" s="439"/>
      <c r="I9" s="440" t="s">
        <v>80</v>
      </c>
      <c r="J9" s="441"/>
      <c r="K9" s="442"/>
      <c r="L9" s="437" t="s">
        <v>78</v>
      </c>
      <c r="M9" s="438"/>
      <c r="N9" s="438"/>
      <c r="O9" s="438"/>
      <c r="P9" s="439"/>
    </row>
    <row r="11" spans="2:16" ht="15" thickBot="1" x14ac:dyDescent="0.35"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</row>
    <row r="13" spans="2:16" x14ac:dyDescent="0.3">
      <c r="B13">
        <v>14</v>
      </c>
      <c r="C13">
        <v>15</v>
      </c>
      <c r="D13">
        <v>16</v>
      </c>
      <c r="E13">
        <v>17</v>
      </c>
      <c r="F13">
        <v>18</v>
      </c>
      <c r="G13">
        <v>19</v>
      </c>
      <c r="H13">
        <v>20</v>
      </c>
      <c r="I13">
        <v>21</v>
      </c>
      <c r="J13">
        <v>22</v>
      </c>
      <c r="K13">
        <v>23</v>
      </c>
      <c r="L13">
        <v>24</v>
      </c>
      <c r="M13">
        <v>25</v>
      </c>
      <c r="N13">
        <v>26</v>
      </c>
      <c r="O13">
        <v>27</v>
      </c>
      <c r="P13">
        <v>28</v>
      </c>
    </row>
    <row r="16" spans="2:16" ht="15.6" x14ac:dyDescent="0.35">
      <c r="H16" s="56" t="s">
        <v>81</v>
      </c>
      <c r="K16" s="56" t="s">
        <v>79</v>
      </c>
    </row>
    <row r="18" spans="3:11" x14ac:dyDescent="0.3">
      <c r="H18" s="55">
        <f>K18/(1+12%)^3</f>
        <v>51316.1699723403</v>
      </c>
      <c r="K18" s="54">
        <f>20000*(1-(1/(1+12%)^5))/12%</f>
        <v>72095.524046900129</v>
      </c>
    </row>
    <row r="19" spans="3:11" ht="15" thickBot="1" x14ac:dyDescent="0.35"/>
    <row r="20" spans="3:11" x14ac:dyDescent="0.3">
      <c r="C20" s="32" t="s">
        <v>82</v>
      </c>
      <c r="D20" s="58">
        <f>H18</f>
        <v>51316.1699723403</v>
      </c>
      <c r="E20" s="33" t="s">
        <v>8</v>
      </c>
      <c r="F20" s="33" t="s">
        <v>60</v>
      </c>
      <c r="G20" s="33" t="s">
        <v>29</v>
      </c>
      <c r="H20" s="59">
        <f>(1+12%)^6-1</f>
        <v>0.97382268518400084</v>
      </c>
    </row>
    <row r="21" spans="3:11" ht="15" thickBot="1" x14ac:dyDescent="0.35">
      <c r="C21" s="60"/>
      <c r="D21" s="39"/>
      <c r="E21" s="39"/>
      <c r="F21" s="39"/>
      <c r="G21" s="39"/>
      <c r="H21" s="61">
        <v>0.12</v>
      </c>
    </row>
    <row r="23" spans="3:11" x14ac:dyDescent="0.3">
      <c r="D23" t="s">
        <v>83</v>
      </c>
      <c r="E23" t="s">
        <v>60</v>
      </c>
      <c r="F23" t="s">
        <v>8</v>
      </c>
      <c r="G23" s="57">
        <f>D20*H21/H20</f>
        <v>6323.4719116420174</v>
      </c>
    </row>
    <row r="26" spans="3:11" x14ac:dyDescent="0.3">
      <c r="G26" s="44">
        <v>0.12</v>
      </c>
    </row>
    <row r="27" spans="3:11" x14ac:dyDescent="0.3">
      <c r="D27" s="25" t="s">
        <v>84</v>
      </c>
      <c r="E27" s="62" t="s">
        <v>52</v>
      </c>
      <c r="F27" s="62" t="s">
        <v>85</v>
      </c>
      <c r="G27" s="62" t="s">
        <v>86</v>
      </c>
      <c r="H27" s="62" t="s">
        <v>87</v>
      </c>
      <c r="I27" s="62" t="s">
        <v>55</v>
      </c>
    </row>
    <row r="28" spans="3:11" x14ac:dyDescent="0.3">
      <c r="D28" s="20">
        <v>2015</v>
      </c>
      <c r="E28" s="23">
        <v>0</v>
      </c>
      <c r="F28" s="57">
        <v>6323.471911642021</v>
      </c>
      <c r="G28" s="23">
        <v>0</v>
      </c>
      <c r="H28" s="23">
        <v>0</v>
      </c>
      <c r="I28" s="23">
        <f>E28+F28+G28-H28</f>
        <v>6323.471911642021</v>
      </c>
    </row>
    <row r="29" spans="3:11" x14ac:dyDescent="0.3">
      <c r="D29" s="20">
        <v>2016</v>
      </c>
      <c r="E29" s="23">
        <f>I28</f>
        <v>6323.471911642021</v>
      </c>
      <c r="F29" s="23">
        <f>F28</f>
        <v>6323.471911642021</v>
      </c>
      <c r="G29" s="23">
        <f>E29*$G$26</f>
        <v>758.81662939704245</v>
      </c>
      <c r="H29" s="23">
        <v>0</v>
      </c>
      <c r="I29" s="23">
        <f>E29+F29+G29-H29</f>
        <v>13405.760452681085</v>
      </c>
    </row>
    <row r="30" spans="3:11" x14ac:dyDescent="0.3">
      <c r="D30" s="20">
        <v>2017</v>
      </c>
      <c r="E30" s="23">
        <f t="shared" ref="E30:E33" si="0">I29</f>
        <v>13405.760452681085</v>
      </c>
      <c r="F30" s="23">
        <f t="shared" ref="F30:F33" si="1">F29</f>
        <v>6323.471911642021</v>
      </c>
      <c r="G30" s="23">
        <f t="shared" ref="G30:G34" si="2">E30*$G$26</f>
        <v>1608.6912543217302</v>
      </c>
      <c r="H30" s="23">
        <v>0</v>
      </c>
      <c r="I30" s="23">
        <f t="shared" ref="I30:I34" si="3">E30+F30+G30-H30</f>
        <v>21337.923618644836</v>
      </c>
    </row>
    <row r="31" spans="3:11" x14ac:dyDescent="0.3">
      <c r="D31" s="20">
        <v>2018</v>
      </c>
      <c r="E31" s="23">
        <f t="shared" si="0"/>
        <v>21337.923618644836</v>
      </c>
      <c r="F31" s="23">
        <f t="shared" si="1"/>
        <v>6323.471911642021</v>
      </c>
      <c r="G31" s="23">
        <f t="shared" si="2"/>
        <v>2560.5508342373801</v>
      </c>
      <c r="H31" s="23">
        <v>0</v>
      </c>
      <c r="I31" s="23">
        <f t="shared" si="3"/>
        <v>30221.946364524236</v>
      </c>
    </row>
    <row r="32" spans="3:11" x14ac:dyDescent="0.3">
      <c r="D32" s="20">
        <v>2019</v>
      </c>
      <c r="E32" s="23">
        <f t="shared" si="0"/>
        <v>30221.946364524236</v>
      </c>
      <c r="F32" s="23">
        <f t="shared" si="1"/>
        <v>6323.471911642021</v>
      </c>
      <c r="G32" s="23">
        <f t="shared" si="2"/>
        <v>3626.6335637429083</v>
      </c>
      <c r="H32" s="23">
        <v>0</v>
      </c>
      <c r="I32" s="23">
        <f t="shared" si="3"/>
        <v>40172.051839909167</v>
      </c>
    </row>
    <row r="33" spans="4:9" x14ac:dyDescent="0.3">
      <c r="D33" s="20">
        <v>2020</v>
      </c>
      <c r="E33" s="23">
        <f t="shared" si="0"/>
        <v>40172.051839909167</v>
      </c>
      <c r="F33" s="23">
        <f t="shared" si="1"/>
        <v>6323.471911642021</v>
      </c>
      <c r="G33" s="23">
        <f t="shared" si="2"/>
        <v>4820.6462207891</v>
      </c>
      <c r="H33" s="23">
        <v>0</v>
      </c>
      <c r="I33" s="55">
        <f t="shared" si="3"/>
        <v>51316.169972340293</v>
      </c>
    </row>
    <row r="34" spans="4:9" x14ac:dyDescent="0.3">
      <c r="D34" s="20">
        <v>2021</v>
      </c>
      <c r="E34" s="24">
        <f>I33</f>
        <v>51316.169972340293</v>
      </c>
      <c r="F34">
        <v>0</v>
      </c>
      <c r="G34" s="23">
        <f t="shared" si="2"/>
        <v>6157.940396680835</v>
      </c>
      <c r="H34" s="23">
        <v>0</v>
      </c>
      <c r="I34" s="23">
        <f t="shared" si="3"/>
        <v>57474.110369021131</v>
      </c>
    </row>
    <row r="35" spans="4:9" x14ac:dyDescent="0.3">
      <c r="D35" s="20">
        <v>2022</v>
      </c>
      <c r="E35" s="24">
        <f t="shared" ref="E35:E36" si="4">I34</f>
        <v>57474.110369021131</v>
      </c>
      <c r="F35">
        <v>0</v>
      </c>
      <c r="G35" s="23">
        <f t="shared" ref="G35:G41" si="5">E35*$G$26</f>
        <v>6896.8932442825353</v>
      </c>
      <c r="H35" s="23">
        <v>0</v>
      </c>
      <c r="I35" s="23">
        <f t="shared" ref="I35:I41" si="6">E35+F35+G35-H35</f>
        <v>64371.003613303663</v>
      </c>
    </row>
    <row r="36" spans="4:9" x14ac:dyDescent="0.3">
      <c r="D36" s="20">
        <v>2023</v>
      </c>
      <c r="E36" s="24">
        <f t="shared" si="4"/>
        <v>64371.003613303663</v>
      </c>
      <c r="F36">
        <v>0</v>
      </c>
      <c r="G36" s="23">
        <f t="shared" si="5"/>
        <v>7724.520433596439</v>
      </c>
      <c r="H36" s="23">
        <v>0</v>
      </c>
      <c r="I36" s="54">
        <f t="shared" si="6"/>
        <v>72095.5240469001</v>
      </c>
    </row>
    <row r="37" spans="4:9" x14ac:dyDescent="0.3">
      <c r="D37" s="20">
        <v>2024</v>
      </c>
      <c r="E37" s="24">
        <f>I36</f>
        <v>72095.5240469001</v>
      </c>
      <c r="F37">
        <v>0</v>
      </c>
      <c r="G37" s="23">
        <f t="shared" si="5"/>
        <v>8651.4628856280124</v>
      </c>
      <c r="H37" s="23">
        <v>20000</v>
      </c>
      <c r="I37" s="23">
        <f t="shared" si="6"/>
        <v>60746.986932528118</v>
      </c>
    </row>
    <row r="38" spans="4:9" x14ac:dyDescent="0.3">
      <c r="D38" s="20">
        <v>2025</v>
      </c>
      <c r="E38" s="24">
        <f>I37</f>
        <v>60746.986932528118</v>
      </c>
      <c r="F38">
        <v>0</v>
      </c>
      <c r="G38" s="23">
        <f t="shared" si="5"/>
        <v>7289.6384319033741</v>
      </c>
      <c r="H38" s="23">
        <v>20000</v>
      </c>
      <c r="I38" s="23">
        <f t="shared" si="6"/>
        <v>48036.625364431486</v>
      </c>
    </row>
    <row r="39" spans="4:9" x14ac:dyDescent="0.3">
      <c r="D39" s="20">
        <v>2026</v>
      </c>
      <c r="E39" s="24">
        <f>I38</f>
        <v>48036.625364431486</v>
      </c>
      <c r="F39">
        <v>0</v>
      </c>
      <c r="G39" s="23">
        <f t="shared" si="5"/>
        <v>5764.3950437317781</v>
      </c>
      <c r="H39" s="23">
        <v>20000</v>
      </c>
      <c r="I39" s="23">
        <f t="shared" si="6"/>
        <v>33801.020408163262</v>
      </c>
    </row>
    <row r="40" spans="4:9" x14ac:dyDescent="0.3">
      <c r="D40" s="20">
        <v>2027</v>
      </c>
      <c r="E40" s="24">
        <f>I39</f>
        <v>33801.020408163262</v>
      </c>
      <c r="F40">
        <v>0</v>
      </c>
      <c r="G40" s="23">
        <f t="shared" si="5"/>
        <v>4056.1224489795914</v>
      </c>
      <c r="H40" s="23">
        <v>20000</v>
      </c>
      <c r="I40" s="23">
        <f t="shared" si="6"/>
        <v>17857.142857142855</v>
      </c>
    </row>
    <row r="41" spans="4:9" x14ac:dyDescent="0.3">
      <c r="D41" s="20">
        <v>2028</v>
      </c>
      <c r="E41" s="24">
        <f>I40</f>
        <v>17857.142857142855</v>
      </c>
      <c r="F41">
        <v>0</v>
      </c>
      <c r="G41" s="23">
        <f t="shared" si="5"/>
        <v>2142.8571428571427</v>
      </c>
      <c r="H41" s="23">
        <v>20000</v>
      </c>
      <c r="I41" s="63">
        <f t="shared" si="6"/>
        <v>0</v>
      </c>
    </row>
  </sheetData>
  <mergeCells count="3">
    <mergeCell ref="C9:H9"/>
    <mergeCell ref="L9:P9"/>
    <mergeCell ref="I9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A3FF-3B5A-46C7-92FE-B2123BDA12A6}">
  <sheetPr>
    <tabColor theme="5" tint="0.59999389629810485"/>
  </sheetPr>
  <dimension ref="B3:Q24"/>
  <sheetViews>
    <sheetView topLeftCell="A14" zoomScale="89" zoomScaleNormal="137" workbookViewId="0">
      <selection activeCell="I39" sqref="I39"/>
    </sheetView>
  </sheetViews>
  <sheetFormatPr defaultRowHeight="14.4" x14ac:dyDescent="0.3"/>
  <sheetData>
    <row r="3" spans="2:15" x14ac:dyDescent="0.3">
      <c r="B3" t="s">
        <v>88</v>
      </c>
    </row>
    <row r="5" spans="2:15" x14ac:dyDescent="0.3">
      <c r="B5" t="s">
        <v>90</v>
      </c>
    </row>
    <row r="7" spans="2:15" x14ac:dyDescent="0.3">
      <c r="B7" t="s">
        <v>89</v>
      </c>
    </row>
    <row r="9" spans="2:15" ht="15" thickBot="1" x14ac:dyDescent="0.35"/>
    <row r="10" spans="2:15" ht="15" thickBot="1" x14ac:dyDescent="0.35">
      <c r="D10" s="437" t="s">
        <v>91</v>
      </c>
      <c r="E10" s="438"/>
      <c r="F10" s="439"/>
      <c r="H10" s="437" t="s">
        <v>92</v>
      </c>
      <c r="I10" s="438"/>
      <c r="J10" s="439"/>
    </row>
    <row r="11" spans="2:15" ht="15" thickBot="1" x14ac:dyDescent="0.35">
      <c r="D11" s="39"/>
      <c r="E11" s="39"/>
      <c r="F11" s="39"/>
      <c r="G11" s="39"/>
      <c r="H11" s="39"/>
      <c r="I11" s="39"/>
      <c r="J11" s="39"/>
    </row>
    <row r="13" spans="2:15" x14ac:dyDescent="0.3">
      <c r="D13">
        <v>23</v>
      </c>
      <c r="E13">
        <v>24</v>
      </c>
      <c r="F13">
        <v>25</v>
      </c>
      <c r="G13">
        <v>26</v>
      </c>
      <c r="H13">
        <v>27</v>
      </c>
      <c r="I13">
        <v>28</v>
      </c>
      <c r="J13">
        <v>29</v>
      </c>
    </row>
    <row r="15" spans="2:15" ht="15.6" x14ac:dyDescent="0.35">
      <c r="F15" t="s">
        <v>94</v>
      </c>
      <c r="G15" t="s">
        <v>93</v>
      </c>
    </row>
    <row r="16" spans="2:15" x14ac:dyDescent="0.3">
      <c r="O16" s="44">
        <v>7.0000000000000007E-2</v>
      </c>
    </row>
    <row r="17" spans="4:17" x14ac:dyDescent="0.3">
      <c r="F17" s="65">
        <f>G17/(1+7%)^1</f>
        <v>245.26318172115901</v>
      </c>
      <c r="G17" s="64">
        <f>100*(1-(1/(1+7%)^3))/7%</f>
        <v>262.43160444164016</v>
      </c>
      <c r="L17" s="25" t="s">
        <v>84</v>
      </c>
      <c r="M17" s="25" t="s">
        <v>52</v>
      </c>
      <c r="N17" s="25" t="s">
        <v>97</v>
      </c>
      <c r="O17" s="25" t="s">
        <v>86</v>
      </c>
      <c r="P17" s="25" t="s">
        <v>98</v>
      </c>
      <c r="Q17" s="25" t="s">
        <v>55</v>
      </c>
    </row>
    <row r="18" spans="4:17" x14ac:dyDescent="0.3">
      <c r="L18" s="20">
        <v>23</v>
      </c>
      <c r="M18" s="67">
        <v>0</v>
      </c>
      <c r="N18" s="68">
        <v>76.289521204752475</v>
      </c>
      <c r="O18" s="67">
        <v>0</v>
      </c>
      <c r="P18" s="67">
        <v>0</v>
      </c>
      <c r="Q18" s="67">
        <f>M18+N18+O18-P18</f>
        <v>76.289521204752475</v>
      </c>
    </row>
    <row r="19" spans="4:17" x14ac:dyDescent="0.3">
      <c r="D19">
        <f>F17</f>
        <v>245.26318172115901</v>
      </c>
      <c r="E19" t="s">
        <v>8</v>
      </c>
      <c r="F19" t="s">
        <v>95</v>
      </c>
      <c r="G19" t="s">
        <v>73</v>
      </c>
      <c r="H19" s="47">
        <f>(1+7%)^3-1</f>
        <v>0.2250430000000001</v>
      </c>
      <c r="L19" s="20">
        <v>24</v>
      </c>
      <c r="M19" s="67">
        <f t="shared" ref="M19:M24" si="0">Q18</f>
        <v>76.289521204752475</v>
      </c>
      <c r="N19" s="67">
        <f>N18</f>
        <v>76.289521204752475</v>
      </c>
      <c r="O19" s="67">
        <f>M19*O16</f>
        <v>5.3402664843326741</v>
      </c>
      <c r="P19" s="67">
        <v>0</v>
      </c>
      <c r="Q19" s="67">
        <f t="shared" ref="Q19:Q24" si="1">M19+N19+O19-P19</f>
        <v>157.91930889383764</v>
      </c>
    </row>
    <row r="20" spans="4:17" x14ac:dyDescent="0.3">
      <c r="H20" s="44">
        <v>7.0000000000000007E-2</v>
      </c>
      <c r="L20" s="20">
        <v>25</v>
      </c>
      <c r="M20" s="67">
        <f t="shared" si="0"/>
        <v>157.91930889383764</v>
      </c>
      <c r="N20" s="67">
        <f>N19</f>
        <v>76.289521204752475</v>
      </c>
      <c r="O20" s="67">
        <f>M20*O16</f>
        <v>11.054351622568635</v>
      </c>
      <c r="P20" s="67">
        <v>0</v>
      </c>
      <c r="Q20" s="67">
        <f t="shared" si="1"/>
        <v>245.26318172115876</v>
      </c>
    </row>
    <row r="21" spans="4:17" x14ac:dyDescent="0.3">
      <c r="L21" s="20">
        <v>26</v>
      </c>
      <c r="M21" s="67">
        <f t="shared" si="0"/>
        <v>245.26318172115876</v>
      </c>
      <c r="N21" s="67">
        <v>0</v>
      </c>
      <c r="O21" s="67">
        <f>M21*O16</f>
        <v>17.168422720481114</v>
      </c>
      <c r="P21" s="67">
        <v>0</v>
      </c>
      <c r="Q21" s="67">
        <f t="shared" si="1"/>
        <v>262.43160444163988</v>
      </c>
    </row>
    <row r="22" spans="4:17" x14ac:dyDescent="0.3">
      <c r="L22" s="20">
        <v>27</v>
      </c>
      <c r="M22" s="67">
        <f t="shared" si="0"/>
        <v>262.43160444163988</v>
      </c>
      <c r="N22" s="67">
        <v>0</v>
      </c>
      <c r="O22" s="67">
        <f>M22*O16</f>
        <v>18.370212310914795</v>
      </c>
      <c r="P22" s="67">
        <v>100</v>
      </c>
      <c r="Q22" s="67">
        <f t="shared" si="1"/>
        <v>180.80181675255466</v>
      </c>
    </row>
    <row r="23" spans="4:17" x14ac:dyDescent="0.3">
      <c r="E23" s="66" t="s">
        <v>82</v>
      </c>
      <c r="F23" s="66" t="s">
        <v>96</v>
      </c>
      <c r="G23" s="68">
        <f>D19*H20/H19</f>
        <v>76.289521204752532</v>
      </c>
      <c r="L23" s="20">
        <v>28</v>
      </c>
      <c r="M23" s="67">
        <f t="shared" si="0"/>
        <v>180.80181675255466</v>
      </c>
      <c r="N23" s="67">
        <v>0</v>
      </c>
      <c r="O23" s="67">
        <f>M23*O16</f>
        <v>12.656127172678827</v>
      </c>
      <c r="P23" s="67">
        <v>100</v>
      </c>
      <c r="Q23" s="67">
        <f t="shared" si="1"/>
        <v>93.457943925233479</v>
      </c>
    </row>
    <row r="24" spans="4:17" x14ac:dyDescent="0.3">
      <c r="L24" s="20">
        <v>29</v>
      </c>
      <c r="M24" s="67">
        <f t="shared" si="0"/>
        <v>93.457943925233479</v>
      </c>
      <c r="N24" s="67">
        <v>0</v>
      </c>
      <c r="O24" s="67">
        <f>M24*O16</f>
        <v>6.5420560747663439</v>
      </c>
      <c r="P24" s="67">
        <v>100</v>
      </c>
      <c r="Q24" s="67">
        <f t="shared" si="1"/>
        <v>-1.7053025658242404E-13</v>
      </c>
    </row>
  </sheetData>
  <mergeCells count="2">
    <mergeCell ref="D10:F10"/>
    <mergeCell ref="H10:J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419D-422B-410A-B4A1-E2BA6D6C65A5}">
  <sheetPr>
    <tabColor theme="5" tint="0.59999389629810485"/>
  </sheetPr>
  <dimension ref="B3:O321"/>
  <sheetViews>
    <sheetView zoomScale="54" zoomScaleNormal="137" workbookViewId="0"/>
  </sheetViews>
  <sheetFormatPr defaultRowHeight="14.4" x14ac:dyDescent="0.3"/>
  <cols>
    <col min="4" max="4" width="10.88671875" customWidth="1"/>
    <col min="6" max="6" width="14.44140625" bestFit="1" customWidth="1"/>
    <col min="7" max="7" width="13" bestFit="1" customWidth="1"/>
    <col min="8" max="8" width="11.77734375" bestFit="1" customWidth="1"/>
    <col min="9" max="9" width="14.44140625" bestFit="1" customWidth="1"/>
    <col min="11" max="11" width="10.21875" bestFit="1" customWidth="1"/>
    <col min="12" max="12" width="15.109375" bestFit="1" customWidth="1"/>
    <col min="13" max="13" width="11.88671875" bestFit="1" customWidth="1"/>
    <col min="14" max="14" width="11.77734375" bestFit="1" customWidth="1"/>
    <col min="15" max="15" width="15.109375" bestFit="1" customWidth="1"/>
  </cols>
  <sheetData>
    <row r="3" spans="2:11" x14ac:dyDescent="0.3">
      <c r="B3" t="s">
        <v>99</v>
      </c>
    </row>
    <row r="5" spans="2:11" x14ac:dyDescent="0.3">
      <c r="B5" t="s">
        <v>100</v>
      </c>
    </row>
    <row r="7" spans="2:11" x14ac:dyDescent="0.3">
      <c r="B7" s="46" t="s">
        <v>101</v>
      </c>
    </row>
    <row r="9" spans="2:11" x14ac:dyDescent="0.3">
      <c r="C9" t="s">
        <v>102</v>
      </c>
    </row>
    <row r="10" spans="2:11" x14ac:dyDescent="0.3">
      <c r="C10" t="s">
        <v>103</v>
      </c>
    </row>
    <row r="11" spans="2:11" x14ac:dyDescent="0.3">
      <c r="C11" t="s">
        <v>104</v>
      </c>
    </row>
    <row r="13" spans="2:11" x14ac:dyDescent="0.3">
      <c r="J13" t="s">
        <v>108</v>
      </c>
      <c r="K13" s="70">
        <f>8%/12</f>
        <v>6.6666666666666671E-3</v>
      </c>
    </row>
    <row r="15" spans="2:11" x14ac:dyDescent="0.3">
      <c r="D15" t="s">
        <v>105</v>
      </c>
      <c r="F15" t="s">
        <v>106</v>
      </c>
      <c r="G15" s="69">
        <f>PMT(8%/12,25*12,50000000,0,0)</f>
        <v>-385908.10968650156</v>
      </c>
    </row>
    <row r="17" spans="4:9" x14ac:dyDescent="0.3">
      <c r="D17" t="s">
        <v>107</v>
      </c>
      <c r="F17" t="s">
        <v>106</v>
      </c>
      <c r="G17" s="71">
        <f>50000000/((1-(1/(1+K13)^300))/K13)</f>
        <v>385908.10968650255</v>
      </c>
    </row>
    <row r="21" spans="4:9" x14ac:dyDescent="0.3">
      <c r="E21" s="42" t="s">
        <v>110</v>
      </c>
      <c r="F21" s="42" t="s">
        <v>109</v>
      </c>
      <c r="G21" s="42" t="s">
        <v>86</v>
      </c>
      <c r="H21" s="42" t="s">
        <v>106</v>
      </c>
      <c r="I21" s="42" t="s">
        <v>111</v>
      </c>
    </row>
    <row r="22" spans="4:9" x14ac:dyDescent="0.3">
      <c r="E22" s="20">
        <v>1</v>
      </c>
      <c r="F22" s="72">
        <v>50000000</v>
      </c>
      <c r="G22" s="72">
        <f>F22*K13</f>
        <v>333333.33333333337</v>
      </c>
      <c r="H22" s="72">
        <f>G17</f>
        <v>385908.10968650255</v>
      </c>
      <c r="I22" s="72">
        <f>F22+G22-H22</f>
        <v>49947425.223646834</v>
      </c>
    </row>
    <row r="23" spans="4:9" x14ac:dyDescent="0.3">
      <c r="E23" s="20">
        <v>2</v>
      </c>
      <c r="F23" s="72">
        <f>I22</f>
        <v>49947425.223646834</v>
      </c>
      <c r="G23" s="72">
        <f>F23*$K$13</f>
        <v>332982.83482431225</v>
      </c>
      <c r="H23" s="72">
        <f>$G$17</f>
        <v>385908.10968650255</v>
      </c>
      <c r="I23" s="72">
        <f>F23+G23-H23</f>
        <v>49894499.948784642</v>
      </c>
    </row>
    <row r="24" spans="4:9" x14ac:dyDescent="0.3">
      <c r="E24" s="20">
        <v>3</v>
      </c>
      <c r="F24" s="72">
        <f t="shared" ref="F24:F87" si="0">I23</f>
        <v>49894499.948784642</v>
      </c>
      <c r="G24" s="72">
        <f t="shared" ref="G24:G87" si="1">F24*$K$13</f>
        <v>332629.99965856428</v>
      </c>
      <c r="H24" s="72">
        <f t="shared" ref="H24:H87" si="2">$G$17</f>
        <v>385908.10968650255</v>
      </c>
      <c r="I24" s="72">
        <f t="shared" ref="I24:I87" si="3">F24+G24-H24</f>
        <v>49841221.838756703</v>
      </c>
    </row>
    <row r="25" spans="4:9" x14ac:dyDescent="0.3">
      <c r="E25" s="20">
        <v>4</v>
      </c>
      <c r="F25" s="72">
        <f t="shared" si="0"/>
        <v>49841221.838756703</v>
      </c>
      <c r="G25" s="72">
        <f t="shared" si="1"/>
        <v>332274.81225837802</v>
      </c>
      <c r="H25" s="72">
        <f t="shared" si="2"/>
        <v>385908.10968650255</v>
      </c>
      <c r="I25" s="72">
        <f t="shared" si="3"/>
        <v>49787588.541328579</v>
      </c>
    </row>
    <row r="26" spans="4:9" x14ac:dyDescent="0.3">
      <c r="E26" s="20">
        <v>5</v>
      </c>
      <c r="F26" s="72">
        <f t="shared" si="0"/>
        <v>49787588.541328579</v>
      </c>
      <c r="G26" s="72">
        <f t="shared" si="1"/>
        <v>331917.25694219052</v>
      </c>
      <c r="H26" s="72">
        <f t="shared" si="2"/>
        <v>385908.10968650255</v>
      </c>
      <c r="I26" s="72">
        <f t="shared" si="3"/>
        <v>49733597.688584268</v>
      </c>
    </row>
    <row r="27" spans="4:9" x14ac:dyDescent="0.3">
      <c r="E27" s="20">
        <v>6</v>
      </c>
      <c r="F27" s="72">
        <f t="shared" si="0"/>
        <v>49733597.688584268</v>
      </c>
      <c r="G27" s="72">
        <f t="shared" si="1"/>
        <v>331557.31792389514</v>
      </c>
      <c r="H27" s="72">
        <f t="shared" si="2"/>
        <v>385908.10968650255</v>
      </c>
      <c r="I27" s="72">
        <f t="shared" si="3"/>
        <v>49679246.896821663</v>
      </c>
    </row>
    <row r="28" spans="4:9" x14ac:dyDescent="0.3">
      <c r="E28" s="20">
        <v>7</v>
      </c>
      <c r="F28" s="72">
        <f t="shared" si="0"/>
        <v>49679246.896821663</v>
      </c>
      <c r="G28" s="72">
        <f t="shared" si="1"/>
        <v>331194.97931214445</v>
      </c>
      <c r="H28" s="72">
        <f t="shared" si="2"/>
        <v>385908.10968650255</v>
      </c>
      <c r="I28" s="72">
        <f t="shared" si="3"/>
        <v>49624533.766447306</v>
      </c>
    </row>
    <row r="29" spans="4:9" x14ac:dyDescent="0.3">
      <c r="E29" s="20">
        <v>8</v>
      </c>
      <c r="F29" s="72">
        <f t="shared" si="0"/>
        <v>49624533.766447306</v>
      </c>
      <c r="G29" s="72">
        <f t="shared" si="1"/>
        <v>330830.22510964872</v>
      </c>
      <c r="H29" s="72">
        <f t="shared" si="2"/>
        <v>385908.10968650255</v>
      </c>
      <c r="I29" s="72">
        <f t="shared" si="3"/>
        <v>49569455.881870456</v>
      </c>
    </row>
    <row r="30" spans="4:9" x14ac:dyDescent="0.3">
      <c r="E30" s="20">
        <v>9</v>
      </c>
      <c r="F30" s="72">
        <f t="shared" si="0"/>
        <v>49569455.881870456</v>
      </c>
      <c r="G30" s="72">
        <f t="shared" si="1"/>
        <v>330463.03921246971</v>
      </c>
      <c r="H30" s="72">
        <f t="shared" si="2"/>
        <v>385908.10968650255</v>
      </c>
      <c r="I30" s="72">
        <f t="shared" si="3"/>
        <v>49514010.811396427</v>
      </c>
    </row>
    <row r="31" spans="4:9" x14ac:dyDescent="0.3">
      <c r="E31" s="20">
        <v>10</v>
      </c>
      <c r="F31" s="72">
        <f t="shared" si="0"/>
        <v>49514010.811396427</v>
      </c>
      <c r="G31" s="72">
        <f t="shared" si="1"/>
        <v>330093.40540930955</v>
      </c>
      <c r="H31" s="72">
        <f t="shared" si="2"/>
        <v>385908.10968650255</v>
      </c>
      <c r="I31" s="72">
        <f t="shared" si="3"/>
        <v>49458196.107119232</v>
      </c>
    </row>
    <row r="32" spans="4:9" x14ac:dyDescent="0.3">
      <c r="E32" s="20">
        <v>11</v>
      </c>
      <c r="F32" s="72">
        <f t="shared" si="0"/>
        <v>49458196.107119232</v>
      </c>
      <c r="G32" s="72">
        <f t="shared" si="1"/>
        <v>329721.3073807949</v>
      </c>
      <c r="H32" s="72">
        <f t="shared" si="2"/>
        <v>385908.10968650255</v>
      </c>
      <c r="I32" s="72">
        <f t="shared" si="3"/>
        <v>49402009.304813527</v>
      </c>
    </row>
    <row r="33" spans="5:9" x14ac:dyDescent="0.3">
      <c r="E33" s="20">
        <v>12</v>
      </c>
      <c r="F33" s="72">
        <f t="shared" si="0"/>
        <v>49402009.304813527</v>
      </c>
      <c r="G33" s="72">
        <f t="shared" si="1"/>
        <v>329346.72869875684</v>
      </c>
      <c r="H33" s="72">
        <f t="shared" si="2"/>
        <v>385908.10968650255</v>
      </c>
      <c r="I33" s="72">
        <f t="shared" si="3"/>
        <v>49345447.923825786</v>
      </c>
    </row>
    <row r="34" spans="5:9" x14ac:dyDescent="0.3">
      <c r="E34" s="20">
        <v>13</v>
      </c>
      <c r="F34" s="72">
        <f t="shared" si="0"/>
        <v>49345447.923825786</v>
      </c>
      <c r="G34" s="72">
        <f t="shared" si="1"/>
        <v>328969.65282550524</v>
      </c>
      <c r="H34" s="72">
        <f t="shared" si="2"/>
        <v>385908.10968650255</v>
      </c>
      <c r="I34" s="72">
        <f t="shared" si="3"/>
        <v>49288509.466964789</v>
      </c>
    </row>
    <row r="35" spans="5:9" x14ac:dyDescent="0.3">
      <c r="E35" s="20">
        <v>14</v>
      </c>
      <c r="F35" s="72">
        <f t="shared" si="0"/>
        <v>49288509.466964789</v>
      </c>
      <c r="G35" s="72">
        <f t="shared" si="1"/>
        <v>328590.06311309861</v>
      </c>
      <c r="H35" s="72">
        <f t="shared" si="2"/>
        <v>385908.10968650255</v>
      </c>
      <c r="I35" s="72">
        <f t="shared" si="3"/>
        <v>49231191.420391388</v>
      </c>
    </row>
    <row r="36" spans="5:9" x14ac:dyDescent="0.3">
      <c r="E36" s="20">
        <v>15</v>
      </c>
      <c r="F36" s="72">
        <f t="shared" si="0"/>
        <v>49231191.420391388</v>
      </c>
      <c r="G36" s="72">
        <f t="shared" si="1"/>
        <v>328207.94280260929</v>
      </c>
      <c r="H36" s="72">
        <f t="shared" si="2"/>
        <v>385908.10968650255</v>
      </c>
      <c r="I36" s="72">
        <f t="shared" si="3"/>
        <v>49173491.253507495</v>
      </c>
    </row>
    <row r="37" spans="5:9" x14ac:dyDescent="0.3">
      <c r="E37" s="20">
        <v>16</v>
      </c>
      <c r="F37" s="72">
        <f t="shared" si="0"/>
        <v>49173491.253507495</v>
      </c>
      <c r="G37" s="72">
        <f t="shared" si="1"/>
        <v>327823.27502338332</v>
      </c>
      <c r="H37" s="72">
        <f t="shared" si="2"/>
        <v>385908.10968650255</v>
      </c>
      <c r="I37" s="72">
        <f t="shared" si="3"/>
        <v>49115406.418844379</v>
      </c>
    </row>
    <row r="38" spans="5:9" x14ac:dyDescent="0.3">
      <c r="E38" s="20">
        <v>17</v>
      </c>
      <c r="F38" s="72">
        <f t="shared" si="0"/>
        <v>49115406.418844379</v>
      </c>
      <c r="G38" s="72">
        <f t="shared" si="1"/>
        <v>327436.04279229586</v>
      </c>
      <c r="H38" s="72">
        <f t="shared" si="2"/>
        <v>385908.10968650255</v>
      </c>
      <c r="I38" s="72">
        <f t="shared" si="3"/>
        <v>49056934.351950176</v>
      </c>
    </row>
    <row r="39" spans="5:9" x14ac:dyDescent="0.3">
      <c r="E39" s="20">
        <v>18</v>
      </c>
      <c r="F39" s="72">
        <f t="shared" si="0"/>
        <v>49056934.351950176</v>
      </c>
      <c r="G39" s="72">
        <f t="shared" si="1"/>
        <v>327046.2290130012</v>
      </c>
      <c r="H39" s="72">
        <f t="shared" si="2"/>
        <v>385908.10968650255</v>
      </c>
      <c r="I39" s="72">
        <f t="shared" si="3"/>
        <v>48998072.471276678</v>
      </c>
    </row>
    <row r="40" spans="5:9" x14ac:dyDescent="0.3">
      <c r="E40" s="20">
        <v>19</v>
      </c>
      <c r="F40" s="72">
        <f t="shared" si="0"/>
        <v>48998072.471276678</v>
      </c>
      <c r="G40" s="72">
        <f t="shared" si="1"/>
        <v>326653.81647517788</v>
      </c>
      <c r="H40" s="72">
        <f t="shared" si="2"/>
        <v>385908.10968650255</v>
      </c>
      <c r="I40" s="72">
        <f t="shared" si="3"/>
        <v>48938818.178065352</v>
      </c>
    </row>
    <row r="41" spans="5:9" x14ac:dyDescent="0.3">
      <c r="E41" s="20">
        <v>20</v>
      </c>
      <c r="F41" s="72">
        <f t="shared" si="0"/>
        <v>48938818.178065352</v>
      </c>
      <c r="G41" s="72">
        <f t="shared" si="1"/>
        <v>326258.78785376903</v>
      </c>
      <c r="H41" s="72">
        <f t="shared" si="2"/>
        <v>385908.10968650255</v>
      </c>
      <c r="I41" s="72">
        <f t="shared" si="3"/>
        <v>48879168.856232621</v>
      </c>
    </row>
    <row r="42" spans="5:9" x14ac:dyDescent="0.3">
      <c r="E42" s="20">
        <v>21</v>
      </c>
      <c r="F42" s="72">
        <f t="shared" si="0"/>
        <v>48879168.856232621</v>
      </c>
      <c r="G42" s="72">
        <f t="shared" si="1"/>
        <v>325861.1257082175</v>
      </c>
      <c r="H42" s="72">
        <f t="shared" si="2"/>
        <v>385908.10968650255</v>
      </c>
      <c r="I42" s="72">
        <f t="shared" si="3"/>
        <v>48819121.872254334</v>
      </c>
    </row>
    <row r="43" spans="5:9" x14ac:dyDescent="0.3">
      <c r="E43" s="20">
        <v>22</v>
      </c>
      <c r="F43" s="72">
        <f t="shared" si="0"/>
        <v>48819121.872254334</v>
      </c>
      <c r="G43" s="72">
        <f t="shared" si="1"/>
        <v>325460.81248169561</v>
      </c>
      <c r="H43" s="72">
        <f t="shared" si="2"/>
        <v>385908.10968650255</v>
      </c>
      <c r="I43" s="72">
        <f t="shared" si="3"/>
        <v>48758674.575049527</v>
      </c>
    </row>
    <row r="44" spans="5:9" x14ac:dyDescent="0.3">
      <c r="E44" s="20">
        <v>23</v>
      </c>
      <c r="F44" s="72">
        <f t="shared" si="0"/>
        <v>48758674.575049527</v>
      </c>
      <c r="G44" s="72">
        <f t="shared" si="1"/>
        <v>325057.83050033019</v>
      </c>
      <c r="H44" s="72">
        <f t="shared" si="2"/>
        <v>385908.10968650255</v>
      </c>
      <c r="I44" s="72">
        <f t="shared" si="3"/>
        <v>48697824.295863353</v>
      </c>
    </row>
    <row r="45" spans="5:9" x14ac:dyDescent="0.3">
      <c r="E45" s="20">
        <v>24</v>
      </c>
      <c r="F45" s="72">
        <f t="shared" si="0"/>
        <v>48697824.295863353</v>
      </c>
      <c r="G45" s="72">
        <f t="shared" si="1"/>
        <v>324652.16197242239</v>
      </c>
      <c r="H45" s="72">
        <f t="shared" si="2"/>
        <v>385908.10968650255</v>
      </c>
      <c r="I45" s="72">
        <f t="shared" si="3"/>
        <v>48636568.348149277</v>
      </c>
    </row>
    <row r="46" spans="5:9" x14ac:dyDescent="0.3">
      <c r="E46" s="20">
        <v>25</v>
      </c>
      <c r="F46" s="72">
        <f t="shared" si="0"/>
        <v>48636568.348149277</v>
      </c>
      <c r="G46" s="72">
        <f t="shared" si="1"/>
        <v>324243.78898766189</v>
      </c>
      <c r="H46" s="72">
        <f t="shared" si="2"/>
        <v>385908.10968650255</v>
      </c>
      <c r="I46" s="72">
        <f t="shared" si="3"/>
        <v>48574904.027450435</v>
      </c>
    </row>
    <row r="47" spans="5:9" x14ac:dyDescent="0.3">
      <c r="E47" s="20">
        <v>26</v>
      </c>
      <c r="F47" s="72">
        <f t="shared" si="0"/>
        <v>48574904.027450435</v>
      </c>
      <c r="G47" s="72">
        <f t="shared" si="1"/>
        <v>323832.69351633627</v>
      </c>
      <c r="H47" s="72">
        <f t="shared" si="2"/>
        <v>385908.10968650255</v>
      </c>
      <c r="I47" s="72">
        <f t="shared" si="3"/>
        <v>48512828.61128027</v>
      </c>
    </row>
    <row r="48" spans="5:9" x14ac:dyDescent="0.3">
      <c r="E48" s="20">
        <v>27</v>
      </c>
      <c r="F48" s="72">
        <f t="shared" si="0"/>
        <v>48512828.61128027</v>
      </c>
      <c r="G48" s="72">
        <f t="shared" si="1"/>
        <v>323418.85740853514</v>
      </c>
      <c r="H48" s="72">
        <f t="shared" si="2"/>
        <v>385908.10968650255</v>
      </c>
      <c r="I48" s="72">
        <f t="shared" si="3"/>
        <v>48450339.359002307</v>
      </c>
    </row>
    <row r="49" spans="5:15" x14ac:dyDescent="0.3">
      <c r="E49" s="20">
        <v>28</v>
      </c>
      <c r="F49" s="72">
        <f t="shared" si="0"/>
        <v>48450339.359002307</v>
      </c>
      <c r="G49" s="72">
        <f t="shared" si="1"/>
        <v>323002.26239334873</v>
      </c>
      <c r="H49" s="72">
        <f t="shared" si="2"/>
        <v>385908.10968650255</v>
      </c>
      <c r="I49" s="72">
        <f t="shared" si="3"/>
        <v>48387433.511709154</v>
      </c>
    </row>
    <row r="50" spans="5:15" x14ac:dyDescent="0.3">
      <c r="E50" s="20">
        <v>29</v>
      </c>
      <c r="F50" s="72">
        <f t="shared" si="0"/>
        <v>48387433.511709154</v>
      </c>
      <c r="G50" s="72">
        <f t="shared" si="1"/>
        <v>322582.89007806103</v>
      </c>
      <c r="H50" s="72">
        <f t="shared" si="2"/>
        <v>385908.10968650255</v>
      </c>
      <c r="I50" s="72">
        <f t="shared" si="3"/>
        <v>48324108.292100713</v>
      </c>
    </row>
    <row r="51" spans="5:15" x14ac:dyDescent="0.3">
      <c r="E51" s="20">
        <v>30</v>
      </c>
      <c r="F51" s="72">
        <f t="shared" si="0"/>
        <v>48324108.292100713</v>
      </c>
      <c r="G51" s="72">
        <f t="shared" si="1"/>
        <v>322160.72194733808</v>
      </c>
      <c r="H51" s="72">
        <f t="shared" si="2"/>
        <v>385908.10968650255</v>
      </c>
      <c r="I51" s="72">
        <f t="shared" si="3"/>
        <v>48260360.904361546</v>
      </c>
    </row>
    <row r="52" spans="5:15" x14ac:dyDescent="0.3">
      <c r="E52" s="20">
        <v>31</v>
      </c>
      <c r="F52" s="72">
        <f t="shared" si="0"/>
        <v>48260360.904361546</v>
      </c>
      <c r="G52" s="72">
        <f t="shared" si="1"/>
        <v>321735.73936241033</v>
      </c>
      <c r="H52" s="72">
        <f t="shared" si="2"/>
        <v>385908.10968650255</v>
      </c>
      <c r="I52" s="72">
        <f t="shared" si="3"/>
        <v>48196188.534037456</v>
      </c>
    </row>
    <row r="53" spans="5:15" x14ac:dyDescent="0.3">
      <c r="E53" s="20">
        <v>32</v>
      </c>
      <c r="F53" s="72">
        <f t="shared" si="0"/>
        <v>48196188.534037456</v>
      </c>
      <c r="G53" s="72">
        <f t="shared" si="1"/>
        <v>321307.92356024974</v>
      </c>
      <c r="H53" s="72">
        <f t="shared" si="2"/>
        <v>385908.10968650255</v>
      </c>
      <c r="I53" s="72">
        <f t="shared" si="3"/>
        <v>48131588.347911201</v>
      </c>
    </row>
    <row r="54" spans="5:15" x14ac:dyDescent="0.3">
      <c r="E54" s="20">
        <v>33</v>
      </c>
      <c r="F54" s="72">
        <f t="shared" si="0"/>
        <v>48131588.347911201</v>
      </c>
      <c r="G54" s="72">
        <f t="shared" si="1"/>
        <v>320877.25565274135</v>
      </c>
      <c r="H54" s="72">
        <f t="shared" si="2"/>
        <v>385908.10968650255</v>
      </c>
      <c r="I54" s="72">
        <f t="shared" si="3"/>
        <v>48066557.493877441</v>
      </c>
    </row>
    <row r="55" spans="5:15" x14ac:dyDescent="0.3">
      <c r="E55" s="20">
        <v>34</v>
      </c>
      <c r="F55" s="72">
        <f t="shared" si="0"/>
        <v>48066557.493877441</v>
      </c>
      <c r="G55" s="72">
        <f t="shared" si="1"/>
        <v>320443.7166258496</v>
      </c>
      <c r="H55" s="72">
        <f t="shared" si="2"/>
        <v>385908.10968650255</v>
      </c>
      <c r="I55" s="72">
        <f t="shared" si="3"/>
        <v>48001093.100816786</v>
      </c>
    </row>
    <row r="56" spans="5:15" x14ac:dyDescent="0.3">
      <c r="E56" s="20">
        <v>35</v>
      </c>
      <c r="F56" s="72">
        <f t="shared" si="0"/>
        <v>48001093.100816786</v>
      </c>
      <c r="G56" s="72">
        <f t="shared" si="1"/>
        <v>320007.28733877861</v>
      </c>
      <c r="H56" s="72">
        <f t="shared" si="2"/>
        <v>385908.10968650255</v>
      </c>
      <c r="I56" s="72">
        <f t="shared" si="3"/>
        <v>47935192.278469063</v>
      </c>
      <c r="K56" t="s">
        <v>112</v>
      </c>
      <c r="M56" t="s">
        <v>113</v>
      </c>
      <c r="O56" t="s">
        <v>114</v>
      </c>
    </row>
    <row r="57" spans="5:15" x14ac:dyDescent="0.3">
      <c r="E57" s="20">
        <v>36</v>
      </c>
      <c r="F57" s="72">
        <f t="shared" si="0"/>
        <v>47935192.278469063</v>
      </c>
      <c r="G57" s="72">
        <f t="shared" si="1"/>
        <v>319567.94852312712</v>
      </c>
      <c r="H57" s="72">
        <f t="shared" si="2"/>
        <v>385908.10968650255</v>
      </c>
      <c r="I57" s="73">
        <f t="shared" si="3"/>
        <v>47868852.117305689</v>
      </c>
      <c r="K57" s="23">
        <v>5000000</v>
      </c>
      <c r="M57" s="24">
        <f>I57-K57</f>
        <v>42868852.117305689</v>
      </c>
      <c r="O57" s="69">
        <f>PMT(K13,264,M57,0,0)</f>
        <v>-345599.21438013314</v>
      </c>
    </row>
    <row r="58" spans="5:15" x14ac:dyDescent="0.3">
      <c r="E58" s="20">
        <v>37</v>
      </c>
      <c r="F58" s="72">
        <f t="shared" si="0"/>
        <v>47868852.117305689</v>
      </c>
      <c r="G58" s="72">
        <f t="shared" si="1"/>
        <v>319125.68078203796</v>
      </c>
      <c r="H58" s="72">
        <f t="shared" si="2"/>
        <v>385908.10968650255</v>
      </c>
      <c r="I58" s="72">
        <f t="shared" si="3"/>
        <v>47802069.688401222</v>
      </c>
      <c r="K58">
        <f>E58</f>
        <v>37</v>
      </c>
      <c r="L58" s="23">
        <f>M57</f>
        <v>42868852.117305689</v>
      </c>
      <c r="M58" s="23">
        <f>L58*$K$13</f>
        <v>285792.34744870459</v>
      </c>
      <c r="N58" s="23">
        <f>ABS($O$57)</f>
        <v>345599.21438013314</v>
      </c>
      <c r="O58" s="23">
        <f>L58+M58-N58</f>
        <v>42809045.250374265</v>
      </c>
    </row>
    <row r="59" spans="5:15" x14ac:dyDescent="0.3">
      <c r="E59" s="20">
        <v>38</v>
      </c>
      <c r="F59" s="72">
        <f t="shared" si="0"/>
        <v>47802069.688401222</v>
      </c>
      <c r="G59" s="72">
        <f t="shared" si="1"/>
        <v>318680.46458934149</v>
      </c>
      <c r="H59" s="72">
        <f t="shared" si="2"/>
        <v>385908.10968650255</v>
      </c>
      <c r="I59" s="72">
        <f t="shared" si="3"/>
        <v>47734842.043304063</v>
      </c>
      <c r="K59">
        <f>E59</f>
        <v>38</v>
      </c>
      <c r="L59" s="23">
        <f>O58</f>
        <v>42809045.250374265</v>
      </c>
      <c r="M59" s="23">
        <f>L59*$K$13</f>
        <v>285393.63500249514</v>
      </c>
      <c r="N59" s="23">
        <f>ABS($O$57)</f>
        <v>345599.21438013314</v>
      </c>
      <c r="O59" s="23">
        <f>L59+M59-N59</f>
        <v>42748839.670996629</v>
      </c>
    </row>
    <row r="60" spans="5:15" x14ac:dyDescent="0.3">
      <c r="E60" s="20">
        <v>39</v>
      </c>
      <c r="F60" s="72">
        <f t="shared" si="0"/>
        <v>47734842.043304063</v>
      </c>
      <c r="G60" s="72">
        <f t="shared" si="1"/>
        <v>318232.28028869379</v>
      </c>
      <c r="H60" s="72">
        <f t="shared" si="2"/>
        <v>385908.10968650255</v>
      </c>
      <c r="I60" s="72">
        <f t="shared" si="3"/>
        <v>47667166.213906258</v>
      </c>
      <c r="K60">
        <f t="shared" ref="K60:K123" si="4">E60</f>
        <v>39</v>
      </c>
      <c r="L60" s="23">
        <f t="shared" ref="L60:L123" si="5">O59</f>
        <v>42748839.670996629</v>
      </c>
      <c r="M60" s="23">
        <f t="shared" ref="M60:M123" si="6">L60*$K$13</f>
        <v>284992.2644733109</v>
      </c>
      <c r="N60" s="23">
        <f t="shared" ref="N60:N123" si="7">ABS($O$57)</f>
        <v>345599.21438013314</v>
      </c>
      <c r="O60" s="23">
        <f t="shared" ref="O60:O123" si="8">L60+M60-N60</f>
        <v>42688232.72108981</v>
      </c>
    </row>
    <row r="61" spans="5:15" x14ac:dyDescent="0.3">
      <c r="E61" s="20">
        <v>40</v>
      </c>
      <c r="F61" s="72">
        <f t="shared" si="0"/>
        <v>47667166.213906258</v>
      </c>
      <c r="G61" s="72">
        <f t="shared" si="1"/>
        <v>317781.1080927084</v>
      </c>
      <c r="H61" s="72">
        <f t="shared" si="2"/>
        <v>385908.10968650255</v>
      </c>
      <c r="I61" s="72">
        <f t="shared" si="3"/>
        <v>47599039.212312467</v>
      </c>
      <c r="K61">
        <f t="shared" si="4"/>
        <v>40</v>
      </c>
      <c r="L61" s="23">
        <f t="shared" si="5"/>
        <v>42688232.72108981</v>
      </c>
      <c r="M61" s="23">
        <f t="shared" si="6"/>
        <v>284588.21814059874</v>
      </c>
      <c r="N61" s="23">
        <f t="shared" si="7"/>
        <v>345599.21438013314</v>
      </c>
      <c r="O61" s="23">
        <f t="shared" si="8"/>
        <v>42627221.724850282</v>
      </c>
    </row>
    <row r="62" spans="5:15" x14ac:dyDescent="0.3">
      <c r="E62" s="20">
        <v>41</v>
      </c>
      <c r="F62" s="72">
        <f t="shared" si="0"/>
        <v>47599039.212312467</v>
      </c>
      <c r="G62" s="72">
        <f t="shared" si="1"/>
        <v>317326.92808208312</v>
      </c>
      <c r="H62" s="72">
        <f t="shared" si="2"/>
        <v>385908.10968650255</v>
      </c>
      <c r="I62" s="72">
        <f t="shared" si="3"/>
        <v>47530458.030708052</v>
      </c>
      <c r="K62">
        <f t="shared" si="4"/>
        <v>41</v>
      </c>
      <c r="L62" s="23">
        <f t="shared" si="5"/>
        <v>42627221.724850282</v>
      </c>
      <c r="M62" s="23">
        <f t="shared" si="6"/>
        <v>284181.47816566855</v>
      </c>
      <c r="N62" s="23">
        <f t="shared" si="7"/>
        <v>345599.21438013314</v>
      </c>
      <c r="O62" s="23">
        <f t="shared" si="8"/>
        <v>42565803.988635823</v>
      </c>
    </row>
    <row r="63" spans="5:15" x14ac:dyDescent="0.3">
      <c r="E63" s="20">
        <v>42</v>
      </c>
      <c r="F63" s="72">
        <f t="shared" si="0"/>
        <v>47530458.030708052</v>
      </c>
      <c r="G63" s="72">
        <f t="shared" si="1"/>
        <v>316869.72020472039</v>
      </c>
      <c r="H63" s="72">
        <f t="shared" si="2"/>
        <v>385908.10968650255</v>
      </c>
      <c r="I63" s="72">
        <f t="shared" si="3"/>
        <v>47461419.641226269</v>
      </c>
      <c r="K63">
        <f t="shared" si="4"/>
        <v>42</v>
      </c>
      <c r="L63" s="23">
        <f t="shared" si="5"/>
        <v>42565803.988635823</v>
      </c>
      <c r="M63" s="23">
        <f t="shared" si="6"/>
        <v>283772.0265909055</v>
      </c>
      <c r="N63" s="23">
        <f t="shared" si="7"/>
        <v>345599.21438013314</v>
      </c>
      <c r="O63" s="23">
        <f t="shared" si="8"/>
        <v>42503976.800846599</v>
      </c>
    </row>
    <row r="64" spans="5:15" x14ac:dyDescent="0.3">
      <c r="E64" s="20">
        <v>43</v>
      </c>
      <c r="F64" s="72">
        <f t="shared" si="0"/>
        <v>47461419.641226269</v>
      </c>
      <c r="G64" s="72">
        <f t="shared" si="1"/>
        <v>316409.46427484183</v>
      </c>
      <c r="H64" s="72">
        <f t="shared" si="2"/>
        <v>385908.10968650255</v>
      </c>
      <c r="I64" s="72">
        <f t="shared" si="3"/>
        <v>47391920.995814607</v>
      </c>
      <c r="K64">
        <f t="shared" si="4"/>
        <v>43</v>
      </c>
      <c r="L64" s="23">
        <f t="shared" si="5"/>
        <v>42503976.800846599</v>
      </c>
      <c r="M64" s="23">
        <f t="shared" si="6"/>
        <v>283359.84533897735</v>
      </c>
      <c r="N64" s="23">
        <f t="shared" si="7"/>
        <v>345599.21438013314</v>
      </c>
      <c r="O64" s="23">
        <f t="shared" si="8"/>
        <v>42441737.431805447</v>
      </c>
    </row>
    <row r="65" spans="5:15" x14ac:dyDescent="0.3">
      <c r="E65" s="20">
        <v>44</v>
      </c>
      <c r="F65" s="72">
        <f t="shared" si="0"/>
        <v>47391920.995814607</v>
      </c>
      <c r="G65" s="72">
        <f t="shared" si="1"/>
        <v>315946.13997209742</v>
      </c>
      <c r="H65" s="72">
        <f t="shared" si="2"/>
        <v>385908.10968650255</v>
      </c>
      <c r="I65" s="72">
        <f t="shared" si="3"/>
        <v>47321959.026100203</v>
      </c>
      <c r="K65">
        <f t="shared" si="4"/>
        <v>44</v>
      </c>
      <c r="L65" s="23">
        <f t="shared" si="5"/>
        <v>42441737.431805447</v>
      </c>
      <c r="M65" s="23">
        <f t="shared" si="6"/>
        <v>282944.91621203633</v>
      </c>
      <c r="N65" s="23">
        <f t="shared" si="7"/>
        <v>345599.21438013314</v>
      </c>
      <c r="O65" s="23">
        <f t="shared" si="8"/>
        <v>42379083.133637354</v>
      </c>
    </row>
    <row r="66" spans="5:15" x14ac:dyDescent="0.3">
      <c r="E66" s="20">
        <v>45</v>
      </c>
      <c r="F66" s="72">
        <f t="shared" si="0"/>
        <v>47321959.026100203</v>
      </c>
      <c r="G66" s="72">
        <f t="shared" si="1"/>
        <v>315479.72684066807</v>
      </c>
      <c r="H66" s="72">
        <f t="shared" si="2"/>
        <v>385908.10968650255</v>
      </c>
      <c r="I66" s="72">
        <f t="shared" si="3"/>
        <v>47251530.643254369</v>
      </c>
      <c r="K66">
        <f t="shared" si="4"/>
        <v>45</v>
      </c>
      <c r="L66" s="23">
        <f t="shared" si="5"/>
        <v>42379083.133637354</v>
      </c>
      <c r="M66" s="23">
        <f t="shared" si="6"/>
        <v>282527.22089091572</v>
      </c>
      <c r="N66" s="23">
        <f t="shared" si="7"/>
        <v>345599.21438013314</v>
      </c>
      <c r="O66" s="23">
        <f t="shared" si="8"/>
        <v>42316011.14014814</v>
      </c>
    </row>
    <row r="67" spans="5:15" x14ac:dyDescent="0.3">
      <c r="E67" s="20">
        <v>46</v>
      </c>
      <c r="F67" s="72">
        <f t="shared" si="0"/>
        <v>47251530.643254369</v>
      </c>
      <c r="G67" s="72">
        <f t="shared" si="1"/>
        <v>315010.20428836247</v>
      </c>
      <c r="H67" s="72">
        <f t="shared" si="2"/>
        <v>385908.10968650255</v>
      </c>
      <c r="I67" s="72">
        <f t="shared" si="3"/>
        <v>47180632.737856232</v>
      </c>
      <c r="K67">
        <f t="shared" si="4"/>
        <v>46</v>
      </c>
      <c r="L67" s="23">
        <f t="shared" si="5"/>
        <v>42316011.14014814</v>
      </c>
      <c r="M67" s="23">
        <f t="shared" si="6"/>
        <v>282106.74093432096</v>
      </c>
      <c r="N67" s="23">
        <f t="shared" si="7"/>
        <v>345599.21438013314</v>
      </c>
      <c r="O67" s="23">
        <f t="shared" si="8"/>
        <v>42252518.66670233</v>
      </c>
    </row>
    <row r="68" spans="5:15" x14ac:dyDescent="0.3">
      <c r="E68" s="20">
        <v>47</v>
      </c>
      <c r="F68" s="72">
        <f t="shared" si="0"/>
        <v>47180632.737856232</v>
      </c>
      <c r="G68" s="72">
        <f t="shared" si="1"/>
        <v>314537.55158570822</v>
      </c>
      <c r="H68" s="72">
        <f t="shared" si="2"/>
        <v>385908.10968650255</v>
      </c>
      <c r="I68" s="72">
        <f t="shared" si="3"/>
        <v>47109262.179755442</v>
      </c>
      <c r="K68">
        <f t="shared" si="4"/>
        <v>47</v>
      </c>
      <c r="L68" s="23">
        <f t="shared" si="5"/>
        <v>42252518.66670233</v>
      </c>
      <c r="M68" s="23">
        <f t="shared" si="6"/>
        <v>281683.45777801552</v>
      </c>
      <c r="N68" s="23">
        <f t="shared" si="7"/>
        <v>345599.21438013314</v>
      </c>
      <c r="O68" s="23">
        <f t="shared" si="8"/>
        <v>42188602.910100214</v>
      </c>
    </row>
    <row r="69" spans="5:15" x14ac:dyDescent="0.3">
      <c r="E69" s="20">
        <v>48</v>
      </c>
      <c r="F69" s="72">
        <f t="shared" si="0"/>
        <v>47109262.179755442</v>
      </c>
      <c r="G69" s="72">
        <f t="shared" si="1"/>
        <v>314061.7478650363</v>
      </c>
      <c r="H69" s="72">
        <f t="shared" si="2"/>
        <v>385908.10968650255</v>
      </c>
      <c r="I69" s="72">
        <f t="shared" si="3"/>
        <v>47037415.817933977</v>
      </c>
      <c r="K69">
        <f t="shared" si="4"/>
        <v>48</v>
      </c>
      <c r="L69" s="23">
        <f t="shared" si="5"/>
        <v>42188602.910100214</v>
      </c>
      <c r="M69" s="23">
        <f t="shared" si="6"/>
        <v>281257.35273400147</v>
      </c>
      <c r="N69" s="23">
        <f t="shared" si="7"/>
        <v>345599.21438013314</v>
      </c>
      <c r="O69" s="23">
        <f t="shared" si="8"/>
        <v>42124261.048454084</v>
      </c>
    </row>
    <row r="70" spans="5:15" x14ac:dyDescent="0.3">
      <c r="E70" s="20">
        <v>49</v>
      </c>
      <c r="F70" s="72">
        <f t="shared" si="0"/>
        <v>47037415.817933977</v>
      </c>
      <c r="G70" s="72">
        <f t="shared" si="1"/>
        <v>313582.77211955987</v>
      </c>
      <c r="H70" s="72">
        <f t="shared" si="2"/>
        <v>385908.10968650255</v>
      </c>
      <c r="I70" s="72">
        <f t="shared" si="3"/>
        <v>46965090.480367035</v>
      </c>
      <c r="K70">
        <f t="shared" si="4"/>
        <v>49</v>
      </c>
      <c r="L70" s="23">
        <f t="shared" si="5"/>
        <v>42124261.048454084</v>
      </c>
      <c r="M70" s="23">
        <f t="shared" si="6"/>
        <v>280828.40698969393</v>
      </c>
      <c r="N70" s="23">
        <f t="shared" si="7"/>
        <v>345599.21438013314</v>
      </c>
      <c r="O70" s="23">
        <f t="shared" si="8"/>
        <v>42059490.241063647</v>
      </c>
    </row>
    <row r="71" spans="5:15" x14ac:dyDescent="0.3">
      <c r="E71" s="20">
        <v>50</v>
      </c>
      <c r="F71" s="72">
        <f t="shared" si="0"/>
        <v>46965090.480367035</v>
      </c>
      <c r="G71" s="72">
        <f t="shared" si="1"/>
        <v>313100.60320244695</v>
      </c>
      <c r="H71" s="72">
        <f t="shared" si="2"/>
        <v>385908.10968650255</v>
      </c>
      <c r="I71" s="72">
        <f t="shared" si="3"/>
        <v>46892282.973882981</v>
      </c>
      <c r="K71">
        <f t="shared" si="4"/>
        <v>50</v>
      </c>
      <c r="L71" s="23">
        <f t="shared" si="5"/>
        <v>42059490.241063647</v>
      </c>
      <c r="M71" s="23">
        <f t="shared" si="6"/>
        <v>280396.60160709103</v>
      </c>
      <c r="N71" s="23">
        <f t="shared" si="7"/>
        <v>345599.21438013314</v>
      </c>
      <c r="O71" s="23">
        <f t="shared" si="8"/>
        <v>41994287.628290609</v>
      </c>
    </row>
    <row r="72" spans="5:15" x14ac:dyDescent="0.3">
      <c r="E72" s="20">
        <v>51</v>
      </c>
      <c r="F72" s="72">
        <f t="shared" si="0"/>
        <v>46892282.973882981</v>
      </c>
      <c r="G72" s="72">
        <f t="shared" si="1"/>
        <v>312615.21982588654</v>
      </c>
      <c r="H72" s="72">
        <f t="shared" si="2"/>
        <v>385908.10968650255</v>
      </c>
      <c r="I72" s="72">
        <f t="shared" si="3"/>
        <v>46818990.084022366</v>
      </c>
      <c r="K72">
        <f t="shared" si="4"/>
        <v>51</v>
      </c>
      <c r="L72" s="23">
        <f t="shared" si="5"/>
        <v>41994287.628290609</v>
      </c>
      <c r="M72" s="23">
        <f t="shared" si="6"/>
        <v>279961.9175219374</v>
      </c>
      <c r="N72" s="23">
        <f t="shared" si="7"/>
        <v>345599.21438013314</v>
      </c>
      <c r="O72" s="23">
        <f t="shared" si="8"/>
        <v>41928650.331432417</v>
      </c>
    </row>
    <row r="73" spans="5:15" x14ac:dyDescent="0.3">
      <c r="E73" s="20">
        <v>52</v>
      </c>
      <c r="F73" s="72">
        <f t="shared" si="0"/>
        <v>46818990.084022366</v>
      </c>
      <c r="G73" s="72">
        <f t="shared" si="1"/>
        <v>312126.60056014912</v>
      </c>
      <c r="H73" s="72">
        <f t="shared" si="2"/>
        <v>385908.10968650255</v>
      </c>
      <c r="I73" s="72">
        <f t="shared" si="3"/>
        <v>46745208.574896015</v>
      </c>
      <c r="K73">
        <f t="shared" si="4"/>
        <v>52</v>
      </c>
      <c r="L73" s="23">
        <f t="shared" si="5"/>
        <v>41928650.331432417</v>
      </c>
      <c r="M73" s="23">
        <f t="shared" si="6"/>
        <v>279524.33554288279</v>
      </c>
      <c r="N73" s="23">
        <f t="shared" si="7"/>
        <v>345599.21438013314</v>
      </c>
      <c r="O73" s="23">
        <f t="shared" si="8"/>
        <v>41862575.452595167</v>
      </c>
    </row>
    <row r="74" spans="5:15" x14ac:dyDescent="0.3">
      <c r="E74" s="20">
        <v>53</v>
      </c>
      <c r="F74" s="72">
        <f t="shared" si="0"/>
        <v>46745208.574896015</v>
      </c>
      <c r="G74" s="72">
        <f t="shared" si="1"/>
        <v>311634.7238326401</v>
      </c>
      <c r="H74" s="72">
        <f t="shared" si="2"/>
        <v>385908.10968650255</v>
      </c>
      <c r="I74" s="72">
        <f t="shared" si="3"/>
        <v>46670935.189042151</v>
      </c>
      <c r="K74">
        <f t="shared" si="4"/>
        <v>53</v>
      </c>
      <c r="L74" s="23">
        <f t="shared" si="5"/>
        <v>41862575.452595167</v>
      </c>
      <c r="M74" s="23">
        <f t="shared" si="6"/>
        <v>279083.83635063446</v>
      </c>
      <c r="N74" s="23">
        <f t="shared" si="7"/>
        <v>345599.21438013314</v>
      </c>
      <c r="O74" s="23">
        <f t="shared" si="8"/>
        <v>41796060.074565671</v>
      </c>
    </row>
    <row r="75" spans="5:15" x14ac:dyDescent="0.3">
      <c r="E75" s="20">
        <v>54</v>
      </c>
      <c r="F75" s="72">
        <f t="shared" si="0"/>
        <v>46670935.189042151</v>
      </c>
      <c r="G75" s="72">
        <f t="shared" si="1"/>
        <v>311139.56792694767</v>
      </c>
      <c r="H75" s="72">
        <f t="shared" si="2"/>
        <v>385908.10968650255</v>
      </c>
      <c r="I75" s="72">
        <f t="shared" si="3"/>
        <v>46596166.6472826</v>
      </c>
      <c r="K75">
        <f t="shared" si="4"/>
        <v>54</v>
      </c>
      <c r="L75" s="23">
        <f t="shared" si="5"/>
        <v>41796060.074565671</v>
      </c>
      <c r="M75" s="23">
        <f t="shared" si="6"/>
        <v>278640.40049710451</v>
      </c>
      <c r="N75" s="23">
        <f t="shared" si="7"/>
        <v>345599.21438013314</v>
      </c>
      <c r="O75" s="23">
        <f t="shared" si="8"/>
        <v>41729101.260682642</v>
      </c>
    </row>
    <row r="76" spans="5:15" x14ac:dyDescent="0.3">
      <c r="E76" s="20">
        <v>55</v>
      </c>
      <c r="F76" s="72">
        <f t="shared" si="0"/>
        <v>46596166.6472826</v>
      </c>
      <c r="G76" s="72">
        <f t="shared" si="1"/>
        <v>310641.11098188401</v>
      </c>
      <c r="H76" s="72">
        <f t="shared" si="2"/>
        <v>385908.10968650255</v>
      </c>
      <c r="I76" s="72">
        <f t="shared" si="3"/>
        <v>46520899.648577981</v>
      </c>
      <c r="K76">
        <f t="shared" si="4"/>
        <v>55</v>
      </c>
      <c r="L76" s="23">
        <f t="shared" si="5"/>
        <v>41729101.260682642</v>
      </c>
      <c r="M76" s="23">
        <f t="shared" si="6"/>
        <v>278194.00840455096</v>
      </c>
      <c r="N76" s="23">
        <f t="shared" si="7"/>
        <v>345599.21438013314</v>
      </c>
      <c r="O76" s="23">
        <f t="shared" si="8"/>
        <v>41661696.054707065</v>
      </c>
    </row>
    <row r="77" spans="5:15" x14ac:dyDescent="0.3">
      <c r="E77" s="20">
        <v>56</v>
      </c>
      <c r="F77" s="72">
        <f t="shared" si="0"/>
        <v>46520899.648577981</v>
      </c>
      <c r="G77" s="72">
        <f t="shared" si="1"/>
        <v>310139.3309905199</v>
      </c>
      <c r="H77" s="72">
        <f t="shared" si="2"/>
        <v>385908.10968650255</v>
      </c>
      <c r="I77" s="72">
        <f t="shared" si="3"/>
        <v>46445130.869882002</v>
      </c>
      <c r="K77">
        <f t="shared" si="4"/>
        <v>56</v>
      </c>
      <c r="L77" s="23">
        <f t="shared" si="5"/>
        <v>41661696.054707065</v>
      </c>
      <c r="M77" s="23">
        <f t="shared" si="6"/>
        <v>277744.64036471379</v>
      </c>
      <c r="N77" s="23">
        <f t="shared" si="7"/>
        <v>345599.21438013314</v>
      </c>
      <c r="O77" s="23">
        <f t="shared" si="8"/>
        <v>41593841.480691649</v>
      </c>
    </row>
    <row r="78" spans="5:15" x14ac:dyDescent="0.3">
      <c r="E78" s="20">
        <v>57</v>
      </c>
      <c r="F78" s="72">
        <f t="shared" si="0"/>
        <v>46445130.869882002</v>
      </c>
      <c r="G78" s="72">
        <f t="shared" si="1"/>
        <v>309634.20579921338</v>
      </c>
      <c r="H78" s="72">
        <f t="shared" si="2"/>
        <v>385908.10968650255</v>
      </c>
      <c r="I78" s="72">
        <f t="shared" si="3"/>
        <v>46368856.965994716</v>
      </c>
      <c r="K78">
        <f t="shared" si="4"/>
        <v>57</v>
      </c>
      <c r="L78" s="23">
        <f t="shared" si="5"/>
        <v>41593841.480691649</v>
      </c>
      <c r="M78" s="23">
        <f t="shared" si="6"/>
        <v>277292.27653794433</v>
      </c>
      <c r="N78" s="23">
        <f t="shared" si="7"/>
        <v>345599.21438013314</v>
      </c>
      <c r="O78" s="23">
        <f t="shared" si="8"/>
        <v>41525534.542849466</v>
      </c>
    </row>
    <row r="79" spans="5:15" x14ac:dyDescent="0.3">
      <c r="E79" s="20">
        <v>58</v>
      </c>
      <c r="F79" s="72">
        <f t="shared" si="0"/>
        <v>46368856.965994716</v>
      </c>
      <c r="G79" s="72">
        <f t="shared" si="1"/>
        <v>309125.71310663148</v>
      </c>
      <c r="H79" s="72">
        <f t="shared" si="2"/>
        <v>385908.10968650255</v>
      </c>
      <c r="I79" s="72">
        <f t="shared" si="3"/>
        <v>46292074.569414847</v>
      </c>
      <c r="K79">
        <f t="shared" si="4"/>
        <v>58</v>
      </c>
      <c r="L79" s="23">
        <f t="shared" si="5"/>
        <v>41525534.542849466</v>
      </c>
      <c r="M79" s="23">
        <f t="shared" si="6"/>
        <v>276836.89695232979</v>
      </c>
      <c r="N79" s="23">
        <f t="shared" si="7"/>
        <v>345599.21438013314</v>
      </c>
      <c r="O79" s="23">
        <f t="shared" si="8"/>
        <v>41456772.225421667</v>
      </c>
    </row>
    <row r="80" spans="5:15" x14ac:dyDescent="0.3">
      <c r="E80" s="20">
        <v>59</v>
      </c>
      <c r="F80" s="72">
        <f t="shared" si="0"/>
        <v>46292074.569414847</v>
      </c>
      <c r="G80" s="72">
        <f t="shared" si="1"/>
        <v>308613.83046276565</v>
      </c>
      <c r="H80" s="72">
        <f t="shared" si="2"/>
        <v>385908.10968650255</v>
      </c>
      <c r="I80" s="72">
        <f t="shared" si="3"/>
        <v>46214780.290191114</v>
      </c>
      <c r="K80">
        <f t="shared" si="4"/>
        <v>59</v>
      </c>
      <c r="L80" s="23">
        <f t="shared" si="5"/>
        <v>41456772.225421667</v>
      </c>
      <c r="M80" s="23">
        <f t="shared" si="6"/>
        <v>276378.48150281113</v>
      </c>
      <c r="N80" s="23">
        <f t="shared" si="7"/>
        <v>345599.21438013314</v>
      </c>
      <c r="O80" s="23">
        <f t="shared" si="8"/>
        <v>41387551.492544346</v>
      </c>
    </row>
    <row r="81" spans="5:15" x14ac:dyDescent="0.3">
      <c r="E81" s="20">
        <v>60</v>
      </c>
      <c r="F81" s="72">
        <f t="shared" si="0"/>
        <v>46214780.290191114</v>
      </c>
      <c r="G81" s="72">
        <f t="shared" si="1"/>
        <v>308098.53526794078</v>
      </c>
      <c r="H81" s="72">
        <f t="shared" si="2"/>
        <v>385908.10968650255</v>
      </c>
      <c r="I81" s="72">
        <f t="shared" si="3"/>
        <v>46136970.715772554</v>
      </c>
      <c r="K81">
        <f t="shared" si="4"/>
        <v>60</v>
      </c>
      <c r="L81" s="23">
        <f t="shared" si="5"/>
        <v>41387551.492544346</v>
      </c>
      <c r="M81" s="23">
        <f t="shared" si="6"/>
        <v>275917.00995029567</v>
      </c>
      <c r="N81" s="23">
        <f t="shared" si="7"/>
        <v>345599.21438013314</v>
      </c>
      <c r="O81" s="23">
        <f t="shared" si="8"/>
        <v>41317869.28811451</v>
      </c>
    </row>
    <row r="82" spans="5:15" x14ac:dyDescent="0.3">
      <c r="E82" s="20">
        <v>61</v>
      </c>
      <c r="F82" s="72">
        <f t="shared" si="0"/>
        <v>46136970.715772554</v>
      </c>
      <c r="G82" s="72">
        <f t="shared" si="1"/>
        <v>307579.80477181706</v>
      </c>
      <c r="H82" s="72">
        <f t="shared" si="2"/>
        <v>385908.10968650255</v>
      </c>
      <c r="I82" s="72">
        <f t="shared" si="3"/>
        <v>46058642.410857871</v>
      </c>
      <c r="K82">
        <f t="shared" si="4"/>
        <v>61</v>
      </c>
      <c r="L82" s="23">
        <f t="shared" si="5"/>
        <v>41317869.28811451</v>
      </c>
      <c r="M82" s="23">
        <f t="shared" si="6"/>
        <v>275452.46192076342</v>
      </c>
      <c r="N82" s="23">
        <f t="shared" si="7"/>
        <v>345599.21438013314</v>
      </c>
      <c r="O82" s="23">
        <f t="shared" si="8"/>
        <v>41247722.535655141</v>
      </c>
    </row>
    <row r="83" spans="5:15" x14ac:dyDescent="0.3">
      <c r="E83" s="20">
        <v>62</v>
      </c>
      <c r="F83" s="72">
        <f t="shared" si="0"/>
        <v>46058642.410857871</v>
      </c>
      <c r="G83" s="72">
        <f t="shared" si="1"/>
        <v>307057.6160723858</v>
      </c>
      <c r="H83" s="72">
        <f t="shared" si="2"/>
        <v>385908.10968650255</v>
      </c>
      <c r="I83" s="72">
        <f t="shared" si="3"/>
        <v>45979791.917243756</v>
      </c>
      <c r="K83">
        <f t="shared" si="4"/>
        <v>62</v>
      </c>
      <c r="L83" s="23">
        <f t="shared" si="5"/>
        <v>41247722.535655141</v>
      </c>
      <c r="M83" s="23">
        <f t="shared" si="6"/>
        <v>274984.81690436765</v>
      </c>
      <c r="N83" s="23">
        <f t="shared" si="7"/>
        <v>345599.21438013314</v>
      </c>
      <c r="O83" s="23">
        <f t="shared" si="8"/>
        <v>41177108.138179377</v>
      </c>
    </row>
    <row r="84" spans="5:15" x14ac:dyDescent="0.3">
      <c r="E84" s="20">
        <v>63</v>
      </c>
      <c r="F84" s="72">
        <f t="shared" si="0"/>
        <v>45979791.917243756</v>
      </c>
      <c r="G84" s="72">
        <f t="shared" si="1"/>
        <v>306531.94611495838</v>
      </c>
      <c r="H84" s="72">
        <f t="shared" si="2"/>
        <v>385908.10968650255</v>
      </c>
      <c r="I84" s="72">
        <f t="shared" si="3"/>
        <v>45900415.753672212</v>
      </c>
      <c r="K84">
        <f t="shared" si="4"/>
        <v>63</v>
      </c>
      <c r="L84" s="23">
        <f t="shared" si="5"/>
        <v>41177108.138179377</v>
      </c>
      <c r="M84" s="23">
        <f t="shared" si="6"/>
        <v>274514.05425452918</v>
      </c>
      <c r="N84" s="23">
        <f t="shared" si="7"/>
        <v>345599.21438013314</v>
      </c>
      <c r="O84" s="23">
        <f t="shared" si="8"/>
        <v>41106022.978053778</v>
      </c>
    </row>
    <row r="85" spans="5:15" x14ac:dyDescent="0.3">
      <c r="E85" s="20">
        <v>64</v>
      </c>
      <c r="F85" s="72">
        <f t="shared" si="0"/>
        <v>45900415.753672212</v>
      </c>
      <c r="G85" s="72">
        <f t="shared" si="1"/>
        <v>306002.77169114811</v>
      </c>
      <c r="H85" s="72">
        <f t="shared" si="2"/>
        <v>385908.10968650255</v>
      </c>
      <c r="I85" s="72">
        <f t="shared" si="3"/>
        <v>45820510.415676862</v>
      </c>
      <c r="K85">
        <f t="shared" si="4"/>
        <v>64</v>
      </c>
      <c r="L85" s="23">
        <f t="shared" si="5"/>
        <v>41106022.978053778</v>
      </c>
      <c r="M85" s="23">
        <f t="shared" si="6"/>
        <v>274040.15318702522</v>
      </c>
      <c r="N85" s="23">
        <f t="shared" si="7"/>
        <v>345599.21438013314</v>
      </c>
      <c r="O85" s="23">
        <f t="shared" si="8"/>
        <v>41034463.91686067</v>
      </c>
    </row>
    <row r="86" spans="5:15" x14ac:dyDescent="0.3">
      <c r="E86" s="20">
        <v>65</v>
      </c>
      <c r="F86" s="72">
        <f t="shared" si="0"/>
        <v>45820510.415676862</v>
      </c>
      <c r="G86" s="72">
        <f t="shared" si="1"/>
        <v>305470.06943784578</v>
      </c>
      <c r="H86" s="72">
        <f t="shared" si="2"/>
        <v>385908.10968650255</v>
      </c>
      <c r="I86" s="72">
        <f t="shared" si="3"/>
        <v>45740072.375428207</v>
      </c>
      <c r="K86">
        <f t="shared" si="4"/>
        <v>65</v>
      </c>
      <c r="L86" s="23">
        <f t="shared" si="5"/>
        <v>41034463.91686067</v>
      </c>
      <c r="M86" s="23">
        <f t="shared" si="6"/>
        <v>273563.09277907113</v>
      </c>
      <c r="N86" s="23">
        <f t="shared" si="7"/>
        <v>345599.21438013314</v>
      </c>
      <c r="O86" s="23">
        <f t="shared" si="8"/>
        <v>40962427.79525961</v>
      </c>
    </row>
    <row r="87" spans="5:15" x14ac:dyDescent="0.3">
      <c r="E87" s="20">
        <v>66</v>
      </c>
      <c r="F87" s="72">
        <f t="shared" si="0"/>
        <v>45740072.375428207</v>
      </c>
      <c r="G87" s="72">
        <f t="shared" si="1"/>
        <v>304933.81583618809</v>
      </c>
      <c r="H87" s="72">
        <f t="shared" si="2"/>
        <v>385908.10968650255</v>
      </c>
      <c r="I87" s="72">
        <f t="shared" si="3"/>
        <v>45659098.081577897</v>
      </c>
      <c r="K87">
        <f t="shared" si="4"/>
        <v>66</v>
      </c>
      <c r="L87" s="23">
        <f t="shared" si="5"/>
        <v>40962427.79525961</v>
      </c>
      <c r="M87" s="23">
        <f t="shared" si="6"/>
        <v>273082.85196839744</v>
      </c>
      <c r="N87" s="23">
        <f t="shared" si="7"/>
        <v>345599.21438013314</v>
      </c>
      <c r="O87" s="23">
        <f t="shared" si="8"/>
        <v>40889911.43284788</v>
      </c>
    </row>
    <row r="88" spans="5:15" x14ac:dyDescent="0.3">
      <c r="E88" s="20">
        <v>67</v>
      </c>
      <c r="F88" s="72">
        <f t="shared" ref="F88:F151" si="9">I87</f>
        <v>45659098.081577897</v>
      </c>
      <c r="G88" s="72">
        <f t="shared" ref="G88:G151" si="10">F88*$K$13</f>
        <v>304393.98721051932</v>
      </c>
      <c r="H88" s="72">
        <f t="shared" ref="H88:H151" si="11">$G$17</f>
        <v>385908.10968650255</v>
      </c>
      <c r="I88" s="72">
        <f t="shared" ref="I88:I151" si="12">F88+G88-H88</f>
        <v>45577583.959101915</v>
      </c>
      <c r="K88">
        <f t="shared" si="4"/>
        <v>67</v>
      </c>
      <c r="L88" s="23">
        <f t="shared" si="5"/>
        <v>40889911.43284788</v>
      </c>
      <c r="M88" s="23">
        <f t="shared" si="6"/>
        <v>272599.40955231921</v>
      </c>
      <c r="N88" s="23">
        <f t="shared" si="7"/>
        <v>345599.21438013314</v>
      </c>
      <c r="O88" s="23">
        <f t="shared" si="8"/>
        <v>40816911.62802007</v>
      </c>
    </row>
    <row r="89" spans="5:15" x14ac:dyDescent="0.3">
      <c r="E89" s="20">
        <v>68</v>
      </c>
      <c r="F89" s="72">
        <f t="shared" si="9"/>
        <v>45577583.959101915</v>
      </c>
      <c r="G89" s="72">
        <f t="shared" si="10"/>
        <v>303850.55972734612</v>
      </c>
      <c r="H89" s="72">
        <f t="shared" si="11"/>
        <v>385908.10968650255</v>
      </c>
      <c r="I89" s="72">
        <f t="shared" si="12"/>
        <v>45495526.409142762</v>
      </c>
      <c r="K89">
        <f t="shared" si="4"/>
        <v>68</v>
      </c>
      <c r="L89" s="23">
        <f t="shared" si="5"/>
        <v>40816911.62802007</v>
      </c>
      <c r="M89" s="23">
        <f t="shared" si="6"/>
        <v>272112.7441868005</v>
      </c>
      <c r="N89" s="23">
        <f t="shared" si="7"/>
        <v>345599.21438013314</v>
      </c>
      <c r="O89" s="23">
        <f t="shared" si="8"/>
        <v>40743425.157826744</v>
      </c>
    </row>
    <row r="90" spans="5:15" x14ac:dyDescent="0.3">
      <c r="E90" s="20">
        <v>69</v>
      </c>
      <c r="F90" s="72">
        <f t="shared" si="9"/>
        <v>45495526.409142762</v>
      </c>
      <c r="G90" s="72">
        <f t="shared" si="10"/>
        <v>303303.50939428509</v>
      </c>
      <c r="H90" s="72">
        <f t="shared" si="11"/>
        <v>385908.10968650255</v>
      </c>
      <c r="I90" s="72">
        <f t="shared" si="12"/>
        <v>45412921.808850549</v>
      </c>
      <c r="K90">
        <f t="shared" si="4"/>
        <v>69</v>
      </c>
      <c r="L90" s="23">
        <f t="shared" si="5"/>
        <v>40743425.157826744</v>
      </c>
      <c r="M90" s="23">
        <f t="shared" si="6"/>
        <v>271622.83438551164</v>
      </c>
      <c r="N90" s="23">
        <f t="shared" si="7"/>
        <v>345599.21438013314</v>
      </c>
      <c r="O90" s="23">
        <f t="shared" si="8"/>
        <v>40669448.777832128</v>
      </c>
    </row>
    <row r="91" spans="5:15" x14ac:dyDescent="0.3">
      <c r="E91" s="20">
        <v>70</v>
      </c>
      <c r="F91" s="72">
        <f t="shared" si="9"/>
        <v>45412921.808850549</v>
      </c>
      <c r="G91" s="72">
        <f t="shared" si="10"/>
        <v>302752.81205900369</v>
      </c>
      <c r="H91" s="72">
        <f t="shared" si="11"/>
        <v>385908.10968650255</v>
      </c>
      <c r="I91" s="72">
        <f t="shared" si="12"/>
        <v>45329766.511223048</v>
      </c>
      <c r="K91">
        <f t="shared" si="4"/>
        <v>70</v>
      </c>
      <c r="L91" s="23">
        <f t="shared" si="5"/>
        <v>40669448.777832128</v>
      </c>
      <c r="M91" s="23">
        <f t="shared" si="6"/>
        <v>271129.6585188809</v>
      </c>
      <c r="N91" s="23">
        <f t="shared" si="7"/>
        <v>345599.21438013314</v>
      </c>
      <c r="O91" s="23">
        <f t="shared" si="8"/>
        <v>40594979.221970879</v>
      </c>
    </row>
    <row r="92" spans="5:15" x14ac:dyDescent="0.3">
      <c r="E92" s="20">
        <v>71</v>
      </c>
      <c r="F92" s="72">
        <f t="shared" si="9"/>
        <v>45329766.511223048</v>
      </c>
      <c r="G92" s="72">
        <f t="shared" si="10"/>
        <v>302198.44340815366</v>
      </c>
      <c r="H92" s="72">
        <f t="shared" si="11"/>
        <v>385908.10968650255</v>
      </c>
      <c r="I92" s="72">
        <f t="shared" si="12"/>
        <v>45246056.844944701</v>
      </c>
      <c r="K92">
        <f t="shared" si="4"/>
        <v>71</v>
      </c>
      <c r="L92" s="23">
        <f t="shared" si="5"/>
        <v>40594979.221970879</v>
      </c>
      <c r="M92" s="23">
        <f t="shared" si="6"/>
        <v>270633.19481313921</v>
      </c>
      <c r="N92" s="23">
        <f t="shared" si="7"/>
        <v>345599.21438013314</v>
      </c>
      <c r="O92" s="23">
        <f t="shared" si="8"/>
        <v>40520013.202403888</v>
      </c>
    </row>
    <row r="93" spans="5:15" x14ac:dyDescent="0.3">
      <c r="E93" s="20">
        <v>72</v>
      </c>
      <c r="F93" s="72">
        <f t="shared" si="9"/>
        <v>45246056.844944701</v>
      </c>
      <c r="G93" s="72">
        <f t="shared" si="10"/>
        <v>301640.37896629801</v>
      </c>
      <c r="H93" s="72">
        <f t="shared" si="11"/>
        <v>385908.10968650255</v>
      </c>
      <c r="I93" s="72">
        <f t="shared" si="12"/>
        <v>45161789.114224501</v>
      </c>
      <c r="K93">
        <f t="shared" si="4"/>
        <v>72</v>
      </c>
      <c r="L93" s="23">
        <f t="shared" si="5"/>
        <v>40520013.202403888</v>
      </c>
      <c r="M93" s="23">
        <f t="shared" si="6"/>
        <v>270133.42134935927</v>
      </c>
      <c r="N93" s="23">
        <f t="shared" si="7"/>
        <v>345599.21438013314</v>
      </c>
      <c r="O93" s="23">
        <f t="shared" si="8"/>
        <v>40444547.409373119</v>
      </c>
    </row>
    <row r="94" spans="5:15" x14ac:dyDescent="0.3">
      <c r="E94" s="20">
        <v>73</v>
      </c>
      <c r="F94" s="72">
        <f t="shared" si="9"/>
        <v>45161789.114224501</v>
      </c>
      <c r="G94" s="72">
        <f t="shared" si="10"/>
        <v>301078.59409483004</v>
      </c>
      <c r="H94" s="72">
        <f t="shared" si="11"/>
        <v>385908.10968650255</v>
      </c>
      <c r="I94" s="72">
        <f t="shared" si="12"/>
        <v>45076959.598632827</v>
      </c>
      <c r="K94">
        <f t="shared" si="4"/>
        <v>73</v>
      </c>
      <c r="L94" s="23">
        <f t="shared" si="5"/>
        <v>40444547.409373119</v>
      </c>
      <c r="M94" s="23">
        <f t="shared" si="6"/>
        <v>269630.31606248749</v>
      </c>
      <c r="N94" s="23">
        <f t="shared" si="7"/>
        <v>345599.21438013314</v>
      </c>
      <c r="O94" s="23">
        <f t="shared" si="8"/>
        <v>40368578.511055477</v>
      </c>
    </row>
    <row r="95" spans="5:15" x14ac:dyDescent="0.3">
      <c r="E95" s="20">
        <v>74</v>
      </c>
      <c r="F95" s="72">
        <f t="shared" si="9"/>
        <v>45076959.598632827</v>
      </c>
      <c r="G95" s="72">
        <f t="shared" si="10"/>
        <v>300513.06399088551</v>
      </c>
      <c r="H95" s="72">
        <f t="shared" si="11"/>
        <v>385908.10968650255</v>
      </c>
      <c r="I95" s="72">
        <f t="shared" si="12"/>
        <v>44991564.55293721</v>
      </c>
      <c r="K95">
        <f t="shared" si="4"/>
        <v>74</v>
      </c>
      <c r="L95" s="23">
        <f t="shared" si="5"/>
        <v>40368578.511055477</v>
      </c>
      <c r="M95" s="23">
        <f t="shared" si="6"/>
        <v>269123.85674036987</v>
      </c>
      <c r="N95" s="23">
        <f t="shared" si="7"/>
        <v>345599.21438013314</v>
      </c>
      <c r="O95" s="23">
        <f t="shared" si="8"/>
        <v>40292103.153415717</v>
      </c>
    </row>
    <row r="96" spans="5:15" x14ac:dyDescent="0.3">
      <c r="E96" s="20">
        <v>75</v>
      </c>
      <c r="F96" s="72">
        <f t="shared" si="9"/>
        <v>44991564.55293721</v>
      </c>
      <c r="G96" s="72">
        <f t="shared" si="10"/>
        <v>299943.7636862481</v>
      </c>
      <c r="H96" s="72">
        <f t="shared" si="11"/>
        <v>385908.10968650255</v>
      </c>
      <c r="I96" s="72">
        <f t="shared" si="12"/>
        <v>44905600.206936955</v>
      </c>
      <c r="K96">
        <f t="shared" si="4"/>
        <v>75</v>
      </c>
      <c r="L96" s="23">
        <f t="shared" si="5"/>
        <v>40292103.153415717</v>
      </c>
      <c r="M96" s="23">
        <f t="shared" si="6"/>
        <v>268614.02102277149</v>
      </c>
      <c r="N96" s="23">
        <f t="shared" si="7"/>
        <v>345599.21438013314</v>
      </c>
      <c r="O96" s="23">
        <f t="shared" si="8"/>
        <v>40215117.960058361</v>
      </c>
    </row>
    <row r="97" spans="5:15" x14ac:dyDescent="0.3">
      <c r="E97" s="20">
        <v>76</v>
      </c>
      <c r="F97" s="72">
        <f t="shared" si="9"/>
        <v>44905600.206936955</v>
      </c>
      <c r="G97" s="72">
        <f t="shared" si="10"/>
        <v>299370.6680462464</v>
      </c>
      <c r="H97" s="72">
        <f t="shared" si="11"/>
        <v>385908.10968650255</v>
      </c>
      <c r="I97" s="72">
        <f t="shared" si="12"/>
        <v>44819062.765296698</v>
      </c>
      <c r="K97">
        <f t="shared" si="4"/>
        <v>76</v>
      </c>
      <c r="L97" s="23">
        <f t="shared" si="5"/>
        <v>40215117.960058361</v>
      </c>
      <c r="M97" s="23">
        <f t="shared" si="6"/>
        <v>268100.7864003891</v>
      </c>
      <c r="N97" s="23">
        <f t="shared" si="7"/>
        <v>345599.21438013314</v>
      </c>
      <c r="O97" s="23">
        <f t="shared" si="8"/>
        <v>40137619.532078624</v>
      </c>
    </row>
    <row r="98" spans="5:15" x14ac:dyDescent="0.3">
      <c r="E98" s="20">
        <v>77</v>
      </c>
      <c r="F98" s="72">
        <f t="shared" si="9"/>
        <v>44819062.765296698</v>
      </c>
      <c r="G98" s="72">
        <f t="shared" si="10"/>
        <v>298793.75176864467</v>
      </c>
      <c r="H98" s="72">
        <f t="shared" si="11"/>
        <v>385908.10968650255</v>
      </c>
      <c r="I98" s="72">
        <f t="shared" si="12"/>
        <v>44731948.407378837</v>
      </c>
      <c r="K98">
        <f t="shared" si="4"/>
        <v>77</v>
      </c>
      <c r="L98" s="23">
        <f t="shared" si="5"/>
        <v>40137619.532078624</v>
      </c>
      <c r="M98" s="23">
        <f t="shared" si="6"/>
        <v>267584.13021385751</v>
      </c>
      <c r="N98" s="23">
        <f t="shared" si="7"/>
        <v>345599.21438013314</v>
      </c>
      <c r="O98" s="23">
        <f t="shared" si="8"/>
        <v>40059604.44791235</v>
      </c>
    </row>
    <row r="99" spans="5:15" x14ac:dyDescent="0.3">
      <c r="E99" s="20">
        <v>78</v>
      </c>
      <c r="F99" s="72">
        <f t="shared" si="9"/>
        <v>44731948.407378837</v>
      </c>
      <c r="G99" s="72">
        <f t="shared" si="10"/>
        <v>298212.98938252561</v>
      </c>
      <c r="H99" s="72">
        <f t="shared" si="11"/>
        <v>385908.10968650255</v>
      </c>
      <c r="I99" s="72">
        <f t="shared" si="12"/>
        <v>44644253.287074864</v>
      </c>
      <c r="K99">
        <f t="shared" si="4"/>
        <v>78</v>
      </c>
      <c r="L99" s="23">
        <f t="shared" si="5"/>
        <v>40059604.44791235</v>
      </c>
      <c r="M99" s="23">
        <f t="shared" si="6"/>
        <v>267064.02965274901</v>
      </c>
      <c r="N99" s="23">
        <f t="shared" si="7"/>
        <v>345599.21438013314</v>
      </c>
      <c r="O99" s="23">
        <f t="shared" si="8"/>
        <v>39981069.263184972</v>
      </c>
    </row>
    <row r="100" spans="5:15" x14ac:dyDescent="0.3">
      <c r="E100" s="20">
        <v>79</v>
      </c>
      <c r="F100" s="72">
        <f t="shared" si="9"/>
        <v>44644253.287074864</v>
      </c>
      <c r="G100" s="72">
        <f t="shared" si="10"/>
        <v>297628.35524716577</v>
      </c>
      <c r="H100" s="72">
        <f t="shared" si="11"/>
        <v>385908.10968650255</v>
      </c>
      <c r="I100" s="72">
        <f t="shared" si="12"/>
        <v>44555973.532635525</v>
      </c>
      <c r="K100">
        <f t="shared" si="4"/>
        <v>79</v>
      </c>
      <c r="L100" s="23">
        <f t="shared" si="5"/>
        <v>39981069.263184972</v>
      </c>
      <c r="M100" s="23">
        <f t="shared" si="6"/>
        <v>266540.46175456652</v>
      </c>
      <c r="N100" s="23">
        <f t="shared" si="7"/>
        <v>345599.21438013314</v>
      </c>
      <c r="O100" s="23">
        <f t="shared" si="8"/>
        <v>39902010.51055941</v>
      </c>
    </row>
    <row r="101" spans="5:15" x14ac:dyDescent="0.3">
      <c r="E101" s="20">
        <v>80</v>
      </c>
      <c r="F101" s="72">
        <f t="shared" si="9"/>
        <v>44555973.532635525</v>
      </c>
      <c r="G101" s="72">
        <f t="shared" si="10"/>
        <v>297039.82355090353</v>
      </c>
      <c r="H101" s="72">
        <f t="shared" si="11"/>
        <v>385908.10968650255</v>
      </c>
      <c r="I101" s="72">
        <f t="shared" si="12"/>
        <v>44467105.246499926</v>
      </c>
      <c r="K101">
        <f t="shared" si="4"/>
        <v>80</v>
      </c>
      <c r="L101" s="23">
        <f t="shared" si="5"/>
        <v>39902010.51055941</v>
      </c>
      <c r="M101" s="23">
        <f t="shared" si="6"/>
        <v>266013.40340372943</v>
      </c>
      <c r="N101" s="23">
        <f t="shared" si="7"/>
        <v>345599.21438013314</v>
      </c>
      <c r="O101" s="23">
        <f t="shared" si="8"/>
        <v>39822424.699583009</v>
      </c>
    </row>
    <row r="102" spans="5:15" x14ac:dyDescent="0.3">
      <c r="E102" s="20">
        <v>81</v>
      </c>
      <c r="F102" s="72">
        <f t="shared" si="9"/>
        <v>44467105.246499926</v>
      </c>
      <c r="G102" s="72">
        <f t="shared" si="10"/>
        <v>296447.36830999953</v>
      </c>
      <c r="H102" s="72">
        <f t="shared" si="11"/>
        <v>385908.10968650255</v>
      </c>
      <c r="I102" s="72">
        <f t="shared" si="12"/>
        <v>44377644.505123422</v>
      </c>
      <c r="K102">
        <f t="shared" si="4"/>
        <v>81</v>
      </c>
      <c r="L102" s="23">
        <f t="shared" si="5"/>
        <v>39822424.699583009</v>
      </c>
      <c r="M102" s="23">
        <f t="shared" si="6"/>
        <v>265482.8313305534</v>
      </c>
      <c r="N102" s="23">
        <f t="shared" si="7"/>
        <v>345599.21438013314</v>
      </c>
      <c r="O102" s="23">
        <f t="shared" si="8"/>
        <v>39742308.316533431</v>
      </c>
    </row>
    <row r="103" spans="5:15" x14ac:dyDescent="0.3">
      <c r="E103" s="20">
        <v>82</v>
      </c>
      <c r="F103" s="72">
        <f t="shared" si="9"/>
        <v>44377644.505123422</v>
      </c>
      <c r="G103" s="72">
        <f t="shared" si="10"/>
        <v>295850.96336748952</v>
      </c>
      <c r="H103" s="72">
        <f t="shared" si="11"/>
        <v>385908.10968650255</v>
      </c>
      <c r="I103" s="72">
        <f t="shared" si="12"/>
        <v>44287587.358804412</v>
      </c>
      <c r="K103">
        <f t="shared" si="4"/>
        <v>82</v>
      </c>
      <c r="L103" s="23">
        <f t="shared" si="5"/>
        <v>39742308.316533431</v>
      </c>
      <c r="M103" s="23">
        <f t="shared" si="6"/>
        <v>264948.72211022291</v>
      </c>
      <c r="N103" s="23">
        <f t="shared" si="7"/>
        <v>345599.21438013314</v>
      </c>
      <c r="O103" s="23">
        <f t="shared" si="8"/>
        <v>39661657.824263521</v>
      </c>
    </row>
    <row r="104" spans="5:15" x14ac:dyDescent="0.3">
      <c r="E104" s="20">
        <v>83</v>
      </c>
      <c r="F104" s="72">
        <f t="shared" si="9"/>
        <v>44287587.358804412</v>
      </c>
      <c r="G104" s="72">
        <f t="shared" si="10"/>
        <v>295250.58239202941</v>
      </c>
      <c r="H104" s="72">
        <f t="shared" si="11"/>
        <v>385908.10968650255</v>
      </c>
      <c r="I104" s="72">
        <f t="shared" si="12"/>
        <v>44196929.83150994</v>
      </c>
      <c r="K104">
        <f t="shared" si="4"/>
        <v>83</v>
      </c>
      <c r="L104" s="23">
        <f t="shared" si="5"/>
        <v>39661657.824263521</v>
      </c>
      <c r="M104" s="23">
        <f t="shared" si="6"/>
        <v>264411.05216175684</v>
      </c>
      <c r="N104" s="23">
        <f t="shared" si="7"/>
        <v>345599.21438013314</v>
      </c>
      <c r="O104" s="23">
        <f t="shared" si="8"/>
        <v>39580469.662045144</v>
      </c>
    </row>
    <row r="105" spans="5:15" x14ac:dyDescent="0.3">
      <c r="E105" s="20">
        <v>84</v>
      </c>
      <c r="F105" s="72">
        <f t="shared" si="9"/>
        <v>44196929.83150994</v>
      </c>
      <c r="G105" s="72">
        <f t="shared" si="10"/>
        <v>294646.19887673296</v>
      </c>
      <c r="H105" s="72">
        <f t="shared" si="11"/>
        <v>385908.10968650255</v>
      </c>
      <c r="I105" s="72">
        <f t="shared" si="12"/>
        <v>44105667.92070017</v>
      </c>
      <c r="K105">
        <f t="shared" si="4"/>
        <v>84</v>
      </c>
      <c r="L105" s="23">
        <f t="shared" si="5"/>
        <v>39580469.662045144</v>
      </c>
      <c r="M105" s="23">
        <f t="shared" si="6"/>
        <v>263869.79774696764</v>
      </c>
      <c r="N105" s="23">
        <f t="shared" si="7"/>
        <v>345599.21438013314</v>
      </c>
      <c r="O105" s="23">
        <f t="shared" si="8"/>
        <v>39498740.245411985</v>
      </c>
    </row>
    <row r="106" spans="5:15" x14ac:dyDescent="0.3">
      <c r="E106" s="20">
        <v>85</v>
      </c>
      <c r="F106" s="72">
        <f t="shared" si="9"/>
        <v>44105667.92070017</v>
      </c>
      <c r="G106" s="72">
        <f t="shared" si="10"/>
        <v>294037.78613800113</v>
      </c>
      <c r="H106" s="72">
        <f t="shared" si="11"/>
        <v>385908.10968650255</v>
      </c>
      <c r="I106" s="72">
        <f t="shared" si="12"/>
        <v>44013797.597151667</v>
      </c>
      <c r="K106">
        <f t="shared" si="4"/>
        <v>85</v>
      </c>
      <c r="L106" s="23">
        <f t="shared" si="5"/>
        <v>39498740.245411985</v>
      </c>
      <c r="M106" s="23">
        <f t="shared" si="6"/>
        <v>263324.93496941327</v>
      </c>
      <c r="N106" s="23">
        <f t="shared" si="7"/>
        <v>345599.21438013314</v>
      </c>
      <c r="O106" s="23">
        <f t="shared" si="8"/>
        <v>39416465.966001265</v>
      </c>
    </row>
    <row r="107" spans="5:15" x14ac:dyDescent="0.3">
      <c r="E107" s="20">
        <v>86</v>
      </c>
      <c r="F107" s="72">
        <f t="shared" si="9"/>
        <v>44013797.597151667</v>
      </c>
      <c r="G107" s="72">
        <f t="shared" si="10"/>
        <v>293425.31731434446</v>
      </c>
      <c r="H107" s="72">
        <f t="shared" si="11"/>
        <v>385908.10968650255</v>
      </c>
      <c r="I107" s="72">
        <f t="shared" si="12"/>
        <v>43921314.804779507</v>
      </c>
      <c r="K107">
        <f t="shared" si="4"/>
        <v>86</v>
      </c>
      <c r="L107" s="23">
        <f t="shared" si="5"/>
        <v>39416465.966001265</v>
      </c>
      <c r="M107" s="23">
        <f t="shared" si="6"/>
        <v>262776.43977334176</v>
      </c>
      <c r="N107" s="23">
        <f t="shared" si="7"/>
        <v>345599.21438013314</v>
      </c>
      <c r="O107" s="23">
        <f t="shared" si="8"/>
        <v>39333643.191394478</v>
      </c>
    </row>
    <row r="108" spans="5:15" x14ac:dyDescent="0.3">
      <c r="E108" s="20">
        <v>87</v>
      </c>
      <c r="F108" s="72">
        <f t="shared" si="9"/>
        <v>43921314.804779507</v>
      </c>
      <c r="G108" s="72">
        <f t="shared" si="10"/>
        <v>292808.76536519674</v>
      </c>
      <c r="H108" s="72">
        <f t="shared" si="11"/>
        <v>385908.10968650255</v>
      </c>
      <c r="I108" s="72">
        <f t="shared" si="12"/>
        <v>43828215.460458204</v>
      </c>
      <c r="K108">
        <f t="shared" si="4"/>
        <v>87</v>
      </c>
      <c r="L108" s="23">
        <f t="shared" si="5"/>
        <v>39333643.191394478</v>
      </c>
      <c r="M108" s="23">
        <f t="shared" si="6"/>
        <v>262224.28794262989</v>
      </c>
      <c r="N108" s="23">
        <f t="shared" si="7"/>
        <v>345599.21438013314</v>
      </c>
      <c r="O108" s="23">
        <f t="shared" si="8"/>
        <v>39250268.264956981</v>
      </c>
    </row>
    <row r="109" spans="5:15" x14ac:dyDescent="0.3">
      <c r="E109" s="20">
        <v>88</v>
      </c>
      <c r="F109" s="72">
        <f t="shared" si="9"/>
        <v>43828215.460458204</v>
      </c>
      <c r="G109" s="72">
        <f t="shared" si="10"/>
        <v>292188.10306972137</v>
      </c>
      <c r="H109" s="72">
        <f t="shared" si="11"/>
        <v>385908.10968650255</v>
      </c>
      <c r="I109" s="72">
        <f t="shared" si="12"/>
        <v>43734495.453841425</v>
      </c>
      <c r="K109">
        <f t="shared" si="4"/>
        <v>88</v>
      </c>
      <c r="L109" s="23">
        <f t="shared" si="5"/>
        <v>39250268.264956981</v>
      </c>
      <c r="M109" s="23">
        <f t="shared" si="6"/>
        <v>261668.45509971323</v>
      </c>
      <c r="N109" s="23">
        <f t="shared" si="7"/>
        <v>345599.21438013314</v>
      </c>
      <c r="O109" s="23">
        <f t="shared" si="8"/>
        <v>39166337.505676568</v>
      </c>
    </row>
    <row r="110" spans="5:15" x14ac:dyDescent="0.3">
      <c r="E110" s="20">
        <v>89</v>
      </c>
      <c r="F110" s="72">
        <f t="shared" si="9"/>
        <v>43734495.453841425</v>
      </c>
      <c r="G110" s="72">
        <f t="shared" si="10"/>
        <v>291563.30302560952</v>
      </c>
      <c r="H110" s="72">
        <f t="shared" si="11"/>
        <v>385908.10968650255</v>
      </c>
      <c r="I110" s="72">
        <f t="shared" si="12"/>
        <v>43640150.647180535</v>
      </c>
      <c r="K110">
        <f t="shared" si="4"/>
        <v>89</v>
      </c>
      <c r="L110" s="23">
        <f t="shared" si="5"/>
        <v>39166337.505676568</v>
      </c>
      <c r="M110" s="23">
        <f t="shared" si="6"/>
        <v>261108.91670451046</v>
      </c>
      <c r="N110" s="23">
        <f t="shared" si="7"/>
        <v>345599.21438013314</v>
      </c>
      <c r="O110" s="23">
        <f t="shared" si="8"/>
        <v>39081847.208000951</v>
      </c>
    </row>
    <row r="111" spans="5:15" x14ac:dyDescent="0.3">
      <c r="E111" s="20">
        <v>90</v>
      </c>
      <c r="F111" s="72">
        <f t="shared" si="9"/>
        <v>43640150.647180535</v>
      </c>
      <c r="G111" s="72">
        <f t="shared" si="10"/>
        <v>290934.33764787024</v>
      </c>
      <c r="H111" s="72">
        <f t="shared" si="11"/>
        <v>385908.10968650255</v>
      </c>
      <c r="I111" s="72">
        <f t="shared" si="12"/>
        <v>43545176.875141904</v>
      </c>
      <c r="K111">
        <f t="shared" si="4"/>
        <v>90</v>
      </c>
      <c r="L111" s="23">
        <f t="shared" si="5"/>
        <v>39081847.208000951</v>
      </c>
      <c r="M111" s="23">
        <f t="shared" si="6"/>
        <v>260545.64805333968</v>
      </c>
      <c r="N111" s="23">
        <f t="shared" si="7"/>
        <v>345599.21438013314</v>
      </c>
      <c r="O111" s="23">
        <f t="shared" si="8"/>
        <v>38996793.641674161</v>
      </c>
    </row>
    <row r="112" spans="5:15" x14ac:dyDescent="0.3">
      <c r="E112" s="20">
        <v>91</v>
      </c>
      <c r="F112" s="72">
        <f t="shared" si="9"/>
        <v>43545176.875141904</v>
      </c>
      <c r="G112" s="72">
        <f t="shared" si="10"/>
        <v>290301.17916761269</v>
      </c>
      <c r="H112" s="72">
        <f t="shared" si="11"/>
        <v>385908.10968650255</v>
      </c>
      <c r="I112" s="72">
        <f t="shared" si="12"/>
        <v>43449569.944623016</v>
      </c>
      <c r="K112">
        <f t="shared" si="4"/>
        <v>91</v>
      </c>
      <c r="L112" s="23">
        <f t="shared" si="5"/>
        <v>38996793.641674161</v>
      </c>
      <c r="M112" s="23">
        <f t="shared" si="6"/>
        <v>259978.62427782777</v>
      </c>
      <c r="N112" s="23">
        <f t="shared" si="7"/>
        <v>345599.21438013314</v>
      </c>
      <c r="O112" s="23">
        <f t="shared" si="8"/>
        <v>38911173.051571861</v>
      </c>
    </row>
    <row r="113" spans="5:15" x14ac:dyDescent="0.3">
      <c r="E113" s="20">
        <v>92</v>
      </c>
      <c r="F113" s="72">
        <f t="shared" si="9"/>
        <v>43449569.944623016</v>
      </c>
      <c r="G113" s="72">
        <f t="shared" si="10"/>
        <v>289663.79963082011</v>
      </c>
      <c r="H113" s="72">
        <f t="shared" si="11"/>
        <v>385908.10968650255</v>
      </c>
      <c r="I113" s="72">
        <f t="shared" si="12"/>
        <v>43353325.634567335</v>
      </c>
      <c r="K113">
        <f t="shared" si="4"/>
        <v>92</v>
      </c>
      <c r="L113" s="23">
        <f t="shared" si="5"/>
        <v>38911173.051571861</v>
      </c>
      <c r="M113" s="23">
        <f t="shared" si="6"/>
        <v>259407.82034381243</v>
      </c>
      <c r="N113" s="23">
        <f t="shared" si="7"/>
        <v>345599.21438013314</v>
      </c>
      <c r="O113" s="23">
        <f t="shared" si="8"/>
        <v>38824981.657535546</v>
      </c>
    </row>
    <row r="114" spans="5:15" x14ac:dyDescent="0.3">
      <c r="E114" s="20">
        <v>93</v>
      </c>
      <c r="F114" s="72">
        <f t="shared" si="9"/>
        <v>43353325.634567335</v>
      </c>
      <c r="G114" s="72">
        <f t="shared" si="10"/>
        <v>289022.1708971156</v>
      </c>
      <c r="H114" s="72">
        <f t="shared" si="11"/>
        <v>385908.10968650255</v>
      </c>
      <c r="I114" s="72">
        <f t="shared" si="12"/>
        <v>43256439.695777953</v>
      </c>
      <c r="K114">
        <f t="shared" si="4"/>
        <v>93</v>
      </c>
      <c r="L114" s="23">
        <f t="shared" si="5"/>
        <v>38824981.657535546</v>
      </c>
      <c r="M114" s="23">
        <f t="shared" si="6"/>
        <v>258833.21105023698</v>
      </c>
      <c r="N114" s="23">
        <f t="shared" si="7"/>
        <v>345599.21438013314</v>
      </c>
      <c r="O114" s="23">
        <f t="shared" si="8"/>
        <v>38738215.65420565</v>
      </c>
    </row>
    <row r="115" spans="5:15" x14ac:dyDescent="0.3">
      <c r="E115" s="20">
        <v>94</v>
      </c>
      <c r="F115" s="72">
        <f t="shared" si="9"/>
        <v>43256439.695777953</v>
      </c>
      <c r="G115" s="72">
        <f t="shared" si="10"/>
        <v>288376.26463851973</v>
      </c>
      <c r="H115" s="72">
        <f t="shared" si="11"/>
        <v>385908.10968650255</v>
      </c>
      <c r="I115" s="72">
        <f t="shared" si="12"/>
        <v>43158907.850729972</v>
      </c>
      <c r="K115">
        <f t="shared" si="4"/>
        <v>94</v>
      </c>
      <c r="L115" s="23">
        <f t="shared" si="5"/>
        <v>38738215.65420565</v>
      </c>
      <c r="M115" s="23">
        <f t="shared" si="6"/>
        <v>258254.77102803768</v>
      </c>
      <c r="N115" s="23">
        <f t="shared" si="7"/>
        <v>345599.21438013314</v>
      </c>
      <c r="O115" s="23">
        <f t="shared" si="8"/>
        <v>38650871.210853554</v>
      </c>
    </row>
    <row r="116" spans="5:15" x14ac:dyDescent="0.3">
      <c r="E116" s="20">
        <v>95</v>
      </c>
      <c r="F116" s="72">
        <f t="shared" si="9"/>
        <v>43158907.850729972</v>
      </c>
      <c r="G116" s="72">
        <f t="shared" si="10"/>
        <v>287726.05233819981</v>
      </c>
      <c r="H116" s="72">
        <f t="shared" si="11"/>
        <v>385908.10968650255</v>
      </c>
      <c r="I116" s="72">
        <f t="shared" si="12"/>
        <v>43060725.793381669</v>
      </c>
      <c r="K116">
        <f t="shared" si="4"/>
        <v>95</v>
      </c>
      <c r="L116" s="23">
        <f t="shared" si="5"/>
        <v>38650871.210853554</v>
      </c>
      <c r="M116" s="23">
        <f t="shared" si="6"/>
        <v>257672.47473902372</v>
      </c>
      <c r="N116" s="23">
        <f t="shared" si="7"/>
        <v>345599.21438013314</v>
      </c>
      <c r="O116" s="23">
        <f t="shared" si="8"/>
        <v>38562944.471212447</v>
      </c>
    </row>
    <row r="117" spans="5:15" x14ac:dyDescent="0.3">
      <c r="E117" s="20">
        <v>96</v>
      </c>
      <c r="F117" s="72">
        <f t="shared" si="9"/>
        <v>43060725.793381669</v>
      </c>
      <c r="G117" s="72">
        <f t="shared" si="10"/>
        <v>287071.50528921117</v>
      </c>
      <c r="H117" s="72">
        <f t="shared" si="11"/>
        <v>385908.10968650255</v>
      </c>
      <c r="I117" s="72">
        <f t="shared" si="12"/>
        <v>42961889.188984379</v>
      </c>
      <c r="K117">
        <f t="shared" si="4"/>
        <v>96</v>
      </c>
      <c r="L117" s="23">
        <f t="shared" si="5"/>
        <v>38562944.471212447</v>
      </c>
      <c r="M117" s="23">
        <f t="shared" si="6"/>
        <v>257086.29647474966</v>
      </c>
      <c r="N117" s="23">
        <f t="shared" si="7"/>
        <v>345599.21438013314</v>
      </c>
      <c r="O117" s="23">
        <f t="shared" si="8"/>
        <v>38474431.553307064</v>
      </c>
    </row>
    <row r="118" spans="5:15" x14ac:dyDescent="0.3">
      <c r="E118" s="20">
        <v>97</v>
      </c>
      <c r="F118" s="72">
        <f t="shared" si="9"/>
        <v>42961889.188984379</v>
      </c>
      <c r="G118" s="72">
        <f t="shared" si="10"/>
        <v>286412.59459322924</v>
      </c>
      <c r="H118" s="72">
        <f t="shared" si="11"/>
        <v>385908.10968650255</v>
      </c>
      <c r="I118" s="72">
        <f t="shared" si="12"/>
        <v>42862393.673891105</v>
      </c>
      <c r="K118">
        <f t="shared" si="4"/>
        <v>97</v>
      </c>
      <c r="L118" s="23">
        <f t="shared" si="5"/>
        <v>38474431.553307064</v>
      </c>
      <c r="M118" s="23">
        <f t="shared" si="6"/>
        <v>256496.21035538043</v>
      </c>
      <c r="N118" s="23">
        <f t="shared" si="7"/>
        <v>345599.21438013314</v>
      </c>
      <c r="O118" s="23">
        <f t="shared" si="8"/>
        <v>38385328.549282312</v>
      </c>
    </row>
    <row r="119" spans="5:15" x14ac:dyDescent="0.3">
      <c r="E119" s="20">
        <v>98</v>
      </c>
      <c r="F119" s="72">
        <f t="shared" si="9"/>
        <v>42862393.673891105</v>
      </c>
      <c r="G119" s="72">
        <f t="shared" si="10"/>
        <v>285749.29115927406</v>
      </c>
      <c r="H119" s="72">
        <f t="shared" si="11"/>
        <v>385908.10968650255</v>
      </c>
      <c r="I119" s="72">
        <f t="shared" si="12"/>
        <v>42762234.855363876</v>
      </c>
      <c r="K119">
        <f t="shared" si="4"/>
        <v>98</v>
      </c>
      <c r="L119" s="23">
        <f t="shared" si="5"/>
        <v>38385328.549282312</v>
      </c>
      <c r="M119" s="23">
        <f t="shared" si="6"/>
        <v>255902.19032854878</v>
      </c>
      <c r="N119" s="23">
        <f t="shared" si="7"/>
        <v>345599.21438013314</v>
      </c>
      <c r="O119" s="23">
        <f t="shared" si="8"/>
        <v>38295631.525230728</v>
      </c>
    </row>
    <row r="120" spans="5:15" x14ac:dyDescent="0.3">
      <c r="E120" s="20">
        <v>99</v>
      </c>
      <c r="F120" s="72">
        <f t="shared" si="9"/>
        <v>42762234.855363876</v>
      </c>
      <c r="G120" s="72">
        <f t="shared" si="10"/>
        <v>285081.56570242584</v>
      </c>
      <c r="H120" s="72">
        <f t="shared" si="11"/>
        <v>385908.10968650255</v>
      </c>
      <c r="I120" s="72">
        <f t="shared" si="12"/>
        <v>42661408.311379798</v>
      </c>
      <c r="K120">
        <f t="shared" si="4"/>
        <v>99</v>
      </c>
      <c r="L120" s="23">
        <f t="shared" si="5"/>
        <v>38295631.525230728</v>
      </c>
      <c r="M120" s="23">
        <f t="shared" si="6"/>
        <v>255304.21016820488</v>
      </c>
      <c r="N120" s="23">
        <f t="shared" si="7"/>
        <v>345599.21438013314</v>
      </c>
      <c r="O120" s="23">
        <f t="shared" si="8"/>
        <v>38205336.521018803</v>
      </c>
    </row>
    <row r="121" spans="5:15" x14ac:dyDescent="0.3">
      <c r="E121" s="20">
        <v>100</v>
      </c>
      <c r="F121" s="72">
        <f t="shared" si="9"/>
        <v>42661408.311379798</v>
      </c>
      <c r="G121" s="72">
        <f t="shared" si="10"/>
        <v>284409.388742532</v>
      </c>
      <c r="H121" s="72">
        <f t="shared" si="11"/>
        <v>385908.10968650255</v>
      </c>
      <c r="I121" s="72">
        <f t="shared" si="12"/>
        <v>42559909.590435825</v>
      </c>
      <c r="K121">
        <f t="shared" si="4"/>
        <v>100</v>
      </c>
      <c r="L121" s="23">
        <f t="shared" si="5"/>
        <v>38205336.521018803</v>
      </c>
      <c r="M121" s="23">
        <f t="shared" si="6"/>
        <v>254702.24347345872</v>
      </c>
      <c r="N121" s="23">
        <f t="shared" si="7"/>
        <v>345599.21438013314</v>
      </c>
      <c r="O121" s="23">
        <f t="shared" si="8"/>
        <v>38114439.550112128</v>
      </c>
    </row>
    <row r="122" spans="5:15" x14ac:dyDescent="0.3">
      <c r="E122" s="20">
        <v>101</v>
      </c>
      <c r="F122" s="72">
        <f t="shared" si="9"/>
        <v>42559909.590435825</v>
      </c>
      <c r="G122" s="72">
        <f t="shared" si="10"/>
        <v>283732.7306029055</v>
      </c>
      <c r="H122" s="72">
        <f t="shared" si="11"/>
        <v>385908.10968650255</v>
      </c>
      <c r="I122" s="72">
        <f t="shared" si="12"/>
        <v>42457734.211352229</v>
      </c>
      <c r="K122">
        <f t="shared" si="4"/>
        <v>101</v>
      </c>
      <c r="L122" s="23">
        <f t="shared" si="5"/>
        <v>38114439.550112128</v>
      </c>
      <c r="M122" s="23">
        <f t="shared" si="6"/>
        <v>254096.2636674142</v>
      </c>
      <c r="N122" s="23">
        <f t="shared" si="7"/>
        <v>345599.21438013314</v>
      </c>
      <c r="O122" s="23">
        <f t="shared" si="8"/>
        <v>38022936.59939941</v>
      </c>
    </row>
    <row r="123" spans="5:15" x14ac:dyDescent="0.3">
      <c r="E123" s="20">
        <v>102</v>
      </c>
      <c r="F123" s="72">
        <f t="shared" si="9"/>
        <v>42457734.211352229</v>
      </c>
      <c r="G123" s="72">
        <f t="shared" si="10"/>
        <v>283051.56140901486</v>
      </c>
      <c r="H123" s="72">
        <f t="shared" si="11"/>
        <v>385908.10968650255</v>
      </c>
      <c r="I123" s="72">
        <f t="shared" si="12"/>
        <v>42354877.663074739</v>
      </c>
      <c r="K123">
        <f t="shared" si="4"/>
        <v>102</v>
      </c>
      <c r="L123" s="23">
        <f t="shared" si="5"/>
        <v>38022936.59939941</v>
      </c>
      <c r="M123" s="23">
        <f t="shared" si="6"/>
        <v>253486.24399599608</v>
      </c>
      <c r="N123" s="23">
        <f t="shared" si="7"/>
        <v>345599.21438013314</v>
      </c>
      <c r="O123" s="23">
        <f t="shared" si="8"/>
        <v>37930823.629015274</v>
      </c>
    </row>
    <row r="124" spans="5:15" x14ac:dyDescent="0.3">
      <c r="E124" s="20">
        <v>103</v>
      </c>
      <c r="F124" s="72">
        <f t="shared" si="9"/>
        <v>42354877.663074739</v>
      </c>
      <c r="G124" s="72">
        <f t="shared" si="10"/>
        <v>282365.85108716495</v>
      </c>
      <c r="H124" s="72">
        <f t="shared" si="11"/>
        <v>385908.10968650255</v>
      </c>
      <c r="I124" s="72">
        <f t="shared" si="12"/>
        <v>42251335.404475406</v>
      </c>
      <c r="K124">
        <f t="shared" ref="K124:K187" si="13">E124</f>
        <v>103</v>
      </c>
      <c r="L124" s="23">
        <f t="shared" ref="L124:L187" si="14">O123</f>
        <v>37930823.629015274</v>
      </c>
      <c r="M124" s="23">
        <f t="shared" ref="M124:M187" si="15">L124*$K$13</f>
        <v>252872.15752676851</v>
      </c>
      <c r="N124" s="23">
        <f t="shared" ref="N124:N187" si="16">ABS($O$57)</f>
        <v>345599.21438013314</v>
      </c>
      <c r="O124" s="23">
        <f t="shared" ref="O124:O187" si="17">L124+M124-N124</f>
        <v>37838096.572161913</v>
      </c>
    </row>
    <row r="125" spans="5:15" x14ac:dyDescent="0.3">
      <c r="E125" s="20">
        <v>104</v>
      </c>
      <c r="F125" s="72">
        <f t="shared" si="9"/>
        <v>42251335.404475406</v>
      </c>
      <c r="G125" s="72">
        <f t="shared" si="10"/>
        <v>281675.56936316937</v>
      </c>
      <c r="H125" s="72">
        <f t="shared" si="11"/>
        <v>385908.10968650255</v>
      </c>
      <c r="I125" s="72">
        <f t="shared" si="12"/>
        <v>42147102.864152074</v>
      </c>
      <c r="K125">
        <f t="shared" si="13"/>
        <v>104</v>
      </c>
      <c r="L125" s="23">
        <f t="shared" si="14"/>
        <v>37838096.572161913</v>
      </c>
      <c r="M125" s="23">
        <f t="shared" si="15"/>
        <v>252253.9771477461</v>
      </c>
      <c r="N125" s="23">
        <f t="shared" si="16"/>
        <v>345599.21438013314</v>
      </c>
      <c r="O125" s="23">
        <f t="shared" si="17"/>
        <v>37744751.334929526</v>
      </c>
    </row>
    <row r="126" spans="5:15" x14ac:dyDescent="0.3">
      <c r="E126" s="20">
        <v>105</v>
      </c>
      <c r="F126" s="72">
        <f t="shared" si="9"/>
        <v>42147102.864152074</v>
      </c>
      <c r="G126" s="72">
        <f t="shared" si="10"/>
        <v>280980.68576101382</v>
      </c>
      <c r="H126" s="72">
        <f t="shared" si="11"/>
        <v>385908.10968650255</v>
      </c>
      <c r="I126" s="72">
        <f t="shared" si="12"/>
        <v>42042175.440226585</v>
      </c>
      <c r="K126">
        <f t="shared" si="13"/>
        <v>105</v>
      </c>
      <c r="L126" s="23">
        <f t="shared" si="14"/>
        <v>37744751.334929526</v>
      </c>
      <c r="M126" s="23">
        <f t="shared" si="15"/>
        <v>251631.67556619685</v>
      </c>
      <c r="N126" s="23">
        <f t="shared" si="16"/>
        <v>345599.21438013314</v>
      </c>
      <c r="O126" s="23">
        <f t="shared" si="17"/>
        <v>37650783.796115592</v>
      </c>
    </row>
    <row r="127" spans="5:15" x14ac:dyDescent="0.3">
      <c r="E127" s="20">
        <v>106</v>
      </c>
      <c r="F127" s="72">
        <f t="shared" si="9"/>
        <v>42042175.440226585</v>
      </c>
      <c r="G127" s="72">
        <f t="shared" si="10"/>
        <v>280281.16960151057</v>
      </c>
      <c r="H127" s="72">
        <f t="shared" si="11"/>
        <v>385908.10968650255</v>
      </c>
      <c r="I127" s="72">
        <f t="shared" si="12"/>
        <v>41936548.500141591</v>
      </c>
      <c r="K127">
        <f t="shared" si="13"/>
        <v>106</v>
      </c>
      <c r="L127" s="23">
        <f t="shared" si="14"/>
        <v>37650783.796115592</v>
      </c>
      <c r="M127" s="23">
        <f t="shared" si="15"/>
        <v>251005.2253074373</v>
      </c>
      <c r="N127" s="23">
        <f t="shared" si="16"/>
        <v>345599.21438013314</v>
      </c>
      <c r="O127" s="23">
        <f t="shared" si="17"/>
        <v>37556189.807042897</v>
      </c>
    </row>
    <row r="128" spans="5:15" x14ac:dyDescent="0.3">
      <c r="E128" s="20">
        <v>107</v>
      </c>
      <c r="F128" s="72">
        <f t="shared" si="9"/>
        <v>41936548.500141591</v>
      </c>
      <c r="G128" s="72">
        <f t="shared" si="10"/>
        <v>279576.99000094394</v>
      </c>
      <c r="H128" s="72">
        <f t="shared" si="11"/>
        <v>385908.10968650255</v>
      </c>
      <c r="I128" s="72">
        <f t="shared" si="12"/>
        <v>41830217.38045603</v>
      </c>
      <c r="K128">
        <f t="shared" si="13"/>
        <v>107</v>
      </c>
      <c r="L128" s="23">
        <f t="shared" si="14"/>
        <v>37556189.807042897</v>
      </c>
      <c r="M128" s="23">
        <f t="shared" si="15"/>
        <v>250374.59871361931</v>
      </c>
      <c r="N128" s="23">
        <f t="shared" si="16"/>
        <v>345599.21438013314</v>
      </c>
      <c r="O128" s="23">
        <f t="shared" si="17"/>
        <v>37460965.191376388</v>
      </c>
    </row>
    <row r="129" spans="5:15" x14ac:dyDescent="0.3">
      <c r="E129" s="20">
        <v>108</v>
      </c>
      <c r="F129" s="72">
        <f t="shared" si="9"/>
        <v>41830217.38045603</v>
      </c>
      <c r="G129" s="72">
        <f t="shared" si="10"/>
        <v>278868.1158697069</v>
      </c>
      <c r="H129" s="72">
        <f t="shared" si="11"/>
        <v>385908.10968650255</v>
      </c>
      <c r="I129" s="72">
        <f t="shared" si="12"/>
        <v>41723177.386639237</v>
      </c>
      <c r="K129">
        <f t="shared" si="13"/>
        <v>108</v>
      </c>
      <c r="L129" s="23">
        <f t="shared" si="14"/>
        <v>37460965.191376388</v>
      </c>
      <c r="M129" s="23">
        <f t="shared" si="15"/>
        <v>249739.76794250926</v>
      </c>
      <c r="N129" s="23">
        <f t="shared" si="16"/>
        <v>345599.21438013314</v>
      </c>
      <c r="O129" s="23">
        <f t="shared" si="17"/>
        <v>37365105.744938768</v>
      </c>
    </row>
    <row r="130" spans="5:15" x14ac:dyDescent="0.3">
      <c r="E130" s="20">
        <v>109</v>
      </c>
      <c r="F130" s="72">
        <f t="shared" si="9"/>
        <v>41723177.386639237</v>
      </c>
      <c r="G130" s="72">
        <f t="shared" si="10"/>
        <v>278154.51591092825</v>
      </c>
      <c r="H130" s="72">
        <f t="shared" si="11"/>
        <v>385908.10968650255</v>
      </c>
      <c r="I130" s="72">
        <f t="shared" si="12"/>
        <v>41615423.792863667</v>
      </c>
      <c r="K130">
        <f t="shared" si="13"/>
        <v>109</v>
      </c>
      <c r="L130" s="23">
        <f t="shared" si="14"/>
        <v>37365105.744938768</v>
      </c>
      <c r="M130" s="23">
        <f t="shared" si="15"/>
        <v>249100.70496625846</v>
      </c>
      <c r="N130" s="23">
        <f t="shared" si="16"/>
        <v>345599.21438013314</v>
      </c>
      <c r="O130" s="23">
        <f t="shared" si="17"/>
        <v>37268607.2355249</v>
      </c>
    </row>
    <row r="131" spans="5:15" x14ac:dyDescent="0.3">
      <c r="E131" s="20">
        <v>110</v>
      </c>
      <c r="F131" s="72">
        <f t="shared" si="9"/>
        <v>41615423.792863667</v>
      </c>
      <c r="G131" s="72">
        <f t="shared" si="10"/>
        <v>277436.15861909115</v>
      </c>
      <c r="H131" s="72">
        <f t="shared" si="11"/>
        <v>385908.10968650255</v>
      </c>
      <c r="I131" s="72">
        <f t="shared" si="12"/>
        <v>41506951.841796257</v>
      </c>
      <c r="K131">
        <f t="shared" si="13"/>
        <v>110</v>
      </c>
      <c r="L131" s="23">
        <f t="shared" si="14"/>
        <v>37268607.2355249</v>
      </c>
      <c r="M131" s="23">
        <f t="shared" si="15"/>
        <v>248457.38157016601</v>
      </c>
      <c r="N131" s="23">
        <f t="shared" si="16"/>
        <v>345599.21438013314</v>
      </c>
      <c r="O131" s="23">
        <f t="shared" si="17"/>
        <v>37171465.402714938</v>
      </c>
    </row>
    <row r="132" spans="5:15" x14ac:dyDescent="0.3">
      <c r="E132" s="20">
        <v>111</v>
      </c>
      <c r="F132" s="72">
        <f t="shared" si="9"/>
        <v>41506951.841796257</v>
      </c>
      <c r="G132" s="72">
        <f t="shared" si="10"/>
        <v>276713.01227864175</v>
      </c>
      <c r="H132" s="72">
        <f t="shared" si="11"/>
        <v>385908.10968650255</v>
      </c>
      <c r="I132" s="72">
        <f t="shared" si="12"/>
        <v>41397756.744388394</v>
      </c>
      <c r="K132">
        <f t="shared" si="13"/>
        <v>111</v>
      </c>
      <c r="L132" s="23">
        <f t="shared" si="14"/>
        <v>37171465.402714938</v>
      </c>
      <c r="M132" s="23">
        <f t="shared" si="15"/>
        <v>247809.76935143294</v>
      </c>
      <c r="N132" s="23">
        <f t="shared" si="16"/>
        <v>345599.21438013314</v>
      </c>
      <c r="O132" s="23">
        <f t="shared" si="17"/>
        <v>37073675.957686238</v>
      </c>
    </row>
    <row r="133" spans="5:15" x14ac:dyDescent="0.3">
      <c r="E133" s="20">
        <v>112</v>
      </c>
      <c r="F133" s="72">
        <f t="shared" si="9"/>
        <v>41397756.744388394</v>
      </c>
      <c r="G133" s="72">
        <f t="shared" si="10"/>
        <v>275985.04496258934</v>
      </c>
      <c r="H133" s="72">
        <f t="shared" si="11"/>
        <v>385908.10968650255</v>
      </c>
      <c r="I133" s="72">
        <f t="shared" si="12"/>
        <v>41287833.679664485</v>
      </c>
      <c r="K133">
        <f t="shared" si="13"/>
        <v>112</v>
      </c>
      <c r="L133" s="23">
        <f t="shared" si="14"/>
        <v>37073675.957686238</v>
      </c>
      <c r="M133" s="23">
        <f t="shared" si="15"/>
        <v>247157.83971790827</v>
      </c>
      <c r="N133" s="23">
        <f t="shared" si="16"/>
        <v>345599.21438013314</v>
      </c>
      <c r="O133" s="23">
        <f t="shared" si="17"/>
        <v>36975234.583024018</v>
      </c>
    </row>
    <row r="134" spans="5:15" x14ac:dyDescent="0.3">
      <c r="E134" s="20">
        <v>113</v>
      </c>
      <c r="F134" s="72">
        <f t="shared" si="9"/>
        <v>41287833.679664485</v>
      </c>
      <c r="G134" s="72">
        <f t="shared" si="10"/>
        <v>275252.22453109658</v>
      </c>
      <c r="H134" s="72">
        <f t="shared" si="11"/>
        <v>385908.10968650255</v>
      </c>
      <c r="I134" s="72">
        <f t="shared" si="12"/>
        <v>41177177.794509083</v>
      </c>
      <c r="K134">
        <f t="shared" si="13"/>
        <v>113</v>
      </c>
      <c r="L134" s="23">
        <f t="shared" si="14"/>
        <v>36975234.583024018</v>
      </c>
      <c r="M134" s="23">
        <f t="shared" si="15"/>
        <v>246501.5638868268</v>
      </c>
      <c r="N134" s="23">
        <f t="shared" si="16"/>
        <v>345599.21438013314</v>
      </c>
      <c r="O134" s="23">
        <f t="shared" si="17"/>
        <v>36876136.932530716</v>
      </c>
    </row>
    <row r="135" spans="5:15" x14ac:dyDescent="0.3">
      <c r="E135" s="20">
        <v>114</v>
      </c>
      <c r="F135" s="72">
        <f t="shared" si="9"/>
        <v>41177177.794509083</v>
      </c>
      <c r="G135" s="72">
        <f t="shared" si="10"/>
        <v>274514.5186300606</v>
      </c>
      <c r="H135" s="72">
        <f t="shared" si="11"/>
        <v>385908.10968650255</v>
      </c>
      <c r="I135" s="72">
        <f t="shared" si="12"/>
        <v>41065784.203452639</v>
      </c>
      <c r="K135">
        <f t="shared" si="13"/>
        <v>114</v>
      </c>
      <c r="L135" s="23">
        <f t="shared" si="14"/>
        <v>36876136.932530716</v>
      </c>
      <c r="M135" s="23">
        <f t="shared" si="15"/>
        <v>245840.91288353811</v>
      </c>
      <c r="N135" s="23">
        <f t="shared" si="16"/>
        <v>345599.21438013314</v>
      </c>
      <c r="O135" s="23">
        <f t="shared" si="17"/>
        <v>36776378.631034121</v>
      </c>
    </row>
    <row r="136" spans="5:15" x14ac:dyDescent="0.3">
      <c r="E136" s="20">
        <v>115</v>
      </c>
      <c r="F136" s="72">
        <f t="shared" si="9"/>
        <v>41065784.203452639</v>
      </c>
      <c r="G136" s="72">
        <f t="shared" si="10"/>
        <v>273771.89468968427</v>
      </c>
      <c r="H136" s="72">
        <f t="shared" si="11"/>
        <v>385908.10968650255</v>
      </c>
      <c r="I136" s="72">
        <f t="shared" si="12"/>
        <v>40953647.988455825</v>
      </c>
      <c r="K136">
        <f t="shared" si="13"/>
        <v>115</v>
      </c>
      <c r="L136" s="23">
        <f t="shared" si="14"/>
        <v>36776378.631034121</v>
      </c>
      <c r="M136" s="23">
        <f t="shared" si="15"/>
        <v>245175.8575402275</v>
      </c>
      <c r="N136" s="23">
        <f t="shared" si="16"/>
        <v>345599.21438013314</v>
      </c>
      <c r="O136" s="23">
        <f t="shared" si="17"/>
        <v>36675955.274194218</v>
      </c>
    </row>
    <row r="137" spans="5:15" x14ac:dyDescent="0.3">
      <c r="E137" s="20">
        <v>116</v>
      </c>
      <c r="F137" s="72">
        <f t="shared" si="9"/>
        <v>40953647.988455825</v>
      </c>
      <c r="G137" s="72">
        <f t="shared" si="10"/>
        <v>273024.31992303883</v>
      </c>
      <c r="H137" s="72">
        <f t="shared" si="11"/>
        <v>385908.10968650255</v>
      </c>
      <c r="I137" s="72">
        <f t="shared" si="12"/>
        <v>40840764.198692359</v>
      </c>
      <c r="K137">
        <f t="shared" si="13"/>
        <v>116</v>
      </c>
      <c r="L137" s="23">
        <f t="shared" si="14"/>
        <v>36675955.274194218</v>
      </c>
      <c r="M137" s="23">
        <f t="shared" si="15"/>
        <v>244506.36849462814</v>
      </c>
      <c r="N137" s="23">
        <f t="shared" si="16"/>
        <v>345599.21438013314</v>
      </c>
      <c r="O137" s="23">
        <f t="shared" si="17"/>
        <v>36574862.428308718</v>
      </c>
    </row>
    <row r="138" spans="5:15" x14ac:dyDescent="0.3">
      <c r="E138" s="20">
        <v>117</v>
      </c>
      <c r="F138" s="72">
        <f t="shared" si="9"/>
        <v>40840764.198692359</v>
      </c>
      <c r="G138" s="72">
        <f t="shared" si="10"/>
        <v>272271.76132461574</v>
      </c>
      <c r="H138" s="72">
        <f t="shared" si="11"/>
        <v>385908.10968650255</v>
      </c>
      <c r="I138" s="72">
        <f t="shared" si="12"/>
        <v>40727127.850330472</v>
      </c>
      <c r="K138">
        <f t="shared" si="13"/>
        <v>117</v>
      </c>
      <c r="L138" s="23">
        <f t="shared" si="14"/>
        <v>36574862.428308718</v>
      </c>
      <c r="M138" s="23">
        <f t="shared" si="15"/>
        <v>243832.4161887248</v>
      </c>
      <c r="N138" s="23">
        <f t="shared" si="16"/>
        <v>345599.21438013314</v>
      </c>
      <c r="O138" s="23">
        <f t="shared" si="17"/>
        <v>36473095.630117312</v>
      </c>
    </row>
    <row r="139" spans="5:15" x14ac:dyDescent="0.3">
      <c r="E139" s="20">
        <v>118</v>
      </c>
      <c r="F139" s="72">
        <f t="shared" si="9"/>
        <v>40727127.850330472</v>
      </c>
      <c r="G139" s="72">
        <f t="shared" si="10"/>
        <v>271514.18566886982</v>
      </c>
      <c r="H139" s="72">
        <f t="shared" si="11"/>
        <v>385908.10968650255</v>
      </c>
      <c r="I139" s="72">
        <f t="shared" si="12"/>
        <v>40612733.926312841</v>
      </c>
      <c r="K139">
        <f t="shared" si="13"/>
        <v>118</v>
      </c>
      <c r="L139" s="23">
        <f t="shared" si="14"/>
        <v>36473095.630117312</v>
      </c>
      <c r="M139" s="23">
        <f t="shared" si="15"/>
        <v>243153.97086744875</v>
      </c>
      <c r="N139" s="23">
        <f t="shared" si="16"/>
        <v>345599.21438013314</v>
      </c>
      <c r="O139" s="23">
        <f t="shared" si="17"/>
        <v>36370650.386604629</v>
      </c>
    </row>
    <row r="140" spans="5:15" x14ac:dyDescent="0.3">
      <c r="E140" s="20">
        <v>119</v>
      </c>
      <c r="F140" s="72">
        <f t="shared" si="9"/>
        <v>40612733.926312841</v>
      </c>
      <c r="G140" s="72">
        <f t="shared" si="10"/>
        <v>270751.55950875231</v>
      </c>
      <c r="H140" s="72">
        <f t="shared" si="11"/>
        <v>385908.10968650255</v>
      </c>
      <c r="I140" s="72">
        <f t="shared" si="12"/>
        <v>40497577.376135096</v>
      </c>
      <c r="K140">
        <f t="shared" si="13"/>
        <v>119</v>
      </c>
      <c r="L140" s="23">
        <f t="shared" si="14"/>
        <v>36370650.386604629</v>
      </c>
      <c r="M140" s="23">
        <f t="shared" si="15"/>
        <v>242471.00257736421</v>
      </c>
      <c r="N140" s="23">
        <f t="shared" si="16"/>
        <v>345599.21438013314</v>
      </c>
      <c r="O140" s="23">
        <f t="shared" si="17"/>
        <v>36267522.174801864</v>
      </c>
    </row>
    <row r="141" spans="5:15" x14ac:dyDescent="0.3">
      <c r="E141" s="20">
        <v>120</v>
      </c>
      <c r="F141" s="72">
        <f t="shared" si="9"/>
        <v>40497577.376135096</v>
      </c>
      <c r="G141" s="72">
        <f t="shared" si="10"/>
        <v>269983.84917423397</v>
      </c>
      <c r="H141" s="72">
        <f t="shared" si="11"/>
        <v>385908.10968650255</v>
      </c>
      <c r="I141" s="72">
        <f t="shared" si="12"/>
        <v>40381653.115622826</v>
      </c>
      <c r="K141">
        <f t="shared" si="13"/>
        <v>120</v>
      </c>
      <c r="L141" s="23">
        <f t="shared" si="14"/>
        <v>36267522.174801864</v>
      </c>
      <c r="M141" s="23">
        <f t="shared" si="15"/>
        <v>241783.48116534579</v>
      </c>
      <c r="N141" s="23">
        <f t="shared" si="16"/>
        <v>345599.21438013314</v>
      </c>
      <c r="O141" s="23">
        <f t="shared" si="17"/>
        <v>36163706.441587083</v>
      </c>
    </row>
    <row r="142" spans="5:15" x14ac:dyDescent="0.3">
      <c r="E142" s="20">
        <v>121</v>
      </c>
      <c r="F142" s="72">
        <f t="shared" si="9"/>
        <v>40381653.115622826</v>
      </c>
      <c r="G142" s="72">
        <f t="shared" si="10"/>
        <v>269211.02077081887</v>
      </c>
      <c r="H142" s="72">
        <f t="shared" si="11"/>
        <v>385908.10968650255</v>
      </c>
      <c r="I142" s="72">
        <f t="shared" si="12"/>
        <v>40264956.026707143</v>
      </c>
      <c r="K142">
        <f t="shared" si="13"/>
        <v>121</v>
      </c>
      <c r="L142" s="23">
        <f t="shared" si="14"/>
        <v>36163706.441587083</v>
      </c>
      <c r="M142" s="23">
        <f t="shared" si="15"/>
        <v>241091.37627724724</v>
      </c>
      <c r="N142" s="23">
        <f t="shared" si="16"/>
        <v>345599.21438013314</v>
      </c>
      <c r="O142" s="23">
        <f t="shared" si="17"/>
        <v>36059198.603484198</v>
      </c>
    </row>
    <row r="143" spans="5:15" x14ac:dyDescent="0.3">
      <c r="E143" s="20">
        <v>122</v>
      </c>
      <c r="F143" s="72">
        <f t="shared" si="9"/>
        <v>40264956.026707143</v>
      </c>
      <c r="G143" s="72">
        <f t="shared" si="10"/>
        <v>268433.04017804761</v>
      </c>
      <c r="H143" s="72">
        <f t="shared" si="11"/>
        <v>385908.10968650255</v>
      </c>
      <c r="I143" s="72">
        <f t="shared" si="12"/>
        <v>40147480.957198687</v>
      </c>
      <c r="K143">
        <f t="shared" si="13"/>
        <v>122</v>
      </c>
      <c r="L143" s="23">
        <f t="shared" si="14"/>
        <v>36059198.603484198</v>
      </c>
      <c r="M143" s="23">
        <f t="shared" si="15"/>
        <v>240394.65735656134</v>
      </c>
      <c r="N143" s="23">
        <f t="shared" si="16"/>
        <v>345599.21438013314</v>
      </c>
      <c r="O143" s="23">
        <f t="shared" si="17"/>
        <v>35953994.046460629</v>
      </c>
    </row>
    <row r="144" spans="5:15" x14ac:dyDescent="0.3">
      <c r="E144" s="20">
        <v>123</v>
      </c>
      <c r="F144" s="72">
        <f t="shared" si="9"/>
        <v>40147480.957198687</v>
      </c>
      <c r="G144" s="72">
        <f t="shared" si="10"/>
        <v>267649.87304799125</v>
      </c>
      <c r="H144" s="72">
        <f t="shared" si="11"/>
        <v>385908.10968650255</v>
      </c>
      <c r="I144" s="72">
        <f t="shared" si="12"/>
        <v>40029222.720560178</v>
      </c>
      <c r="K144">
        <f t="shared" si="13"/>
        <v>123</v>
      </c>
      <c r="L144" s="23">
        <f t="shared" si="14"/>
        <v>35953994.046460629</v>
      </c>
      <c r="M144" s="23">
        <f t="shared" si="15"/>
        <v>239693.29364307088</v>
      </c>
      <c r="N144" s="23">
        <f t="shared" si="16"/>
        <v>345599.21438013314</v>
      </c>
      <c r="O144" s="23">
        <f t="shared" si="17"/>
        <v>35848088.125723571</v>
      </c>
    </row>
    <row r="145" spans="5:15" x14ac:dyDescent="0.3">
      <c r="E145" s="20">
        <v>124</v>
      </c>
      <c r="F145" s="72">
        <f t="shared" si="9"/>
        <v>40029222.720560178</v>
      </c>
      <c r="G145" s="72">
        <f t="shared" si="10"/>
        <v>266861.48480373452</v>
      </c>
      <c r="H145" s="72">
        <f t="shared" si="11"/>
        <v>385908.10968650255</v>
      </c>
      <c r="I145" s="72">
        <f t="shared" si="12"/>
        <v>39910176.095677413</v>
      </c>
      <c r="K145">
        <f t="shared" si="13"/>
        <v>124</v>
      </c>
      <c r="L145" s="23">
        <f t="shared" si="14"/>
        <v>35848088.125723571</v>
      </c>
      <c r="M145" s="23">
        <f t="shared" si="15"/>
        <v>238987.25417149049</v>
      </c>
      <c r="N145" s="23">
        <f t="shared" si="16"/>
        <v>345599.21438013314</v>
      </c>
      <c r="O145" s="23">
        <f t="shared" si="17"/>
        <v>35741476.165514931</v>
      </c>
    </row>
    <row r="146" spans="5:15" x14ac:dyDescent="0.3">
      <c r="E146" s="20">
        <v>125</v>
      </c>
      <c r="F146" s="72">
        <f t="shared" si="9"/>
        <v>39910176.095677413</v>
      </c>
      <c r="G146" s="72">
        <f t="shared" si="10"/>
        <v>266067.84063784941</v>
      </c>
      <c r="H146" s="72">
        <f t="shared" si="11"/>
        <v>385908.10968650255</v>
      </c>
      <c r="I146" s="72">
        <f t="shared" si="12"/>
        <v>39790335.82662876</v>
      </c>
      <c r="K146">
        <f t="shared" si="13"/>
        <v>125</v>
      </c>
      <c r="L146" s="23">
        <f t="shared" si="14"/>
        <v>35741476.165514931</v>
      </c>
      <c r="M146" s="23">
        <f t="shared" si="15"/>
        <v>238276.50777009956</v>
      </c>
      <c r="N146" s="23">
        <f t="shared" si="16"/>
        <v>345599.21438013314</v>
      </c>
      <c r="O146" s="23">
        <f t="shared" si="17"/>
        <v>35634153.4589049</v>
      </c>
    </row>
    <row r="147" spans="5:15" x14ac:dyDescent="0.3">
      <c r="E147" s="20">
        <v>126</v>
      </c>
      <c r="F147" s="72">
        <f t="shared" si="9"/>
        <v>39790335.82662876</v>
      </c>
      <c r="G147" s="72">
        <f t="shared" si="10"/>
        <v>265268.9055108584</v>
      </c>
      <c r="H147" s="72">
        <f t="shared" si="11"/>
        <v>385908.10968650255</v>
      </c>
      <c r="I147" s="72">
        <f t="shared" si="12"/>
        <v>39669696.622453116</v>
      </c>
      <c r="K147">
        <f t="shared" si="13"/>
        <v>126</v>
      </c>
      <c r="L147" s="23">
        <f t="shared" si="14"/>
        <v>35634153.4589049</v>
      </c>
      <c r="M147" s="23">
        <f t="shared" si="15"/>
        <v>237561.02305936601</v>
      </c>
      <c r="N147" s="23">
        <f t="shared" si="16"/>
        <v>345599.21438013314</v>
      </c>
      <c r="O147" s="23">
        <f t="shared" si="17"/>
        <v>35526115.267584138</v>
      </c>
    </row>
    <row r="148" spans="5:15" x14ac:dyDescent="0.3">
      <c r="E148" s="20">
        <v>127</v>
      </c>
      <c r="F148" s="72">
        <f t="shared" si="9"/>
        <v>39669696.622453116</v>
      </c>
      <c r="G148" s="72">
        <f t="shared" si="10"/>
        <v>264464.64414968743</v>
      </c>
      <c r="H148" s="72">
        <f t="shared" si="11"/>
        <v>385908.10968650255</v>
      </c>
      <c r="I148" s="72">
        <f t="shared" si="12"/>
        <v>39548253.156916305</v>
      </c>
      <c r="K148">
        <f t="shared" si="13"/>
        <v>127</v>
      </c>
      <c r="L148" s="23">
        <f t="shared" si="14"/>
        <v>35526115.267584138</v>
      </c>
      <c r="M148" s="23">
        <f t="shared" si="15"/>
        <v>236840.76845056092</v>
      </c>
      <c r="N148" s="23">
        <f t="shared" si="16"/>
        <v>345599.21438013314</v>
      </c>
      <c r="O148" s="23">
        <f t="shared" si="17"/>
        <v>35417356.821654566</v>
      </c>
    </row>
    <row r="149" spans="5:15" x14ac:dyDescent="0.3">
      <c r="E149" s="20">
        <v>128</v>
      </c>
      <c r="F149" s="72">
        <f t="shared" si="9"/>
        <v>39548253.156916305</v>
      </c>
      <c r="G149" s="72">
        <f t="shared" si="10"/>
        <v>263655.02104610874</v>
      </c>
      <c r="H149" s="72">
        <f t="shared" si="11"/>
        <v>385908.10968650255</v>
      </c>
      <c r="I149" s="72">
        <f t="shared" si="12"/>
        <v>39426000.068275914</v>
      </c>
      <c r="K149">
        <f t="shared" si="13"/>
        <v>128</v>
      </c>
      <c r="L149" s="23">
        <f t="shared" si="14"/>
        <v>35417356.821654566</v>
      </c>
      <c r="M149" s="23">
        <f t="shared" si="15"/>
        <v>236115.71214436379</v>
      </c>
      <c r="N149" s="23">
        <f t="shared" si="16"/>
        <v>345599.21438013314</v>
      </c>
      <c r="O149" s="23">
        <f t="shared" si="17"/>
        <v>35307873.319418803</v>
      </c>
    </row>
    <row r="150" spans="5:15" x14ac:dyDescent="0.3">
      <c r="E150" s="20">
        <v>129</v>
      </c>
      <c r="F150" s="72">
        <f t="shared" si="9"/>
        <v>39426000.068275914</v>
      </c>
      <c r="G150" s="72">
        <f t="shared" si="10"/>
        <v>262840.00045517279</v>
      </c>
      <c r="H150" s="72">
        <f t="shared" si="11"/>
        <v>385908.10968650255</v>
      </c>
      <c r="I150" s="72">
        <f t="shared" si="12"/>
        <v>39302931.959044583</v>
      </c>
      <c r="K150">
        <f t="shared" si="13"/>
        <v>129</v>
      </c>
      <c r="L150" s="23">
        <f t="shared" si="14"/>
        <v>35307873.319418803</v>
      </c>
      <c r="M150" s="23">
        <f t="shared" si="15"/>
        <v>235385.82212945871</v>
      </c>
      <c r="N150" s="23">
        <f t="shared" si="16"/>
        <v>345599.21438013314</v>
      </c>
      <c r="O150" s="23">
        <f t="shared" si="17"/>
        <v>35197659.927168131</v>
      </c>
    </row>
    <row r="151" spans="5:15" x14ac:dyDescent="0.3">
      <c r="E151" s="20">
        <v>130</v>
      </c>
      <c r="F151" s="72">
        <f t="shared" si="9"/>
        <v>39302931.959044583</v>
      </c>
      <c r="G151" s="72">
        <f t="shared" si="10"/>
        <v>262019.54639363056</v>
      </c>
      <c r="H151" s="72">
        <f t="shared" si="11"/>
        <v>385908.10968650255</v>
      </c>
      <c r="I151" s="72">
        <f t="shared" si="12"/>
        <v>39179043.395751715</v>
      </c>
      <c r="K151">
        <f t="shared" si="13"/>
        <v>130</v>
      </c>
      <c r="L151" s="23">
        <f t="shared" si="14"/>
        <v>35197659.927168131</v>
      </c>
      <c r="M151" s="23">
        <f t="shared" si="15"/>
        <v>234651.0661811209</v>
      </c>
      <c r="N151" s="23">
        <f t="shared" si="16"/>
        <v>345599.21438013314</v>
      </c>
      <c r="O151" s="23">
        <f t="shared" si="17"/>
        <v>35086711.778969124</v>
      </c>
    </row>
    <row r="152" spans="5:15" x14ac:dyDescent="0.3">
      <c r="E152" s="20">
        <v>131</v>
      </c>
      <c r="F152" s="72">
        <f t="shared" ref="F152:F215" si="18">I151</f>
        <v>39179043.395751715</v>
      </c>
      <c r="G152" s="72">
        <f t="shared" ref="G152:G215" si="19">F152*$K$13</f>
        <v>261193.62263834479</v>
      </c>
      <c r="H152" s="72">
        <f t="shared" ref="H152:H215" si="20">$G$17</f>
        <v>385908.10968650255</v>
      </c>
      <c r="I152" s="72">
        <f t="shared" ref="I152:I215" si="21">F152+G152-H152</f>
        <v>39054328.908703558</v>
      </c>
      <c r="K152">
        <f t="shared" si="13"/>
        <v>131</v>
      </c>
      <c r="L152" s="23">
        <f t="shared" si="14"/>
        <v>35086711.778969124</v>
      </c>
      <c r="M152" s="23">
        <f t="shared" si="15"/>
        <v>233911.41185979417</v>
      </c>
      <c r="N152" s="23">
        <f t="shared" si="16"/>
        <v>345599.21438013314</v>
      </c>
      <c r="O152" s="23">
        <f t="shared" si="17"/>
        <v>34975023.976448789</v>
      </c>
    </row>
    <row r="153" spans="5:15" x14ac:dyDescent="0.3">
      <c r="E153" s="20">
        <v>132</v>
      </c>
      <c r="F153" s="72">
        <f t="shared" si="18"/>
        <v>39054328.908703558</v>
      </c>
      <c r="G153" s="72">
        <f t="shared" si="19"/>
        <v>260362.19272469039</v>
      </c>
      <c r="H153" s="72">
        <f t="shared" si="20"/>
        <v>385908.10968650255</v>
      </c>
      <c r="I153" s="72">
        <f t="shared" si="21"/>
        <v>38928782.991741747</v>
      </c>
      <c r="K153">
        <f t="shared" si="13"/>
        <v>132</v>
      </c>
      <c r="L153" s="23">
        <f t="shared" si="14"/>
        <v>34975023.976448789</v>
      </c>
      <c r="M153" s="23">
        <f t="shared" si="15"/>
        <v>233166.8265096586</v>
      </c>
      <c r="N153" s="23">
        <f t="shared" si="16"/>
        <v>345599.21438013314</v>
      </c>
      <c r="O153" s="23">
        <f t="shared" si="17"/>
        <v>34862591.588578321</v>
      </c>
    </row>
    <row r="154" spans="5:15" x14ac:dyDescent="0.3">
      <c r="E154" s="20">
        <v>133</v>
      </c>
      <c r="F154" s="72">
        <f t="shared" si="18"/>
        <v>38928782.991741747</v>
      </c>
      <c r="G154" s="72">
        <f t="shared" si="19"/>
        <v>259525.21994494498</v>
      </c>
      <c r="H154" s="72">
        <f t="shared" si="20"/>
        <v>385908.10968650255</v>
      </c>
      <c r="I154" s="72">
        <f t="shared" si="21"/>
        <v>38802400.102000192</v>
      </c>
      <c r="K154">
        <f t="shared" si="13"/>
        <v>133</v>
      </c>
      <c r="L154" s="23">
        <f t="shared" si="14"/>
        <v>34862591.588578321</v>
      </c>
      <c r="M154" s="23">
        <f t="shared" si="15"/>
        <v>232417.27725718883</v>
      </c>
      <c r="N154" s="23">
        <f t="shared" si="16"/>
        <v>345599.21438013314</v>
      </c>
      <c r="O154" s="23">
        <f t="shared" si="17"/>
        <v>34749409.65145538</v>
      </c>
    </row>
    <row r="155" spans="5:15" x14ac:dyDescent="0.3">
      <c r="E155" s="20">
        <v>134</v>
      </c>
      <c r="F155" s="72">
        <f t="shared" si="18"/>
        <v>38802400.102000192</v>
      </c>
      <c r="G155" s="72">
        <f t="shared" si="19"/>
        <v>258682.66734666796</v>
      </c>
      <c r="H155" s="72">
        <f t="shared" si="20"/>
        <v>385908.10968650255</v>
      </c>
      <c r="I155" s="72">
        <f t="shared" si="21"/>
        <v>38675174.659660362</v>
      </c>
      <c r="K155">
        <f t="shared" si="13"/>
        <v>134</v>
      </c>
      <c r="L155" s="23">
        <f t="shared" si="14"/>
        <v>34749409.65145538</v>
      </c>
      <c r="M155" s="23">
        <f t="shared" si="15"/>
        <v>231662.73100970255</v>
      </c>
      <c r="N155" s="23">
        <f t="shared" si="16"/>
        <v>345599.21438013314</v>
      </c>
      <c r="O155" s="23">
        <f t="shared" si="17"/>
        <v>34635473.168084949</v>
      </c>
    </row>
    <row r="156" spans="5:15" x14ac:dyDescent="0.3">
      <c r="E156" s="20">
        <v>135</v>
      </c>
      <c r="F156" s="72">
        <f t="shared" si="18"/>
        <v>38675174.659660362</v>
      </c>
      <c r="G156" s="72">
        <f t="shared" si="19"/>
        <v>257834.4977310691</v>
      </c>
      <c r="H156" s="72">
        <f t="shared" si="20"/>
        <v>385908.10968650255</v>
      </c>
      <c r="I156" s="72">
        <f t="shared" si="21"/>
        <v>38547101.047704928</v>
      </c>
      <c r="K156">
        <f t="shared" si="13"/>
        <v>135</v>
      </c>
      <c r="L156" s="23">
        <f t="shared" si="14"/>
        <v>34635473.168084949</v>
      </c>
      <c r="M156" s="23">
        <f t="shared" si="15"/>
        <v>230903.15445389968</v>
      </c>
      <c r="N156" s="23">
        <f t="shared" si="16"/>
        <v>345599.21438013314</v>
      </c>
      <c r="O156" s="23">
        <f t="shared" si="17"/>
        <v>34520777.108158715</v>
      </c>
    </row>
    <row r="157" spans="5:15" x14ac:dyDescent="0.3">
      <c r="E157" s="20">
        <v>136</v>
      </c>
      <c r="F157" s="72">
        <f t="shared" si="18"/>
        <v>38547101.047704928</v>
      </c>
      <c r="G157" s="72">
        <f t="shared" si="19"/>
        <v>256980.6736513662</v>
      </c>
      <c r="H157" s="72">
        <f t="shared" si="20"/>
        <v>385908.10968650255</v>
      </c>
      <c r="I157" s="72">
        <f t="shared" si="21"/>
        <v>38418173.611669794</v>
      </c>
      <c r="K157">
        <f t="shared" si="13"/>
        <v>136</v>
      </c>
      <c r="L157" s="23">
        <f t="shared" si="14"/>
        <v>34520777.108158715</v>
      </c>
      <c r="M157" s="23">
        <f t="shared" si="15"/>
        <v>230138.51405439145</v>
      </c>
      <c r="N157" s="23">
        <f t="shared" si="16"/>
        <v>345599.21438013314</v>
      </c>
      <c r="O157" s="23">
        <f t="shared" si="17"/>
        <v>34405316.407832973</v>
      </c>
    </row>
    <row r="158" spans="5:15" x14ac:dyDescent="0.3">
      <c r="E158" s="20">
        <v>137</v>
      </c>
      <c r="F158" s="72">
        <f t="shared" si="18"/>
        <v>38418173.611669794</v>
      </c>
      <c r="G158" s="72">
        <f t="shared" si="19"/>
        <v>256121.15741113198</v>
      </c>
      <c r="H158" s="72">
        <f t="shared" si="20"/>
        <v>385908.10968650255</v>
      </c>
      <c r="I158" s="72">
        <f t="shared" si="21"/>
        <v>38288386.659394421</v>
      </c>
      <c r="K158">
        <f t="shared" si="13"/>
        <v>137</v>
      </c>
      <c r="L158" s="23">
        <f t="shared" si="14"/>
        <v>34405316.407832973</v>
      </c>
      <c r="M158" s="23">
        <f t="shared" si="15"/>
        <v>229368.77605221982</v>
      </c>
      <c r="N158" s="23">
        <f t="shared" si="16"/>
        <v>345599.21438013314</v>
      </c>
      <c r="O158" s="23">
        <f t="shared" si="17"/>
        <v>34289085.969505064</v>
      </c>
    </row>
    <row r="159" spans="5:15" x14ac:dyDescent="0.3">
      <c r="E159" s="20">
        <v>138</v>
      </c>
      <c r="F159" s="72">
        <f t="shared" si="18"/>
        <v>38288386.659394421</v>
      </c>
      <c r="G159" s="72">
        <f t="shared" si="19"/>
        <v>255255.91106262949</v>
      </c>
      <c r="H159" s="72">
        <f t="shared" si="20"/>
        <v>385908.10968650255</v>
      </c>
      <c r="I159" s="72">
        <f t="shared" si="21"/>
        <v>38157734.460770547</v>
      </c>
      <c r="K159">
        <f t="shared" si="13"/>
        <v>138</v>
      </c>
      <c r="L159" s="23">
        <f t="shared" si="14"/>
        <v>34289085.969505064</v>
      </c>
      <c r="M159" s="23">
        <f t="shared" si="15"/>
        <v>228593.90646336711</v>
      </c>
      <c r="N159" s="23">
        <f t="shared" si="16"/>
        <v>345599.21438013314</v>
      </c>
      <c r="O159" s="23">
        <f t="shared" si="17"/>
        <v>34172080.661588304</v>
      </c>
    </row>
    <row r="160" spans="5:15" x14ac:dyDescent="0.3">
      <c r="E160" s="20">
        <v>139</v>
      </c>
      <c r="F160" s="72">
        <f t="shared" si="18"/>
        <v>38157734.460770547</v>
      </c>
      <c r="G160" s="72">
        <f t="shared" si="19"/>
        <v>254384.896405137</v>
      </c>
      <c r="H160" s="72">
        <f t="shared" si="20"/>
        <v>385908.10968650255</v>
      </c>
      <c r="I160" s="72">
        <f t="shared" si="21"/>
        <v>38026211.247489184</v>
      </c>
      <c r="K160">
        <f t="shared" si="13"/>
        <v>139</v>
      </c>
      <c r="L160" s="23">
        <f t="shared" si="14"/>
        <v>34172080.661588304</v>
      </c>
      <c r="M160" s="23">
        <f t="shared" si="15"/>
        <v>227813.87107725537</v>
      </c>
      <c r="N160" s="23">
        <f t="shared" si="16"/>
        <v>345599.21438013314</v>
      </c>
      <c r="O160" s="23">
        <f t="shared" si="17"/>
        <v>34054295.318285428</v>
      </c>
    </row>
    <row r="161" spans="5:15" x14ac:dyDescent="0.3">
      <c r="E161" s="20">
        <v>140</v>
      </c>
      <c r="F161" s="72">
        <f t="shared" si="18"/>
        <v>38026211.247489184</v>
      </c>
      <c r="G161" s="72">
        <f t="shared" si="19"/>
        <v>253508.07498326123</v>
      </c>
      <c r="H161" s="72">
        <f t="shared" si="20"/>
        <v>385908.10968650255</v>
      </c>
      <c r="I161" s="72">
        <f t="shared" si="21"/>
        <v>37893811.212785944</v>
      </c>
      <c r="K161">
        <f t="shared" si="13"/>
        <v>140</v>
      </c>
      <c r="L161" s="23">
        <f t="shared" si="14"/>
        <v>34054295.318285428</v>
      </c>
      <c r="M161" s="23">
        <f t="shared" si="15"/>
        <v>227028.63545523619</v>
      </c>
      <c r="N161" s="23">
        <f t="shared" si="16"/>
        <v>345599.21438013314</v>
      </c>
      <c r="O161" s="23">
        <f t="shared" si="17"/>
        <v>33935724.739360534</v>
      </c>
    </row>
    <row r="162" spans="5:15" x14ac:dyDescent="0.3">
      <c r="E162" s="20">
        <v>141</v>
      </c>
      <c r="F162" s="72">
        <f t="shared" si="18"/>
        <v>37893811.212785944</v>
      </c>
      <c r="G162" s="72">
        <f t="shared" si="19"/>
        <v>252625.40808523964</v>
      </c>
      <c r="H162" s="72">
        <f t="shared" si="20"/>
        <v>385908.10968650255</v>
      </c>
      <c r="I162" s="72">
        <f t="shared" si="21"/>
        <v>37760528.511184685</v>
      </c>
      <c r="K162">
        <f t="shared" si="13"/>
        <v>141</v>
      </c>
      <c r="L162" s="23">
        <f t="shared" si="14"/>
        <v>33935724.739360534</v>
      </c>
      <c r="M162" s="23">
        <f t="shared" si="15"/>
        <v>226238.16492907025</v>
      </c>
      <c r="N162" s="23">
        <f t="shared" si="16"/>
        <v>345599.21438013314</v>
      </c>
      <c r="O162" s="23">
        <f t="shared" si="17"/>
        <v>33816363.689909473</v>
      </c>
    </row>
    <row r="163" spans="5:15" x14ac:dyDescent="0.3">
      <c r="E163" s="20">
        <v>142</v>
      </c>
      <c r="F163" s="72">
        <f t="shared" si="18"/>
        <v>37760528.511184685</v>
      </c>
      <c r="G163" s="72">
        <f t="shared" si="19"/>
        <v>251736.85674123126</v>
      </c>
      <c r="H163" s="72">
        <f t="shared" si="20"/>
        <v>385908.10968650255</v>
      </c>
      <c r="I163" s="72">
        <f t="shared" si="21"/>
        <v>37626357.258239418</v>
      </c>
      <c r="K163">
        <f t="shared" si="13"/>
        <v>142</v>
      </c>
      <c r="L163" s="23">
        <f t="shared" si="14"/>
        <v>33816363.689909473</v>
      </c>
      <c r="M163" s="23">
        <f t="shared" si="15"/>
        <v>225442.4245993965</v>
      </c>
      <c r="N163" s="23">
        <f t="shared" si="16"/>
        <v>345599.21438013314</v>
      </c>
      <c r="O163" s="23">
        <f t="shared" si="17"/>
        <v>33696206.900128737</v>
      </c>
    </row>
    <row r="164" spans="5:15" x14ac:dyDescent="0.3">
      <c r="E164" s="20">
        <v>143</v>
      </c>
      <c r="F164" s="72">
        <f t="shared" si="18"/>
        <v>37626357.258239418</v>
      </c>
      <c r="G164" s="72">
        <f t="shared" si="19"/>
        <v>250842.38172159615</v>
      </c>
      <c r="H164" s="72">
        <f t="shared" si="20"/>
        <v>385908.10968650255</v>
      </c>
      <c r="I164" s="72">
        <f t="shared" si="21"/>
        <v>37491291.53027451</v>
      </c>
      <c r="K164">
        <f t="shared" si="13"/>
        <v>143</v>
      </c>
      <c r="L164" s="23">
        <f t="shared" si="14"/>
        <v>33696206.900128737</v>
      </c>
      <c r="M164" s="23">
        <f t="shared" si="15"/>
        <v>224641.37933419159</v>
      </c>
      <c r="N164" s="23">
        <f t="shared" si="16"/>
        <v>345599.21438013314</v>
      </c>
      <c r="O164" s="23">
        <f t="shared" si="17"/>
        <v>33575249.065082796</v>
      </c>
    </row>
    <row r="165" spans="5:15" x14ac:dyDescent="0.3">
      <c r="E165" s="20">
        <v>144</v>
      </c>
      <c r="F165" s="72">
        <f t="shared" si="18"/>
        <v>37491291.53027451</v>
      </c>
      <c r="G165" s="72">
        <f t="shared" si="19"/>
        <v>249941.94353516342</v>
      </c>
      <c r="H165" s="72">
        <f t="shared" si="20"/>
        <v>385908.10968650255</v>
      </c>
      <c r="I165" s="72">
        <f t="shared" si="21"/>
        <v>37355325.364123173</v>
      </c>
      <c r="K165">
        <f t="shared" si="13"/>
        <v>144</v>
      </c>
      <c r="L165" s="23">
        <f t="shared" si="14"/>
        <v>33575249.065082796</v>
      </c>
      <c r="M165" s="23">
        <f t="shared" si="15"/>
        <v>223834.99376721866</v>
      </c>
      <c r="N165" s="23">
        <f t="shared" si="16"/>
        <v>345599.21438013314</v>
      </c>
      <c r="O165" s="23">
        <f t="shared" si="17"/>
        <v>33453484.844469879</v>
      </c>
    </row>
    <row r="166" spans="5:15" x14ac:dyDescent="0.3">
      <c r="E166" s="20">
        <v>145</v>
      </c>
      <c r="F166" s="72">
        <f t="shared" si="18"/>
        <v>37355325.364123173</v>
      </c>
      <c r="G166" s="72">
        <f t="shared" si="19"/>
        <v>249035.50242748784</v>
      </c>
      <c r="H166" s="72">
        <f t="shared" si="20"/>
        <v>385908.10968650255</v>
      </c>
      <c r="I166" s="72">
        <f t="shared" si="21"/>
        <v>37218452.75686416</v>
      </c>
      <c r="K166">
        <f t="shared" si="13"/>
        <v>145</v>
      </c>
      <c r="L166" s="23">
        <f t="shared" si="14"/>
        <v>33453484.844469879</v>
      </c>
      <c r="M166" s="23">
        <f t="shared" si="15"/>
        <v>223023.23229646587</v>
      </c>
      <c r="N166" s="23">
        <f t="shared" si="16"/>
        <v>345599.21438013314</v>
      </c>
      <c r="O166" s="23">
        <f t="shared" si="17"/>
        <v>33330908.862386208</v>
      </c>
    </row>
    <row r="167" spans="5:15" x14ac:dyDescent="0.3">
      <c r="E167" s="20">
        <v>146</v>
      </c>
      <c r="F167" s="72">
        <f t="shared" si="18"/>
        <v>37218452.75686416</v>
      </c>
      <c r="G167" s="72">
        <f t="shared" si="19"/>
        <v>248123.01837909443</v>
      </c>
      <c r="H167" s="72">
        <f t="shared" si="20"/>
        <v>385908.10968650255</v>
      </c>
      <c r="I167" s="72">
        <f t="shared" si="21"/>
        <v>37080667.665556751</v>
      </c>
      <c r="K167">
        <f t="shared" si="13"/>
        <v>146</v>
      </c>
      <c r="L167" s="23">
        <f t="shared" si="14"/>
        <v>33330908.862386208</v>
      </c>
      <c r="M167" s="23">
        <f t="shared" si="15"/>
        <v>222206.05908257473</v>
      </c>
      <c r="N167" s="23">
        <f t="shared" si="16"/>
        <v>345599.21438013314</v>
      </c>
      <c r="O167" s="23">
        <f t="shared" si="17"/>
        <v>33207515.707088649</v>
      </c>
    </row>
    <row r="168" spans="5:15" x14ac:dyDescent="0.3">
      <c r="E168" s="20">
        <v>147</v>
      </c>
      <c r="F168" s="72">
        <f t="shared" si="18"/>
        <v>37080667.665556751</v>
      </c>
      <c r="G168" s="72">
        <f t="shared" si="19"/>
        <v>247204.4511037117</v>
      </c>
      <c r="H168" s="72">
        <f t="shared" si="20"/>
        <v>385908.10968650255</v>
      </c>
      <c r="I168" s="72">
        <f t="shared" si="21"/>
        <v>36941964.00697396</v>
      </c>
      <c r="K168">
        <f t="shared" si="13"/>
        <v>147</v>
      </c>
      <c r="L168" s="23">
        <f t="shared" si="14"/>
        <v>33207515.707088649</v>
      </c>
      <c r="M168" s="23">
        <f t="shared" si="15"/>
        <v>221383.43804725769</v>
      </c>
      <c r="N168" s="23">
        <f t="shared" si="16"/>
        <v>345599.21438013314</v>
      </c>
      <c r="O168" s="23">
        <f t="shared" si="17"/>
        <v>33083299.930755772</v>
      </c>
    </row>
    <row r="169" spans="5:15" x14ac:dyDescent="0.3">
      <c r="E169" s="20">
        <v>148</v>
      </c>
      <c r="F169" s="72">
        <f t="shared" si="18"/>
        <v>36941964.00697396</v>
      </c>
      <c r="G169" s="72">
        <f t="shared" si="19"/>
        <v>246279.76004649309</v>
      </c>
      <c r="H169" s="72">
        <f t="shared" si="20"/>
        <v>385908.10968650255</v>
      </c>
      <c r="I169" s="72">
        <f t="shared" si="21"/>
        <v>36802335.657333948</v>
      </c>
      <c r="K169">
        <f t="shared" si="13"/>
        <v>148</v>
      </c>
      <c r="L169" s="23">
        <f t="shared" si="14"/>
        <v>33083299.930755772</v>
      </c>
      <c r="M169" s="23">
        <f t="shared" si="15"/>
        <v>220555.33287170515</v>
      </c>
      <c r="N169" s="23">
        <f t="shared" si="16"/>
        <v>345599.21438013314</v>
      </c>
      <c r="O169" s="23">
        <f t="shared" si="17"/>
        <v>32958256.049247343</v>
      </c>
    </row>
    <row r="170" spans="5:15" x14ac:dyDescent="0.3">
      <c r="E170" s="20">
        <v>149</v>
      </c>
      <c r="F170" s="72">
        <f t="shared" si="18"/>
        <v>36802335.657333948</v>
      </c>
      <c r="G170" s="72">
        <f t="shared" si="19"/>
        <v>245348.90438222635</v>
      </c>
      <c r="H170" s="72">
        <f t="shared" si="20"/>
        <v>385908.10968650255</v>
      </c>
      <c r="I170" s="72">
        <f t="shared" si="21"/>
        <v>36661776.452029675</v>
      </c>
      <c r="K170">
        <f t="shared" si="13"/>
        <v>149</v>
      </c>
      <c r="L170" s="23">
        <f t="shared" si="14"/>
        <v>32958256.049247343</v>
      </c>
      <c r="M170" s="23">
        <f t="shared" si="15"/>
        <v>219721.70699498229</v>
      </c>
      <c r="N170" s="23">
        <f t="shared" si="16"/>
        <v>345599.21438013314</v>
      </c>
      <c r="O170" s="23">
        <f t="shared" si="17"/>
        <v>32832378.54186219</v>
      </c>
    </row>
    <row r="171" spans="5:15" x14ac:dyDescent="0.3">
      <c r="E171" s="20">
        <v>150</v>
      </c>
      <c r="F171" s="72">
        <f t="shared" si="18"/>
        <v>36661776.452029675</v>
      </c>
      <c r="G171" s="72">
        <f t="shared" si="19"/>
        <v>244411.84301353118</v>
      </c>
      <c r="H171" s="72">
        <f t="shared" si="20"/>
        <v>385908.10968650255</v>
      </c>
      <c r="I171" s="72">
        <f t="shared" si="21"/>
        <v>36520280.185356706</v>
      </c>
      <c r="K171">
        <f t="shared" si="13"/>
        <v>150</v>
      </c>
      <c r="L171" s="23">
        <f t="shared" si="14"/>
        <v>32832378.54186219</v>
      </c>
      <c r="M171" s="23">
        <f t="shared" si="15"/>
        <v>218882.5236124146</v>
      </c>
      <c r="N171" s="23">
        <f t="shared" si="16"/>
        <v>345599.21438013314</v>
      </c>
      <c r="O171" s="23">
        <f t="shared" si="17"/>
        <v>32705661.851094469</v>
      </c>
    </row>
    <row r="172" spans="5:15" x14ac:dyDescent="0.3">
      <c r="E172" s="20">
        <v>151</v>
      </c>
      <c r="F172" s="72">
        <f t="shared" si="18"/>
        <v>36520280.185356706</v>
      </c>
      <c r="G172" s="72">
        <f t="shared" si="19"/>
        <v>243468.53456904471</v>
      </c>
      <c r="H172" s="72">
        <f t="shared" si="20"/>
        <v>385908.10968650255</v>
      </c>
      <c r="I172" s="72">
        <f t="shared" si="21"/>
        <v>36377840.610239252</v>
      </c>
      <c r="K172">
        <f t="shared" si="13"/>
        <v>151</v>
      </c>
      <c r="L172" s="23">
        <f t="shared" si="14"/>
        <v>32705661.851094469</v>
      </c>
      <c r="M172" s="23">
        <f t="shared" si="15"/>
        <v>218037.74567396313</v>
      </c>
      <c r="N172" s="23">
        <f t="shared" si="16"/>
        <v>345599.21438013314</v>
      </c>
      <c r="O172" s="23">
        <f t="shared" si="17"/>
        <v>32578100.382388297</v>
      </c>
    </row>
    <row r="173" spans="5:15" x14ac:dyDescent="0.3">
      <c r="E173" s="20">
        <v>152</v>
      </c>
      <c r="F173" s="72">
        <f t="shared" si="18"/>
        <v>36377840.610239252</v>
      </c>
      <c r="G173" s="72">
        <f t="shared" si="19"/>
        <v>242518.93740159503</v>
      </c>
      <c r="H173" s="72">
        <f t="shared" si="20"/>
        <v>385908.10968650255</v>
      </c>
      <c r="I173" s="72">
        <f t="shared" si="21"/>
        <v>36234451.437954344</v>
      </c>
      <c r="K173">
        <f t="shared" si="13"/>
        <v>152</v>
      </c>
      <c r="L173" s="23">
        <f t="shared" si="14"/>
        <v>32578100.382388297</v>
      </c>
      <c r="M173" s="23">
        <f t="shared" si="15"/>
        <v>217187.33588258867</v>
      </c>
      <c r="N173" s="23">
        <f t="shared" si="16"/>
        <v>345599.21438013314</v>
      </c>
      <c r="O173" s="23">
        <f t="shared" si="17"/>
        <v>32449688.503890753</v>
      </c>
    </row>
    <row r="174" spans="5:15" x14ac:dyDescent="0.3">
      <c r="E174" s="20">
        <v>153</v>
      </c>
      <c r="F174" s="72">
        <f t="shared" si="18"/>
        <v>36234451.437954344</v>
      </c>
      <c r="G174" s="72">
        <f t="shared" si="19"/>
        <v>241563.00958636231</v>
      </c>
      <c r="H174" s="72">
        <f t="shared" si="20"/>
        <v>385908.10968650255</v>
      </c>
      <c r="I174" s="72">
        <f t="shared" si="21"/>
        <v>36090106.337854207</v>
      </c>
      <c r="K174">
        <f t="shared" si="13"/>
        <v>153</v>
      </c>
      <c r="L174" s="23">
        <f t="shared" si="14"/>
        <v>32449688.503890753</v>
      </c>
      <c r="M174" s="23">
        <f t="shared" si="15"/>
        <v>216331.25669260503</v>
      </c>
      <c r="N174" s="23">
        <f t="shared" si="16"/>
        <v>345599.21438013314</v>
      </c>
      <c r="O174" s="23">
        <f t="shared" si="17"/>
        <v>32320420.546203222</v>
      </c>
    </row>
    <row r="175" spans="5:15" x14ac:dyDescent="0.3">
      <c r="E175" s="20">
        <v>154</v>
      </c>
      <c r="F175" s="72">
        <f t="shared" si="18"/>
        <v>36090106.337854207</v>
      </c>
      <c r="G175" s="72">
        <f t="shared" si="19"/>
        <v>240600.70891902805</v>
      </c>
      <c r="H175" s="72">
        <f t="shared" si="20"/>
        <v>385908.10968650255</v>
      </c>
      <c r="I175" s="72">
        <f t="shared" si="21"/>
        <v>35944798.937086731</v>
      </c>
      <c r="K175">
        <f t="shared" si="13"/>
        <v>154</v>
      </c>
      <c r="L175" s="23">
        <f t="shared" si="14"/>
        <v>32320420.546203222</v>
      </c>
      <c r="M175" s="23">
        <f t="shared" si="15"/>
        <v>215469.4703080215</v>
      </c>
      <c r="N175" s="23">
        <f t="shared" si="16"/>
        <v>345599.21438013314</v>
      </c>
      <c r="O175" s="23">
        <f t="shared" si="17"/>
        <v>32190290.802131109</v>
      </c>
    </row>
    <row r="176" spans="5:15" x14ac:dyDescent="0.3">
      <c r="E176" s="20">
        <v>155</v>
      </c>
      <c r="F176" s="72">
        <f t="shared" si="18"/>
        <v>35944798.937086731</v>
      </c>
      <c r="G176" s="72">
        <f t="shared" si="19"/>
        <v>239631.99291391156</v>
      </c>
      <c r="H176" s="72">
        <f t="shared" si="20"/>
        <v>385908.10968650255</v>
      </c>
      <c r="I176" s="72">
        <f t="shared" si="21"/>
        <v>35798522.820314139</v>
      </c>
      <c r="K176">
        <f t="shared" si="13"/>
        <v>155</v>
      </c>
      <c r="L176" s="23">
        <f t="shared" si="14"/>
        <v>32190290.802131109</v>
      </c>
      <c r="M176" s="23">
        <f t="shared" si="15"/>
        <v>214601.93868087407</v>
      </c>
      <c r="N176" s="23">
        <f t="shared" si="16"/>
        <v>345599.21438013314</v>
      </c>
      <c r="O176" s="23">
        <f t="shared" si="17"/>
        <v>32059293.526431847</v>
      </c>
    </row>
    <row r="177" spans="5:15" x14ac:dyDescent="0.3">
      <c r="E177" s="20">
        <v>156</v>
      </c>
      <c r="F177" s="72">
        <f t="shared" si="18"/>
        <v>35798522.820314139</v>
      </c>
      <c r="G177" s="72">
        <f t="shared" si="19"/>
        <v>238656.81880209426</v>
      </c>
      <c r="H177" s="72">
        <f t="shared" si="20"/>
        <v>385908.10968650255</v>
      </c>
      <c r="I177" s="72">
        <f t="shared" si="21"/>
        <v>35651271.529429734</v>
      </c>
      <c r="K177">
        <f t="shared" si="13"/>
        <v>156</v>
      </c>
      <c r="L177" s="23">
        <f t="shared" si="14"/>
        <v>32059293.526431847</v>
      </c>
      <c r="M177" s="23">
        <f t="shared" si="15"/>
        <v>213728.62350954567</v>
      </c>
      <c r="N177" s="23">
        <f t="shared" si="16"/>
        <v>345599.21438013314</v>
      </c>
      <c r="O177" s="23">
        <f t="shared" si="17"/>
        <v>31927422.935561258</v>
      </c>
    </row>
    <row r="178" spans="5:15" x14ac:dyDescent="0.3">
      <c r="E178" s="20">
        <v>157</v>
      </c>
      <c r="F178" s="72">
        <f t="shared" si="18"/>
        <v>35651271.529429734</v>
      </c>
      <c r="G178" s="72">
        <f t="shared" si="19"/>
        <v>237675.14352953158</v>
      </c>
      <c r="H178" s="72">
        <f t="shared" si="20"/>
        <v>385908.10968650255</v>
      </c>
      <c r="I178" s="72">
        <f t="shared" si="21"/>
        <v>35503038.563272767</v>
      </c>
      <c r="K178">
        <f t="shared" si="13"/>
        <v>157</v>
      </c>
      <c r="L178" s="23">
        <f t="shared" si="14"/>
        <v>31927422.935561258</v>
      </c>
      <c r="M178" s="23">
        <f t="shared" si="15"/>
        <v>212849.48623707506</v>
      </c>
      <c r="N178" s="23">
        <f t="shared" si="16"/>
        <v>345599.21438013314</v>
      </c>
      <c r="O178" s="23">
        <f t="shared" si="17"/>
        <v>31794673.2074182</v>
      </c>
    </row>
    <row r="179" spans="5:15" x14ac:dyDescent="0.3">
      <c r="E179" s="20">
        <v>158</v>
      </c>
      <c r="F179" s="72">
        <f t="shared" si="18"/>
        <v>35503038.563272767</v>
      </c>
      <c r="G179" s="72">
        <f t="shared" si="19"/>
        <v>236686.9237551518</v>
      </c>
      <c r="H179" s="72">
        <f t="shared" si="20"/>
        <v>385908.10968650255</v>
      </c>
      <c r="I179" s="72">
        <f t="shared" si="21"/>
        <v>35353817.377341419</v>
      </c>
      <c r="K179">
        <f t="shared" si="13"/>
        <v>158</v>
      </c>
      <c r="L179" s="23">
        <f t="shared" si="14"/>
        <v>31794673.2074182</v>
      </c>
      <c r="M179" s="23">
        <f t="shared" si="15"/>
        <v>211964.48804945467</v>
      </c>
      <c r="N179" s="23">
        <f t="shared" si="16"/>
        <v>345599.21438013314</v>
      </c>
      <c r="O179" s="23">
        <f t="shared" si="17"/>
        <v>31661038.481087521</v>
      </c>
    </row>
    <row r="180" spans="5:15" x14ac:dyDescent="0.3">
      <c r="E180" s="20">
        <v>159</v>
      </c>
      <c r="F180" s="72">
        <f t="shared" si="18"/>
        <v>35353817.377341419</v>
      </c>
      <c r="G180" s="72">
        <f t="shared" si="19"/>
        <v>235692.11584894281</v>
      </c>
      <c r="H180" s="72">
        <f t="shared" si="20"/>
        <v>385908.10968650255</v>
      </c>
      <c r="I180" s="72">
        <f t="shared" si="21"/>
        <v>35203601.383503862</v>
      </c>
      <c r="K180">
        <f t="shared" si="13"/>
        <v>159</v>
      </c>
      <c r="L180" s="23">
        <f t="shared" si="14"/>
        <v>31661038.481087521</v>
      </c>
      <c r="M180" s="23">
        <f t="shared" si="15"/>
        <v>211073.58987391682</v>
      </c>
      <c r="N180" s="23">
        <f t="shared" si="16"/>
        <v>345599.21438013314</v>
      </c>
      <c r="O180" s="23">
        <f t="shared" si="17"/>
        <v>31526512.856581304</v>
      </c>
    </row>
    <row r="181" spans="5:15" x14ac:dyDescent="0.3">
      <c r="E181" s="20">
        <v>160</v>
      </c>
      <c r="F181" s="72">
        <f t="shared" si="18"/>
        <v>35203601.383503862</v>
      </c>
      <c r="G181" s="72">
        <f t="shared" si="19"/>
        <v>234690.67589002577</v>
      </c>
      <c r="H181" s="72">
        <f t="shared" si="20"/>
        <v>385908.10968650255</v>
      </c>
      <c r="I181" s="72">
        <f t="shared" si="21"/>
        <v>35052383.949707389</v>
      </c>
      <c r="K181">
        <f t="shared" si="13"/>
        <v>160</v>
      </c>
      <c r="L181" s="23">
        <f t="shared" si="14"/>
        <v>31526512.856581304</v>
      </c>
      <c r="M181" s="23">
        <f t="shared" si="15"/>
        <v>210176.7523772087</v>
      </c>
      <c r="N181" s="23">
        <f t="shared" si="16"/>
        <v>345599.21438013314</v>
      </c>
      <c r="O181" s="23">
        <f t="shared" si="17"/>
        <v>31391090.394578379</v>
      </c>
    </row>
    <row r="182" spans="5:15" x14ac:dyDescent="0.3">
      <c r="E182" s="20">
        <v>161</v>
      </c>
      <c r="F182" s="72">
        <f t="shared" si="18"/>
        <v>35052383.949707389</v>
      </c>
      <c r="G182" s="72">
        <f t="shared" si="19"/>
        <v>233682.55966471595</v>
      </c>
      <c r="H182" s="72">
        <f t="shared" si="20"/>
        <v>385908.10968650255</v>
      </c>
      <c r="I182" s="72">
        <f t="shared" si="21"/>
        <v>34900158.399685606</v>
      </c>
      <c r="K182">
        <f t="shared" si="13"/>
        <v>161</v>
      </c>
      <c r="L182" s="23">
        <f t="shared" si="14"/>
        <v>31391090.394578379</v>
      </c>
      <c r="M182" s="23">
        <f t="shared" si="15"/>
        <v>209273.93596385588</v>
      </c>
      <c r="N182" s="23">
        <f t="shared" si="16"/>
        <v>345599.21438013314</v>
      </c>
      <c r="O182" s="23">
        <f t="shared" si="17"/>
        <v>31254765.116162099</v>
      </c>
    </row>
    <row r="183" spans="5:15" x14ac:dyDescent="0.3">
      <c r="E183" s="20">
        <v>162</v>
      </c>
      <c r="F183" s="72">
        <f t="shared" si="18"/>
        <v>34900158.399685606</v>
      </c>
      <c r="G183" s="72">
        <f t="shared" si="19"/>
        <v>232667.72266457073</v>
      </c>
      <c r="H183" s="72">
        <f t="shared" si="20"/>
        <v>385908.10968650255</v>
      </c>
      <c r="I183" s="72">
        <f t="shared" si="21"/>
        <v>34746918.012663677</v>
      </c>
      <c r="K183">
        <f t="shared" si="13"/>
        <v>162</v>
      </c>
      <c r="L183" s="23">
        <f t="shared" si="14"/>
        <v>31254765.116162099</v>
      </c>
      <c r="M183" s="23">
        <f t="shared" si="15"/>
        <v>208365.10077441399</v>
      </c>
      <c r="N183" s="23">
        <f t="shared" si="16"/>
        <v>345599.21438013314</v>
      </c>
      <c r="O183" s="23">
        <f t="shared" si="17"/>
        <v>31117531.00255638</v>
      </c>
    </row>
    <row r="184" spans="5:15" x14ac:dyDescent="0.3">
      <c r="E184" s="20">
        <v>163</v>
      </c>
      <c r="F184" s="72">
        <f t="shared" si="18"/>
        <v>34746918.012663677</v>
      </c>
      <c r="G184" s="72">
        <f t="shared" si="19"/>
        <v>231646.12008442453</v>
      </c>
      <c r="H184" s="72">
        <f t="shared" si="20"/>
        <v>385908.10968650255</v>
      </c>
      <c r="I184" s="72">
        <f t="shared" si="21"/>
        <v>34592656.023061603</v>
      </c>
      <c r="K184">
        <f t="shared" si="13"/>
        <v>163</v>
      </c>
      <c r="L184" s="23">
        <f t="shared" si="14"/>
        <v>31117531.00255638</v>
      </c>
      <c r="M184" s="23">
        <f t="shared" si="15"/>
        <v>207450.2066837092</v>
      </c>
      <c r="N184" s="23">
        <f t="shared" si="16"/>
        <v>345599.21438013314</v>
      </c>
      <c r="O184" s="23">
        <f t="shared" si="17"/>
        <v>30979381.994859956</v>
      </c>
    </row>
    <row r="185" spans="5:15" x14ac:dyDescent="0.3">
      <c r="E185" s="20">
        <v>164</v>
      </c>
      <c r="F185" s="72">
        <f t="shared" si="18"/>
        <v>34592656.023061603</v>
      </c>
      <c r="G185" s="72">
        <f t="shared" si="19"/>
        <v>230617.70682041071</v>
      </c>
      <c r="H185" s="72">
        <f t="shared" si="20"/>
        <v>385908.10968650255</v>
      </c>
      <c r="I185" s="72">
        <f t="shared" si="21"/>
        <v>34437365.620195515</v>
      </c>
      <c r="K185">
        <f t="shared" si="13"/>
        <v>164</v>
      </c>
      <c r="L185" s="23">
        <f t="shared" si="14"/>
        <v>30979381.994859956</v>
      </c>
      <c r="M185" s="23">
        <f t="shared" si="15"/>
        <v>206529.21329906638</v>
      </c>
      <c r="N185" s="23">
        <f t="shared" si="16"/>
        <v>345599.21438013314</v>
      </c>
      <c r="O185" s="23">
        <f t="shared" si="17"/>
        <v>30840311.993778888</v>
      </c>
    </row>
    <row r="186" spans="5:15" x14ac:dyDescent="0.3">
      <c r="E186" s="20">
        <v>165</v>
      </c>
      <c r="F186" s="72">
        <f t="shared" si="18"/>
        <v>34437365.620195515</v>
      </c>
      <c r="G186" s="72">
        <f t="shared" si="19"/>
        <v>229582.43746797013</v>
      </c>
      <c r="H186" s="72">
        <f t="shared" si="20"/>
        <v>385908.10968650255</v>
      </c>
      <c r="I186" s="72">
        <f t="shared" si="21"/>
        <v>34281039.947976984</v>
      </c>
      <c r="K186">
        <f t="shared" si="13"/>
        <v>165</v>
      </c>
      <c r="L186" s="23">
        <f t="shared" si="14"/>
        <v>30840311.993778888</v>
      </c>
      <c r="M186" s="23">
        <f t="shared" si="15"/>
        <v>205602.07995852592</v>
      </c>
      <c r="N186" s="23">
        <f t="shared" si="16"/>
        <v>345599.21438013314</v>
      </c>
      <c r="O186" s="23">
        <f t="shared" si="17"/>
        <v>30700314.859357279</v>
      </c>
    </row>
    <row r="187" spans="5:15" x14ac:dyDescent="0.3">
      <c r="E187" s="20">
        <v>166</v>
      </c>
      <c r="F187" s="72">
        <f t="shared" si="18"/>
        <v>34281039.947976984</v>
      </c>
      <c r="G187" s="72">
        <f t="shared" si="19"/>
        <v>228540.26631984659</v>
      </c>
      <c r="H187" s="72">
        <f t="shared" si="20"/>
        <v>385908.10968650255</v>
      </c>
      <c r="I187" s="72">
        <f t="shared" si="21"/>
        <v>34123672.104610331</v>
      </c>
      <c r="K187">
        <f t="shared" si="13"/>
        <v>166</v>
      </c>
      <c r="L187" s="23">
        <f t="shared" si="14"/>
        <v>30700314.859357279</v>
      </c>
      <c r="M187" s="23">
        <f t="shared" si="15"/>
        <v>204668.76572904855</v>
      </c>
      <c r="N187" s="23">
        <f t="shared" si="16"/>
        <v>345599.21438013314</v>
      </c>
      <c r="O187" s="23">
        <f t="shared" si="17"/>
        <v>30559384.410706192</v>
      </c>
    </row>
    <row r="188" spans="5:15" x14ac:dyDescent="0.3">
      <c r="E188" s="20">
        <v>167</v>
      </c>
      <c r="F188" s="72">
        <f t="shared" si="18"/>
        <v>34123672.104610331</v>
      </c>
      <c r="G188" s="72">
        <f t="shared" si="19"/>
        <v>227491.14736406889</v>
      </c>
      <c r="H188" s="72">
        <f t="shared" si="20"/>
        <v>385908.10968650255</v>
      </c>
      <c r="I188" s="72">
        <f t="shared" si="21"/>
        <v>33965255.142287903</v>
      </c>
      <c r="K188">
        <f t="shared" ref="K188:K251" si="22">E188</f>
        <v>167</v>
      </c>
      <c r="L188" s="23">
        <f t="shared" ref="L188:L251" si="23">O187</f>
        <v>30559384.410706192</v>
      </c>
      <c r="M188" s="23">
        <f t="shared" ref="M188:M251" si="24">L188*$K$13</f>
        <v>203729.22940470796</v>
      </c>
      <c r="N188" s="23">
        <f t="shared" ref="N188:N251" si="25">ABS($O$57)</f>
        <v>345599.21438013314</v>
      </c>
      <c r="O188" s="23">
        <f t="shared" ref="O188:O251" si="26">L188+M188-N188</f>
        <v>30417514.425730765</v>
      </c>
    </row>
    <row r="189" spans="5:15" x14ac:dyDescent="0.3">
      <c r="E189" s="20">
        <v>168</v>
      </c>
      <c r="F189" s="72">
        <f t="shared" si="18"/>
        <v>33965255.142287903</v>
      </c>
      <c r="G189" s="72">
        <f t="shared" si="19"/>
        <v>226435.03428191936</v>
      </c>
      <c r="H189" s="72">
        <f t="shared" si="20"/>
        <v>385908.10968650255</v>
      </c>
      <c r="I189" s="72">
        <f t="shared" si="21"/>
        <v>33805782.066883318</v>
      </c>
      <c r="K189">
        <f t="shared" si="22"/>
        <v>168</v>
      </c>
      <c r="L189" s="23">
        <f t="shared" si="23"/>
        <v>30417514.425730765</v>
      </c>
      <c r="M189" s="23">
        <f t="shared" si="24"/>
        <v>202783.42950487178</v>
      </c>
      <c r="N189" s="23">
        <f t="shared" si="25"/>
        <v>345599.21438013314</v>
      </c>
      <c r="O189" s="23">
        <f t="shared" si="26"/>
        <v>30274698.640855502</v>
      </c>
    </row>
    <row r="190" spans="5:15" x14ac:dyDescent="0.3">
      <c r="E190" s="20">
        <v>169</v>
      </c>
      <c r="F190" s="72">
        <f t="shared" si="18"/>
        <v>33805782.066883318</v>
      </c>
      <c r="G190" s="72">
        <f t="shared" si="19"/>
        <v>225371.88044588879</v>
      </c>
      <c r="H190" s="72">
        <f t="shared" si="20"/>
        <v>385908.10968650255</v>
      </c>
      <c r="I190" s="72">
        <f t="shared" si="21"/>
        <v>33645245.837642707</v>
      </c>
      <c r="K190">
        <f t="shared" si="22"/>
        <v>169</v>
      </c>
      <c r="L190" s="23">
        <f t="shared" si="23"/>
        <v>30274698.640855502</v>
      </c>
      <c r="M190" s="23">
        <f t="shared" si="24"/>
        <v>201831.32427237002</v>
      </c>
      <c r="N190" s="23">
        <f t="shared" si="25"/>
        <v>345599.21438013314</v>
      </c>
      <c r="O190" s="23">
        <f t="shared" si="26"/>
        <v>30130930.75074774</v>
      </c>
    </row>
    <row r="191" spans="5:15" x14ac:dyDescent="0.3">
      <c r="E191" s="20">
        <v>170</v>
      </c>
      <c r="F191" s="72">
        <f t="shared" si="18"/>
        <v>33645245.837642707</v>
      </c>
      <c r="G191" s="72">
        <f t="shared" si="19"/>
        <v>224301.63891761805</v>
      </c>
      <c r="H191" s="72">
        <f t="shared" si="20"/>
        <v>385908.10968650255</v>
      </c>
      <c r="I191" s="72">
        <f t="shared" si="21"/>
        <v>33483639.366873823</v>
      </c>
      <c r="K191">
        <f t="shared" si="22"/>
        <v>170</v>
      </c>
      <c r="L191" s="23">
        <f t="shared" si="23"/>
        <v>30130930.75074774</v>
      </c>
      <c r="M191" s="23">
        <f t="shared" si="24"/>
        <v>200872.87167165161</v>
      </c>
      <c r="N191" s="23">
        <f t="shared" si="25"/>
        <v>345599.21438013314</v>
      </c>
      <c r="O191" s="23">
        <f t="shared" si="26"/>
        <v>29986204.408039257</v>
      </c>
    </row>
    <row r="192" spans="5:15" x14ac:dyDescent="0.3">
      <c r="E192" s="20">
        <v>171</v>
      </c>
      <c r="F192" s="72">
        <f t="shared" si="18"/>
        <v>33483639.366873823</v>
      </c>
      <c r="G192" s="72">
        <f t="shared" si="19"/>
        <v>223224.2624458255</v>
      </c>
      <c r="H192" s="72">
        <f t="shared" si="20"/>
        <v>385908.10968650255</v>
      </c>
      <c r="I192" s="72">
        <f t="shared" si="21"/>
        <v>33320955.519633144</v>
      </c>
      <c r="K192">
        <f t="shared" si="22"/>
        <v>171</v>
      </c>
      <c r="L192" s="23">
        <f t="shared" si="23"/>
        <v>29986204.408039257</v>
      </c>
      <c r="M192" s="23">
        <f t="shared" si="24"/>
        <v>199908.02938692839</v>
      </c>
      <c r="N192" s="23">
        <f t="shared" si="25"/>
        <v>345599.21438013314</v>
      </c>
      <c r="O192" s="23">
        <f t="shared" si="26"/>
        <v>29840513.223046053</v>
      </c>
    </row>
    <row r="193" spans="5:15" x14ac:dyDescent="0.3">
      <c r="E193" s="20">
        <v>172</v>
      </c>
      <c r="F193" s="72">
        <f t="shared" si="18"/>
        <v>33320955.519633144</v>
      </c>
      <c r="G193" s="72">
        <f t="shared" si="19"/>
        <v>222139.70346422098</v>
      </c>
      <c r="H193" s="72">
        <f t="shared" si="20"/>
        <v>385908.10968650255</v>
      </c>
      <c r="I193" s="72">
        <f t="shared" si="21"/>
        <v>33157187.113410864</v>
      </c>
      <c r="K193">
        <f t="shared" si="22"/>
        <v>172</v>
      </c>
      <c r="L193" s="23">
        <f t="shared" si="23"/>
        <v>29840513.223046053</v>
      </c>
      <c r="M193" s="23">
        <f t="shared" si="24"/>
        <v>198936.75482030705</v>
      </c>
      <c r="N193" s="23">
        <f t="shared" si="25"/>
        <v>345599.21438013314</v>
      </c>
      <c r="O193" s="23">
        <f t="shared" si="26"/>
        <v>29693850.763486225</v>
      </c>
    </row>
    <row r="194" spans="5:15" x14ac:dyDescent="0.3">
      <c r="E194" s="20">
        <v>173</v>
      </c>
      <c r="F194" s="72">
        <f t="shared" si="18"/>
        <v>33157187.113410864</v>
      </c>
      <c r="G194" s="72">
        <f t="shared" si="19"/>
        <v>221047.91408940576</v>
      </c>
      <c r="H194" s="72">
        <f t="shared" si="20"/>
        <v>385908.10968650255</v>
      </c>
      <c r="I194" s="72">
        <f t="shared" si="21"/>
        <v>32992326.917813767</v>
      </c>
      <c r="K194">
        <f t="shared" si="22"/>
        <v>173</v>
      </c>
      <c r="L194" s="23">
        <f t="shared" si="23"/>
        <v>29693850.763486225</v>
      </c>
      <c r="M194" s="23">
        <f t="shared" si="24"/>
        <v>197959.00508990817</v>
      </c>
      <c r="N194" s="23">
        <f t="shared" si="25"/>
        <v>345599.21438013314</v>
      </c>
      <c r="O194" s="23">
        <f t="shared" si="26"/>
        <v>29546210.554196</v>
      </c>
    </row>
    <row r="195" spans="5:15" x14ac:dyDescent="0.3">
      <c r="E195" s="20">
        <v>174</v>
      </c>
      <c r="F195" s="72">
        <f t="shared" si="18"/>
        <v>32992326.917813767</v>
      </c>
      <c r="G195" s="72">
        <f t="shared" si="19"/>
        <v>219948.84611875846</v>
      </c>
      <c r="H195" s="72">
        <f t="shared" si="20"/>
        <v>385908.10968650255</v>
      </c>
      <c r="I195" s="72">
        <f t="shared" si="21"/>
        <v>32826367.654246025</v>
      </c>
      <c r="K195">
        <f t="shared" si="22"/>
        <v>174</v>
      </c>
      <c r="L195" s="23">
        <f t="shared" si="23"/>
        <v>29546210.554196</v>
      </c>
      <c r="M195" s="23">
        <f t="shared" si="24"/>
        <v>196974.73702797334</v>
      </c>
      <c r="N195" s="23">
        <f t="shared" si="25"/>
        <v>345599.21438013314</v>
      </c>
      <c r="O195" s="23">
        <f t="shared" si="26"/>
        <v>29397586.076843839</v>
      </c>
    </row>
    <row r="196" spans="5:15" x14ac:dyDescent="0.3">
      <c r="E196" s="20">
        <v>175</v>
      </c>
      <c r="F196" s="72">
        <f t="shared" si="18"/>
        <v>32826367.654246025</v>
      </c>
      <c r="G196" s="72">
        <f t="shared" si="19"/>
        <v>218842.45102830685</v>
      </c>
      <c r="H196" s="72">
        <f t="shared" si="20"/>
        <v>385908.10968650255</v>
      </c>
      <c r="I196" s="72">
        <f t="shared" si="21"/>
        <v>32659301.99558783</v>
      </c>
      <c r="K196">
        <f t="shared" si="22"/>
        <v>175</v>
      </c>
      <c r="L196" s="23">
        <f t="shared" si="23"/>
        <v>29397586.076843839</v>
      </c>
      <c r="M196" s="23">
        <f t="shared" si="24"/>
        <v>195983.90717895894</v>
      </c>
      <c r="N196" s="23">
        <f t="shared" si="25"/>
        <v>345599.21438013314</v>
      </c>
      <c r="O196" s="23">
        <f t="shared" si="26"/>
        <v>29247970.769642666</v>
      </c>
    </row>
    <row r="197" spans="5:15" x14ac:dyDescent="0.3">
      <c r="E197" s="20">
        <v>176</v>
      </c>
      <c r="F197" s="72">
        <f t="shared" si="18"/>
        <v>32659301.99558783</v>
      </c>
      <c r="G197" s="72">
        <f t="shared" si="19"/>
        <v>217728.67997058554</v>
      </c>
      <c r="H197" s="72">
        <f t="shared" si="20"/>
        <v>385908.10968650255</v>
      </c>
      <c r="I197" s="72">
        <f t="shared" si="21"/>
        <v>32491122.565871913</v>
      </c>
      <c r="K197">
        <f t="shared" si="22"/>
        <v>176</v>
      </c>
      <c r="L197" s="23">
        <f t="shared" si="23"/>
        <v>29247970.769642666</v>
      </c>
      <c r="M197" s="23">
        <f t="shared" si="24"/>
        <v>194986.47179761779</v>
      </c>
      <c r="N197" s="23">
        <f t="shared" si="25"/>
        <v>345599.21438013314</v>
      </c>
      <c r="O197" s="23">
        <f t="shared" si="26"/>
        <v>29097358.027060151</v>
      </c>
    </row>
    <row r="198" spans="5:15" x14ac:dyDescent="0.3">
      <c r="E198" s="20">
        <v>177</v>
      </c>
      <c r="F198" s="72">
        <f t="shared" si="18"/>
        <v>32491122.565871913</v>
      </c>
      <c r="G198" s="72">
        <f t="shared" si="19"/>
        <v>216607.48377247943</v>
      </c>
      <c r="H198" s="72">
        <f t="shared" si="20"/>
        <v>385908.10968650255</v>
      </c>
      <c r="I198" s="72">
        <f t="shared" si="21"/>
        <v>32321821.939957891</v>
      </c>
      <c r="K198">
        <f t="shared" si="22"/>
        <v>177</v>
      </c>
      <c r="L198" s="23">
        <f t="shared" si="23"/>
        <v>29097358.027060151</v>
      </c>
      <c r="M198" s="23">
        <f t="shared" si="24"/>
        <v>193982.38684706768</v>
      </c>
      <c r="N198" s="23">
        <f t="shared" si="25"/>
        <v>345599.21438013314</v>
      </c>
      <c r="O198" s="23">
        <f t="shared" si="26"/>
        <v>28945741.199527085</v>
      </c>
    </row>
    <row r="199" spans="5:15" x14ac:dyDescent="0.3">
      <c r="E199" s="20">
        <v>178</v>
      </c>
      <c r="F199" s="72">
        <f t="shared" si="18"/>
        <v>32321821.939957891</v>
      </c>
      <c r="G199" s="72">
        <f t="shared" si="19"/>
        <v>215478.81293305263</v>
      </c>
      <c r="H199" s="72">
        <f t="shared" si="20"/>
        <v>385908.10968650255</v>
      </c>
      <c r="I199" s="72">
        <f t="shared" si="21"/>
        <v>32151392.643204443</v>
      </c>
      <c r="K199">
        <f t="shared" si="22"/>
        <v>178</v>
      </c>
      <c r="L199" s="23">
        <f t="shared" si="23"/>
        <v>28945741.199527085</v>
      </c>
      <c r="M199" s="23">
        <f t="shared" si="24"/>
        <v>192971.60799684725</v>
      </c>
      <c r="N199" s="23">
        <f t="shared" si="25"/>
        <v>345599.21438013314</v>
      </c>
      <c r="O199" s="23">
        <f t="shared" si="26"/>
        <v>28793113.593143798</v>
      </c>
    </row>
    <row r="200" spans="5:15" x14ac:dyDescent="0.3">
      <c r="E200" s="20">
        <v>179</v>
      </c>
      <c r="F200" s="72">
        <f t="shared" si="18"/>
        <v>32151392.643204443</v>
      </c>
      <c r="G200" s="72">
        <f t="shared" si="19"/>
        <v>214342.61762136297</v>
      </c>
      <c r="H200" s="72">
        <f t="shared" si="20"/>
        <v>385908.10968650255</v>
      </c>
      <c r="I200" s="72">
        <f t="shared" si="21"/>
        <v>31979827.151139304</v>
      </c>
      <c r="K200">
        <f t="shared" si="22"/>
        <v>179</v>
      </c>
      <c r="L200" s="23">
        <f t="shared" si="23"/>
        <v>28793113.593143798</v>
      </c>
      <c r="M200" s="23">
        <f t="shared" si="24"/>
        <v>191954.09062095868</v>
      </c>
      <c r="N200" s="23">
        <f t="shared" si="25"/>
        <v>345599.21438013314</v>
      </c>
      <c r="O200" s="23">
        <f t="shared" si="26"/>
        <v>28639468.469384622</v>
      </c>
    </row>
    <row r="201" spans="5:15" x14ac:dyDescent="0.3">
      <c r="E201" s="20">
        <v>180</v>
      </c>
      <c r="F201" s="72">
        <f t="shared" si="18"/>
        <v>31979827.151139304</v>
      </c>
      <c r="G201" s="72">
        <f t="shared" si="19"/>
        <v>213198.84767426204</v>
      </c>
      <c r="H201" s="72">
        <f t="shared" si="20"/>
        <v>385908.10968650255</v>
      </c>
      <c r="I201" s="72">
        <f t="shared" si="21"/>
        <v>31807117.889127064</v>
      </c>
      <c r="K201">
        <f t="shared" si="22"/>
        <v>180</v>
      </c>
      <c r="L201" s="23">
        <f t="shared" si="23"/>
        <v>28639468.469384622</v>
      </c>
      <c r="M201" s="23">
        <f t="shared" si="24"/>
        <v>190929.78979589749</v>
      </c>
      <c r="N201" s="23">
        <f t="shared" si="25"/>
        <v>345599.21438013314</v>
      </c>
      <c r="O201" s="23">
        <f t="shared" si="26"/>
        <v>28484799.044800386</v>
      </c>
    </row>
    <row r="202" spans="5:15" x14ac:dyDescent="0.3">
      <c r="E202" s="20">
        <v>181</v>
      </c>
      <c r="F202" s="72">
        <f t="shared" si="18"/>
        <v>31807117.889127064</v>
      </c>
      <c r="G202" s="72">
        <f t="shared" si="19"/>
        <v>212047.45259418045</v>
      </c>
      <c r="H202" s="72">
        <f t="shared" si="20"/>
        <v>385908.10968650255</v>
      </c>
      <c r="I202" s="72">
        <f t="shared" si="21"/>
        <v>31633257.232034743</v>
      </c>
      <c r="K202">
        <f t="shared" si="22"/>
        <v>181</v>
      </c>
      <c r="L202" s="23">
        <f t="shared" si="23"/>
        <v>28484799.044800386</v>
      </c>
      <c r="M202" s="23">
        <f t="shared" si="24"/>
        <v>189898.66029866925</v>
      </c>
      <c r="N202" s="23">
        <f t="shared" si="25"/>
        <v>345599.21438013314</v>
      </c>
      <c r="O202" s="23">
        <f t="shared" si="26"/>
        <v>28329098.49071892</v>
      </c>
    </row>
    <row r="203" spans="5:15" x14ac:dyDescent="0.3">
      <c r="E203" s="20">
        <v>182</v>
      </c>
      <c r="F203" s="72">
        <f t="shared" si="18"/>
        <v>31633257.232034743</v>
      </c>
      <c r="G203" s="72">
        <f t="shared" si="19"/>
        <v>210888.38154689831</v>
      </c>
      <c r="H203" s="72">
        <f t="shared" si="20"/>
        <v>385908.10968650255</v>
      </c>
      <c r="I203" s="72">
        <f t="shared" si="21"/>
        <v>31458237.503895141</v>
      </c>
      <c r="K203">
        <f t="shared" si="22"/>
        <v>182</v>
      </c>
      <c r="L203" s="23">
        <f t="shared" si="23"/>
        <v>28329098.49071892</v>
      </c>
      <c r="M203" s="23">
        <f t="shared" si="24"/>
        <v>188860.65660479281</v>
      </c>
      <c r="N203" s="23">
        <f t="shared" si="25"/>
        <v>345599.21438013314</v>
      </c>
      <c r="O203" s="23">
        <f t="shared" si="26"/>
        <v>28172359.932943579</v>
      </c>
    </row>
    <row r="204" spans="5:15" x14ac:dyDescent="0.3">
      <c r="E204" s="20">
        <v>183</v>
      </c>
      <c r="F204" s="72">
        <f t="shared" si="18"/>
        <v>31458237.503895141</v>
      </c>
      <c r="G204" s="72">
        <f t="shared" si="19"/>
        <v>209721.58335930094</v>
      </c>
      <c r="H204" s="72">
        <f t="shared" si="20"/>
        <v>385908.10968650255</v>
      </c>
      <c r="I204" s="72">
        <f t="shared" si="21"/>
        <v>31282050.977567941</v>
      </c>
      <c r="K204">
        <f t="shared" si="22"/>
        <v>183</v>
      </c>
      <c r="L204" s="23">
        <f t="shared" si="23"/>
        <v>28172359.932943579</v>
      </c>
      <c r="M204" s="23">
        <f t="shared" si="24"/>
        <v>187815.73288629053</v>
      </c>
      <c r="N204" s="23">
        <f t="shared" si="25"/>
        <v>345599.21438013314</v>
      </c>
      <c r="O204" s="23">
        <f t="shared" si="26"/>
        <v>28014576.451449737</v>
      </c>
    </row>
    <row r="205" spans="5:15" x14ac:dyDescent="0.3">
      <c r="E205" s="20">
        <v>184</v>
      </c>
      <c r="F205" s="72">
        <f t="shared" si="18"/>
        <v>31282050.977567941</v>
      </c>
      <c r="G205" s="72">
        <f t="shared" si="19"/>
        <v>208547.00651711962</v>
      </c>
      <c r="H205" s="72">
        <f t="shared" si="20"/>
        <v>385908.10968650255</v>
      </c>
      <c r="I205" s="72">
        <f t="shared" si="21"/>
        <v>31104689.874398559</v>
      </c>
      <c r="K205">
        <f t="shared" si="22"/>
        <v>184</v>
      </c>
      <c r="L205" s="23">
        <f t="shared" si="23"/>
        <v>28014576.451449737</v>
      </c>
      <c r="M205" s="23">
        <f t="shared" si="24"/>
        <v>186763.84300966494</v>
      </c>
      <c r="N205" s="23">
        <f t="shared" si="25"/>
        <v>345599.21438013314</v>
      </c>
      <c r="O205" s="23">
        <f t="shared" si="26"/>
        <v>27855741.080079269</v>
      </c>
    </row>
    <row r="206" spans="5:15" x14ac:dyDescent="0.3">
      <c r="E206" s="20">
        <v>185</v>
      </c>
      <c r="F206" s="72">
        <f t="shared" si="18"/>
        <v>31104689.874398559</v>
      </c>
      <c r="G206" s="72">
        <f t="shared" si="19"/>
        <v>207364.59916265708</v>
      </c>
      <c r="H206" s="72">
        <f t="shared" si="20"/>
        <v>385908.10968650255</v>
      </c>
      <c r="I206" s="72">
        <f t="shared" si="21"/>
        <v>30926146.363874715</v>
      </c>
      <c r="K206">
        <f t="shared" si="22"/>
        <v>185</v>
      </c>
      <c r="L206" s="23">
        <f t="shared" si="23"/>
        <v>27855741.080079269</v>
      </c>
      <c r="M206" s="23">
        <f t="shared" si="24"/>
        <v>185704.94053386181</v>
      </c>
      <c r="N206" s="23">
        <f t="shared" si="25"/>
        <v>345599.21438013314</v>
      </c>
      <c r="O206" s="23">
        <f t="shared" si="26"/>
        <v>27695846.806232996</v>
      </c>
    </row>
    <row r="207" spans="5:15" x14ac:dyDescent="0.3">
      <c r="E207" s="20">
        <v>186</v>
      </c>
      <c r="F207" s="72">
        <f t="shared" si="18"/>
        <v>30926146.363874715</v>
      </c>
      <c r="G207" s="72">
        <f t="shared" si="19"/>
        <v>206174.30909249812</v>
      </c>
      <c r="H207" s="72">
        <f t="shared" si="20"/>
        <v>385908.10968650255</v>
      </c>
      <c r="I207" s="72">
        <f t="shared" si="21"/>
        <v>30746412.563280713</v>
      </c>
      <c r="K207">
        <f t="shared" si="22"/>
        <v>186</v>
      </c>
      <c r="L207" s="23">
        <f t="shared" si="23"/>
        <v>27695846.806232996</v>
      </c>
      <c r="M207" s="23">
        <f t="shared" si="24"/>
        <v>184638.97870821998</v>
      </c>
      <c r="N207" s="23">
        <f t="shared" si="25"/>
        <v>345599.21438013314</v>
      </c>
      <c r="O207" s="23">
        <f t="shared" si="26"/>
        <v>27534886.570561081</v>
      </c>
    </row>
    <row r="208" spans="5:15" x14ac:dyDescent="0.3">
      <c r="E208" s="20">
        <v>187</v>
      </c>
      <c r="F208" s="72">
        <f t="shared" si="18"/>
        <v>30746412.563280713</v>
      </c>
      <c r="G208" s="72">
        <f t="shared" si="19"/>
        <v>204976.08375520477</v>
      </c>
      <c r="H208" s="72">
        <f t="shared" si="20"/>
        <v>385908.10968650255</v>
      </c>
      <c r="I208" s="72">
        <f t="shared" si="21"/>
        <v>30565480.537349418</v>
      </c>
      <c r="K208">
        <f t="shared" si="22"/>
        <v>187</v>
      </c>
      <c r="L208" s="23">
        <f t="shared" si="23"/>
        <v>27534886.570561081</v>
      </c>
      <c r="M208" s="23">
        <f t="shared" si="24"/>
        <v>183565.91047040722</v>
      </c>
      <c r="N208" s="23">
        <f t="shared" si="25"/>
        <v>345599.21438013314</v>
      </c>
      <c r="O208" s="23">
        <f t="shared" si="26"/>
        <v>27372853.266651355</v>
      </c>
    </row>
    <row r="209" spans="5:15" x14ac:dyDescent="0.3">
      <c r="E209" s="20">
        <v>188</v>
      </c>
      <c r="F209" s="72">
        <f t="shared" si="18"/>
        <v>30565480.537349418</v>
      </c>
      <c r="G209" s="72">
        <f t="shared" si="19"/>
        <v>203769.87024899613</v>
      </c>
      <c r="H209" s="72">
        <f t="shared" si="20"/>
        <v>385908.10968650255</v>
      </c>
      <c r="I209" s="72">
        <f t="shared" si="21"/>
        <v>30383342.297911912</v>
      </c>
      <c r="K209">
        <f t="shared" si="22"/>
        <v>188</v>
      </c>
      <c r="L209" s="23">
        <f t="shared" si="23"/>
        <v>27372853.266651355</v>
      </c>
      <c r="M209" s="23">
        <f t="shared" si="24"/>
        <v>182485.68844434238</v>
      </c>
      <c r="N209" s="23">
        <f t="shared" si="25"/>
        <v>345599.21438013314</v>
      </c>
      <c r="O209" s="23">
        <f t="shared" si="26"/>
        <v>27209739.740715563</v>
      </c>
    </row>
    <row r="210" spans="5:15" x14ac:dyDescent="0.3">
      <c r="E210" s="20">
        <v>189</v>
      </c>
      <c r="F210" s="72">
        <f t="shared" si="18"/>
        <v>30383342.297911912</v>
      </c>
      <c r="G210" s="72">
        <f t="shared" si="19"/>
        <v>202555.61531941275</v>
      </c>
      <c r="H210" s="72">
        <f t="shared" si="20"/>
        <v>385908.10968650255</v>
      </c>
      <c r="I210" s="72">
        <f t="shared" si="21"/>
        <v>30199989.803544823</v>
      </c>
      <c r="K210">
        <f t="shared" si="22"/>
        <v>189</v>
      </c>
      <c r="L210" s="23">
        <f t="shared" si="23"/>
        <v>27209739.740715563</v>
      </c>
      <c r="M210" s="23">
        <f t="shared" si="24"/>
        <v>181398.26493810376</v>
      </c>
      <c r="N210" s="23">
        <f t="shared" si="25"/>
        <v>345599.21438013314</v>
      </c>
      <c r="O210" s="23">
        <f t="shared" si="26"/>
        <v>27045538.791273534</v>
      </c>
    </row>
    <row r="211" spans="5:15" x14ac:dyDescent="0.3">
      <c r="E211" s="20">
        <v>190</v>
      </c>
      <c r="F211" s="72">
        <f t="shared" si="18"/>
        <v>30199989.803544823</v>
      </c>
      <c r="G211" s="72">
        <f t="shared" si="19"/>
        <v>201333.26535696551</v>
      </c>
      <c r="H211" s="72">
        <f t="shared" si="20"/>
        <v>385908.10968650255</v>
      </c>
      <c r="I211" s="72">
        <f t="shared" si="21"/>
        <v>30015414.959215287</v>
      </c>
      <c r="K211">
        <f t="shared" si="22"/>
        <v>190</v>
      </c>
      <c r="L211" s="23">
        <f t="shared" si="23"/>
        <v>27045538.791273534</v>
      </c>
      <c r="M211" s="23">
        <f t="shared" si="24"/>
        <v>180303.59194182357</v>
      </c>
      <c r="N211" s="23">
        <f t="shared" si="25"/>
        <v>345599.21438013314</v>
      </c>
      <c r="O211" s="23">
        <f t="shared" si="26"/>
        <v>26880243.168835223</v>
      </c>
    </row>
    <row r="212" spans="5:15" x14ac:dyDescent="0.3">
      <c r="E212" s="20">
        <v>191</v>
      </c>
      <c r="F212" s="72">
        <f t="shared" si="18"/>
        <v>30015414.959215287</v>
      </c>
      <c r="G212" s="72">
        <f t="shared" si="19"/>
        <v>200102.76639476858</v>
      </c>
      <c r="H212" s="72">
        <f t="shared" si="20"/>
        <v>385908.10968650255</v>
      </c>
      <c r="I212" s="72">
        <f t="shared" si="21"/>
        <v>29829609.615923554</v>
      </c>
      <c r="K212">
        <f t="shared" si="22"/>
        <v>191</v>
      </c>
      <c r="L212" s="23">
        <f t="shared" si="23"/>
        <v>26880243.168835223</v>
      </c>
      <c r="M212" s="23">
        <f t="shared" si="24"/>
        <v>179201.62112556817</v>
      </c>
      <c r="N212" s="23">
        <f t="shared" si="25"/>
        <v>345599.21438013314</v>
      </c>
      <c r="O212" s="23">
        <f t="shared" si="26"/>
        <v>26713845.575580657</v>
      </c>
    </row>
    <row r="213" spans="5:15" x14ac:dyDescent="0.3">
      <c r="E213" s="20">
        <v>192</v>
      </c>
      <c r="F213" s="72">
        <f t="shared" si="18"/>
        <v>29829609.615923554</v>
      </c>
      <c r="G213" s="72">
        <f t="shared" si="19"/>
        <v>198864.06410615705</v>
      </c>
      <c r="H213" s="72">
        <f t="shared" si="20"/>
        <v>385908.10968650255</v>
      </c>
      <c r="I213" s="72">
        <f t="shared" si="21"/>
        <v>29642565.570343211</v>
      </c>
      <c r="K213">
        <f t="shared" si="22"/>
        <v>192</v>
      </c>
      <c r="L213" s="23">
        <f t="shared" si="23"/>
        <v>26713845.575580657</v>
      </c>
      <c r="M213" s="23">
        <f t="shared" si="24"/>
        <v>178092.30383720438</v>
      </c>
      <c r="N213" s="23">
        <f t="shared" si="25"/>
        <v>345599.21438013314</v>
      </c>
      <c r="O213" s="23">
        <f t="shared" si="26"/>
        <v>26546338.665037729</v>
      </c>
    </row>
    <row r="214" spans="5:15" x14ac:dyDescent="0.3">
      <c r="E214" s="20">
        <v>193</v>
      </c>
      <c r="F214" s="72">
        <f t="shared" si="18"/>
        <v>29642565.570343211</v>
      </c>
      <c r="G214" s="72">
        <f t="shared" si="19"/>
        <v>197617.1038022881</v>
      </c>
      <c r="H214" s="72">
        <f t="shared" si="20"/>
        <v>385908.10968650255</v>
      </c>
      <c r="I214" s="72">
        <f t="shared" si="21"/>
        <v>29454274.564459</v>
      </c>
      <c r="K214">
        <f t="shared" si="22"/>
        <v>193</v>
      </c>
      <c r="L214" s="23">
        <f t="shared" si="23"/>
        <v>26546338.665037729</v>
      </c>
      <c r="M214" s="23">
        <f t="shared" si="24"/>
        <v>176975.59110025153</v>
      </c>
      <c r="N214" s="23">
        <f t="shared" si="25"/>
        <v>345599.21438013314</v>
      </c>
      <c r="O214" s="23">
        <f t="shared" si="26"/>
        <v>26377715.041757848</v>
      </c>
    </row>
    <row r="215" spans="5:15" x14ac:dyDescent="0.3">
      <c r="E215" s="20">
        <v>194</v>
      </c>
      <c r="F215" s="72">
        <f t="shared" si="18"/>
        <v>29454274.564459</v>
      </c>
      <c r="G215" s="72">
        <f t="shared" si="19"/>
        <v>196361.83042972669</v>
      </c>
      <c r="H215" s="72">
        <f t="shared" si="20"/>
        <v>385908.10968650255</v>
      </c>
      <c r="I215" s="72">
        <f t="shared" si="21"/>
        <v>29264728.285202224</v>
      </c>
      <c r="K215">
        <f t="shared" si="22"/>
        <v>194</v>
      </c>
      <c r="L215" s="23">
        <f t="shared" si="23"/>
        <v>26377715.041757848</v>
      </c>
      <c r="M215" s="23">
        <f t="shared" si="24"/>
        <v>175851.433611719</v>
      </c>
      <c r="N215" s="23">
        <f t="shared" si="25"/>
        <v>345599.21438013314</v>
      </c>
      <c r="O215" s="23">
        <f t="shared" si="26"/>
        <v>26207967.260989435</v>
      </c>
    </row>
    <row r="216" spans="5:15" x14ac:dyDescent="0.3">
      <c r="E216" s="20">
        <v>195</v>
      </c>
      <c r="F216" s="72">
        <f t="shared" ref="F216:F279" si="27">I215</f>
        <v>29264728.285202224</v>
      </c>
      <c r="G216" s="72">
        <f t="shared" ref="G216:G279" si="28">F216*$K$13</f>
        <v>195098.18856801483</v>
      </c>
      <c r="H216" s="72">
        <f t="shared" ref="H216:H279" si="29">$G$17</f>
        <v>385908.10968650255</v>
      </c>
      <c r="I216" s="72">
        <f t="shared" ref="I216:I279" si="30">F216+G216-H216</f>
        <v>29073918.364083737</v>
      </c>
      <c r="K216">
        <f t="shared" si="22"/>
        <v>195</v>
      </c>
      <c r="L216" s="23">
        <f t="shared" si="23"/>
        <v>26207967.260989435</v>
      </c>
      <c r="M216" s="23">
        <f t="shared" si="24"/>
        <v>174719.78173992957</v>
      </c>
      <c r="N216" s="23">
        <f t="shared" si="25"/>
        <v>345599.21438013314</v>
      </c>
      <c r="O216" s="23">
        <f t="shared" si="26"/>
        <v>26037087.828349229</v>
      </c>
    </row>
    <row r="217" spans="5:15" x14ac:dyDescent="0.3">
      <c r="E217" s="20">
        <v>196</v>
      </c>
      <c r="F217" s="72">
        <f t="shared" si="27"/>
        <v>29073918.364083737</v>
      </c>
      <c r="G217" s="72">
        <f t="shared" si="28"/>
        <v>193826.12242722494</v>
      </c>
      <c r="H217" s="72">
        <f t="shared" si="29"/>
        <v>385908.10968650255</v>
      </c>
      <c r="I217" s="72">
        <f t="shared" si="30"/>
        <v>28881836.376824461</v>
      </c>
      <c r="K217">
        <f t="shared" si="22"/>
        <v>196</v>
      </c>
      <c r="L217" s="23">
        <f t="shared" si="23"/>
        <v>26037087.828349229</v>
      </c>
      <c r="M217" s="23">
        <f t="shared" si="24"/>
        <v>173580.58552232821</v>
      </c>
      <c r="N217" s="23">
        <f t="shared" si="25"/>
        <v>345599.21438013314</v>
      </c>
      <c r="O217" s="23">
        <f t="shared" si="26"/>
        <v>25865069.199491423</v>
      </c>
    </row>
    <row r="218" spans="5:15" x14ac:dyDescent="0.3">
      <c r="E218" s="20">
        <v>197</v>
      </c>
      <c r="F218" s="72">
        <f t="shared" si="27"/>
        <v>28881836.376824461</v>
      </c>
      <c r="G218" s="72">
        <f t="shared" si="28"/>
        <v>192545.57584549641</v>
      </c>
      <c r="H218" s="72">
        <f t="shared" si="29"/>
        <v>385908.10968650255</v>
      </c>
      <c r="I218" s="72">
        <f t="shared" si="30"/>
        <v>28688473.842983454</v>
      </c>
      <c r="K218">
        <f t="shared" si="22"/>
        <v>197</v>
      </c>
      <c r="L218" s="23">
        <f t="shared" si="23"/>
        <v>25865069.199491423</v>
      </c>
      <c r="M218" s="23">
        <f t="shared" si="24"/>
        <v>172433.79466327617</v>
      </c>
      <c r="N218" s="23">
        <f t="shared" si="25"/>
        <v>345599.21438013314</v>
      </c>
      <c r="O218" s="23">
        <f t="shared" si="26"/>
        <v>25691903.779774565</v>
      </c>
    </row>
    <row r="219" spans="5:15" x14ac:dyDescent="0.3">
      <c r="E219" s="20">
        <v>198</v>
      </c>
      <c r="F219" s="72">
        <f t="shared" si="27"/>
        <v>28688473.842983454</v>
      </c>
      <c r="G219" s="72">
        <f t="shared" si="28"/>
        <v>191256.49228655637</v>
      </c>
      <c r="H219" s="72">
        <f t="shared" si="29"/>
        <v>385908.10968650255</v>
      </c>
      <c r="I219" s="72">
        <f t="shared" si="30"/>
        <v>28493822.225583509</v>
      </c>
      <c r="K219">
        <f t="shared" si="22"/>
        <v>198</v>
      </c>
      <c r="L219" s="23">
        <f t="shared" si="23"/>
        <v>25691903.779774565</v>
      </c>
      <c r="M219" s="23">
        <f t="shared" si="24"/>
        <v>171279.35853183045</v>
      </c>
      <c r="N219" s="23">
        <f t="shared" si="25"/>
        <v>345599.21438013314</v>
      </c>
      <c r="O219" s="23">
        <f t="shared" si="26"/>
        <v>25517583.92392626</v>
      </c>
    </row>
    <row r="220" spans="5:15" x14ac:dyDescent="0.3">
      <c r="E220" s="20">
        <v>199</v>
      </c>
      <c r="F220" s="72">
        <f t="shared" si="27"/>
        <v>28493822.225583509</v>
      </c>
      <c r="G220" s="72">
        <f t="shared" si="28"/>
        <v>189958.81483722341</v>
      </c>
      <c r="H220" s="72">
        <f t="shared" si="29"/>
        <v>385908.10968650255</v>
      </c>
      <c r="I220" s="72">
        <f t="shared" si="30"/>
        <v>28297872.930734232</v>
      </c>
      <c r="K220">
        <f t="shared" si="22"/>
        <v>199</v>
      </c>
      <c r="L220" s="23">
        <f t="shared" si="23"/>
        <v>25517583.92392626</v>
      </c>
      <c r="M220" s="23">
        <f t="shared" si="24"/>
        <v>170117.22615950843</v>
      </c>
      <c r="N220" s="23">
        <f t="shared" si="25"/>
        <v>345599.21438013314</v>
      </c>
      <c r="O220" s="23">
        <f t="shared" si="26"/>
        <v>25342101.935705636</v>
      </c>
    </row>
    <row r="221" spans="5:15" x14ac:dyDescent="0.3">
      <c r="E221" s="20">
        <v>200</v>
      </c>
      <c r="F221" s="72">
        <f t="shared" si="27"/>
        <v>28297872.930734232</v>
      </c>
      <c r="G221" s="72">
        <f t="shared" si="28"/>
        <v>188652.4862048949</v>
      </c>
      <c r="H221" s="72">
        <f t="shared" si="29"/>
        <v>385908.10968650255</v>
      </c>
      <c r="I221" s="72">
        <f t="shared" si="30"/>
        <v>28100617.307252627</v>
      </c>
      <c r="K221">
        <f t="shared" si="22"/>
        <v>200</v>
      </c>
      <c r="L221" s="23">
        <f t="shared" si="23"/>
        <v>25342101.935705636</v>
      </c>
      <c r="M221" s="23">
        <f t="shared" si="24"/>
        <v>168947.34623803757</v>
      </c>
      <c r="N221" s="23">
        <f t="shared" si="25"/>
        <v>345599.21438013314</v>
      </c>
      <c r="O221" s="23">
        <f t="shared" si="26"/>
        <v>25165450.067563538</v>
      </c>
    </row>
    <row r="222" spans="5:15" x14ac:dyDescent="0.3">
      <c r="E222" s="20">
        <v>201</v>
      </c>
      <c r="F222" s="72">
        <f t="shared" si="27"/>
        <v>28100617.307252627</v>
      </c>
      <c r="G222" s="72">
        <f t="shared" si="28"/>
        <v>187337.44871501753</v>
      </c>
      <c r="H222" s="72">
        <f t="shared" si="29"/>
        <v>385908.10968650255</v>
      </c>
      <c r="I222" s="72">
        <f t="shared" si="30"/>
        <v>27902046.646281142</v>
      </c>
      <c r="K222">
        <f t="shared" si="22"/>
        <v>201</v>
      </c>
      <c r="L222" s="23">
        <f t="shared" si="23"/>
        <v>25165450.067563538</v>
      </c>
      <c r="M222" s="23">
        <f t="shared" si="24"/>
        <v>167769.66711709026</v>
      </c>
      <c r="N222" s="23">
        <f t="shared" si="25"/>
        <v>345599.21438013314</v>
      </c>
      <c r="O222" s="23">
        <f t="shared" si="26"/>
        <v>24987620.520300493</v>
      </c>
    </row>
    <row r="223" spans="5:15" x14ac:dyDescent="0.3">
      <c r="E223" s="20">
        <v>202</v>
      </c>
      <c r="F223" s="72">
        <f t="shared" si="27"/>
        <v>27902046.646281142</v>
      </c>
      <c r="G223" s="72">
        <f t="shared" si="28"/>
        <v>186013.64430854097</v>
      </c>
      <c r="H223" s="72">
        <f t="shared" si="29"/>
        <v>385908.10968650255</v>
      </c>
      <c r="I223" s="72">
        <f t="shared" si="30"/>
        <v>27702152.180903181</v>
      </c>
      <c r="K223">
        <f t="shared" si="22"/>
        <v>202</v>
      </c>
      <c r="L223" s="23">
        <f t="shared" si="23"/>
        <v>24987620.520300493</v>
      </c>
      <c r="M223" s="23">
        <f t="shared" si="24"/>
        <v>166584.13680200328</v>
      </c>
      <c r="N223" s="23">
        <f t="shared" si="25"/>
        <v>345599.21438013314</v>
      </c>
      <c r="O223" s="23">
        <f t="shared" si="26"/>
        <v>24808605.442722362</v>
      </c>
    </row>
    <row r="224" spans="5:15" x14ac:dyDescent="0.3">
      <c r="E224" s="20">
        <v>203</v>
      </c>
      <c r="F224" s="72">
        <f t="shared" si="27"/>
        <v>27702152.180903181</v>
      </c>
      <c r="G224" s="72">
        <f t="shared" si="28"/>
        <v>184681.01453935457</v>
      </c>
      <c r="H224" s="72">
        <f t="shared" si="29"/>
        <v>385908.10968650255</v>
      </c>
      <c r="I224" s="72">
        <f t="shared" si="30"/>
        <v>27500925.085756034</v>
      </c>
      <c r="K224">
        <f t="shared" si="22"/>
        <v>203</v>
      </c>
      <c r="L224" s="23">
        <f t="shared" si="23"/>
        <v>24808605.442722362</v>
      </c>
      <c r="M224" s="23">
        <f t="shared" si="24"/>
        <v>165390.70295148241</v>
      </c>
      <c r="N224" s="23">
        <f t="shared" si="25"/>
        <v>345599.21438013314</v>
      </c>
      <c r="O224" s="23">
        <f t="shared" si="26"/>
        <v>24628396.931293711</v>
      </c>
    </row>
    <row r="225" spans="5:15" x14ac:dyDescent="0.3">
      <c r="E225" s="20">
        <v>204</v>
      </c>
      <c r="F225" s="72">
        <f t="shared" si="27"/>
        <v>27500925.085756034</v>
      </c>
      <c r="G225" s="72">
        <f t="shared" si="28"/>
        <v>183339.50057170691</v>
      </c>
      <c r="H225" s="72">
        <f t="shared" si="29"/>
        <v>385908.10968650255</v>
      </c>
      <c r="I225" s="72">
        <f t="shared" si="30"/>
        <v>27298356.476641238</v>
      </c>
      <c r="K225">
        <f t="shared" si="22"/>
        <v>204</v>
      </c>
      <c r="L225" s="23">
        <f t="shared" si="23"/>
        <v>24628396.931293711</v>
      </c>
      <c r="M225" s="23">
        <f t="shared" si="24"/>
        <v>164189.31287529142</v>
      </c>
      <c r="N225" s="23">
        <f t="shared" si="25"/>
        <v>345599.21438013314</v>
      </c>
      <c r="O225" s="23">
        <f t="shared" si="26"/>
        <v>24446987.02978887</v>
      </c>
    </row>
    <row r="226" spans="5:15" x14ac:dyDescent="0.3">
      <c r="E226" s="20">
        <v>205</v>
      </c>
      <c r="F226" s="72">
        <f t="shared" si="27"/>
        <v>27298356.476641238</v>
      </c>
      <c r="G226" s="72">
        <f t="shared" si="28"/>
        <v>181989.04317760826</v>
      </c>
      <c r="H226" s="72">
        <f t="shared" si="29"/>
        <v>385908.10968650255</v>
      </c>
      <c r="I226" s="72">
        <f t="shared" si="30"/>
        <v>27094437.410132345</v>
      </c>
      <c r="K226">
        <f t="shared" si="22"/>
        <v>205</v>
      </c>
      <c r="L226" s="23">
        <f t="shared" si="23"/>
        <v>24446987.02978887</v>
      </c>
      <c r="M226" s="23">
        <f t="shared" si="24"/>
        <v>162979.91353192582</v>
      </c>
      <c r="N226" s="23">
        <f t="shared" si="25"/>
        <v>345599.21438013314</v>
      </c>
      <c r="O226" s="23">
        <f t="shared" si="26"/>
        <v>24264367.728940662</v>
      </c>
    </row>
    <row r="227" spans="5:15" x14ac:dyDescent="0.3">
      <c r="E227" s="20">
        <v>206</v>
      </c>
      <c r="F227" s="72">
        <f t="shared" si="27"/>
        <v>27094437.410132345</v>
      </c>
      <c r="G227" s="72">
        <f t="shared" si="28"/>
        <v>180629.58273421566</v>
      </c>
      <c r="H227" s="72">
        <f t="shared" si="29"/>
        <v>385908.10968650255</v>
      </c>
      <c r="I227" s="72">
        <f t="shared" si="30"/>
        <v>26889158.883180059</v>
      </c>
      <c r="K227">
        <f t="shared" si="22"/>
        <v>206</v>
      </c>
      <c r="L227" s="23">
        <f t="shared" si="23"/>
        <v>24264367.728940662</v>
      </c>
      <c r="M227" s="23">
        <f t="shared" si="24"/>
        <v>161762.45152627109</v>
      </c>
      <c r="N227" s="23">
        <f t="shared" si="25"/>
        <v>345599.21438013314</v>
      </c>
      <c r="O227" s="23">
        <f t="shared" si="26"/>
        <v>24080530.966086797</v>
      </c>
    </row>
    <row r="228" spans="5:15" x14ac:dyDescent="0.3">
      <c r="E228" s="20">
        <v>207</v>
      </c>
      <c r="F228" s="72">
        <f t="shared" si="27"/>
        <v>26889158.883180059</v>
      </c>
      <c r="G228" s="72">
        <f t="shared" si="28"/>
        <v>179261.05922120041</v>
      </c>
      <c r="H228" s="72">
        <f t="shared" si="29"/>
        <v>385908.10968650255</v>
      </c>
      <c r="I228" s="72">
        <f t="shared" si="30"/>
        <v>26682511.832714759</v>
      </c>
      <c r="K228">
        <f t="shared" si="22"/>
        <v>207</v>
      </c>
      <c r="L228" s="23">
        <f t="shared" si="23"/>
        <v>24080530.966086797</v>
      </c>
      <c r="M228" s="23">
        <f t="shared" si="24"/>
        <v>160536.87310724534</v>
      </c>
      <c r="N228" s="23">
        <f t="shared" si="25"/>
        <v>345599.21438013314</v>
      </c>
      <c r="O228" s="23">
        <f t="shared" si="26"/>
        <v>23895468.624813911</v>
      </c>
    </row>
    <row r="229" spans="5:15" x14ac:dyDescent="0.3">
      <c r="E229" s="20">
        <v>208</v>
      </c>
      <c r="F229" s="72">
        <f t="shared" si="27"/>
        <v>26682511.832714759</v>
      </c>
      <c r="G229" s="72">
        <f t="shared" si="28"/>
        <v>177883.41221809841</v>
      </c>
      <c r="H229" s="72">
        <f t="shared" si="29"/>
        <v>385908.10968650255</v>
      </c>
      <c r="I229" s="72">
        <f t="shared" si="30"/>
        <v>26474487.135246355</v>
      </c>
      <c r="K229">
        <f t="shared" si="22"/>
        <v>208</v>
      </c>
      <c r="L229" s="23">
        <f t="shared" si="23"/>
        <v>23895468.624813911</v>
      </c>
      <c r="M229" s="23">
        <f t="shared" si="24"/>
        <v>159303.12416542607</v>
      </c>
      <c r="N229" s="23">
        <f t="shared" si="25"/>
        <v>345599.21438013314</v>
      </c>
      <c r="O229" s="23">
        <f t="shared" si="26"/>
        <v>23709172.534599204</v>
      </c>
    </row>
    <row r="230" spans="5:15" x14ac:dyDescent="0.3">
      <c r="E230" s="20">
        <v>209</v>
      </c>
      <c r="F230" s="72">
        <f t="shared" si="27"/>
        <v>26474487.135246355</v>
      </c>
      <c r="G230" s="72">
        <f t="shared" si="28"/>
        <v>176496.58090164239</v>
      </c>
      <c r="H230" s="72">
        <f t="shared" si="29"/>
        <v>385908.10968650255</v>
      </c>
      <c r="I230" s="72">
        <f t="shared" si="30"/>
        <v>26265075.606461495</v>
      </c>
      <c r="K230">
        <f t="shared" si="22"/>
        <v>209</v>
      </c>
      <c r="L230" s="23">
        <f t="shared" si="23"/>
        <v>23709172.534599204</v>
      </c>
      <c r="M230" s="23">
        <f t="shared" si="24"/>
        <v>158061.15023066135</v>
      </c>
      <c r="N230" s="23">
        <f t="shared" si="25"/>
        <v>345599.21438013314</v>
      </c>
      <c r="O230" s="23">
        <f t="shared" si="26"/>
        <v>23521634.470449731</v>
      </c>
    </row>
    <row r="231" spans="5:15" x14ac:dyDescent="0.3">
      <c r="E231" s="20">
        <v>210</v>
      </c>
      <c r="F231" s="72">
        <f t="shared" si="27"/>
        <v>26265075.606461495</v>
      </c>
      <c r="G231" s="72">
        <f t="shared" si="28"/>
        <v>175100.50404307665</v>
      </c>
      <c r="H231" s="72">
        <f t="shared" si="29"/>
        <v>385908.10968650255</v>
      </c>
      <c r="I231" s="72">
        <f t="shared" si="30"/>
        <v>26054268.00081807</v>
      </c>
      <c r="K231">
        <f t="shared" si="22"/>
        <v>210</v>
      </c>
      <c r="L231" s="23">
        <f t="shared" si="23"/>
        <v>23521634.470449731</v>
      </c>
      <c r="M231" s="23">
        <f t="shared" si="24"/>
        <v>156810.89646966488</v>
      </c>
      <c r="N231" s="23">
        <f t="shared" si="25"/>
        <v>345599.21438013314</v>
      </c>
      <c r="O231" s="23">
        <f t="shared" si="26"/>
        <v>23332846.152539261</v>
      </c>
    </row>
    <row r="232" spans="5:15" x14ac:dyDescent="0.3">
      <c r="E232" s="20">
        <v>211</v>
      </c>
      <c r="F232" s="72">
        <f t="shared" si="27"/>
        <v>26054268.00081807</v>
      </c>
      <c r="G232" s="72">
        <f t="shared" si="28"/>
        <v>173695.12000545382</v>
      </c>
      <c r="H232" s="72">
        <f t="shared" si="29"/>
        <v>385908.10968650255</v>
      </c>
      <c r="I232" s="72">
        <f t="shared" si="30"/>
        <v>25842055.011137024</v>
      </c>
      <c r="K232">
        <f t="shared" si="22"/>
        <v>211</v>
      </c>
      <c r="L232" s="23">
        <f t="shared" si="23"/>
        <v>23332846.152539261</v>
      </c>
      <c r="M232" s="23">
        <f t="shared" si="24"/>
        <v>155552.30768359508</v>
      </c>
      <c r="N232" s="23">
        <f t="shared" si="25"/>
        <v>345599.21438013314</v>
      </c>
      <c r="O232" s="23">
        <f t="shared" si="26"/>
        <v>23142799.245842721</v>
      </c>
    </row>
    <row r="233" spans="5:15" x14ac:dyDescent="0.3">
      <c r="E233" s="20">
        <v>212</v>
      </c>
      <c r="F233" s="72">
        <f t="shared" si="27"/>
        <v>25842055.011137024</v>
      </c>
      <c r="G233" s="72">
        <f t="shared" si="28"/>
        <v>172280.36674091351</v>
      </c>
      <c r="H233" s="72">
        <f t="shared" si="29"/>
        <v>385908.10968650255</v>
      </c>
      <c r="I233" s="72">
        <f t="shared" si="30"/>
        <v>25628427.268191434</v>
      </c>
      <c r="K233">
        <f t="shared" si="22"/>
        <v>212</v>
      </c>
      <c r="L233" s="23">
        <f t="shared" si="23"/>
        <v>23142799.245842721</v>
      </c>
      <c r="M233" s="23">
        <f t="shared" si="24"/>
        <v>154285.32830561814</v>
      </c>
      <c r="N233" s="23">
        <f t="shared" si="25"/>
        <v>345599.21438013314</v>
      </c>
      <c r="O233" s="23">
        <f t="shared" si="26"/>
        <v>22951485.359768204</v>
      </c>
    </row>
    <row r="234" spans="5:15" x14ac:dyDescent="0.3">
      <c r="E234" s="20">
        <v>213</v>
      </c>
      <c r="F234" s="72">
        <f t="shared" si="27"/>
        <v>25628427.268191434</v>
      </c>
      <c r="G234" s="72">
        <f t="shared" si="28"/>
        <v>170856.18178794291</v>
      </c>
      <c r="H234" s="72">
        <f t="shared" si="29"/>
        <v>385908.10968650255</v>
      </c>
      <c r="I234" s="72">
        <f t="shared" si="30"/>
        <v>25413375.340292875</v>
      </c>
      <c r="K234">
        <f t="shared" si="22"/>
        <v>213</v>
      </c>
      <c r="L234" s="23">
        <f t="shared" si="23"/>
        <v>22951485.359768204</v>
      </c>
      <c r="M234" s="23">
        <f t="shared" si="24"/>
        <v>153009.90239845469</v>
      </c>
      <c r="N234" s="23">
        <f t="shared" si="25"/>
        <v>345599.21438013314</v>
      </c>
      <c r="O234" s="23">
        <f t="shared" si="26"/>
        <v>22758896.047786526</v>
      </c>
    </row>
    <row r="235" spans="5:15" x14ac:dyDescent="0.3">
      <c r="E235" s="20">
        <v>214</v>
      </c>
      <c r="F235" s="72">
        <f t="shared" si="27"/>
        <v>25413375.340292875</v>
      </c>
      <c r="G235" s="72">
        <f t="shared" si="28"/>
        <v>169422.50226861917</v>
      </c>
      <c r="H235" s="72">
        <f t="shared" si="29"/>
        <v>385908.10968650255</v>
      </c>
      <c r="I235" s="72">
        <f t="shared" si="30"/>
        <v>25196889.732874993</v>
      </c>
      <c r="K235">
        <f t="shared" si="22"/>
        <v>214</v>
      </c>
      <c r="L235" s="23">
        <f t="shared" si="23"/>
        <v>22758896.047786526</v>
      </c>
      <c r="M235" s="23">
        <f t="shared" si="24"/>
        <v>151725.97365191017</v>
      </c>
      <c r="N235" s="23">
        <f t="shared" si="25"/>
        <v>345599.21438013314</v>
      </c>
      <c r="O235" s="23">
        <f t="shared" si="26"/>
        <v>22565022.807058301</v>
      </c>
    </row>
    <row r="236" spans="5:15" x14ac:dyDescent="0.3">
      <c r="E236" s="20">
        <v>215</v>
      </c>
      <c r="F236" s="72">
        <f t="shared" si="27"/>
        <v>25196889.732874993</v>
      </c>
      <c r="G236" s="72">
        <f t="shared" si="28"/>
        <v>167979.26488583331</v>
      </c>
      <c r="H236" s="72">
        <f t="shared" si="29"/>
        <v>385908.10968650255</v>
      </c>
      <c r="I236" s="72">
        <f t="shared" si="30"/>
        <v>24978960.888074324</v>
      </c>
      <c r="K236">
        <f t="shared" si="22"/>
        <v>215</v>
      </c>
      <c r="L236" s="23">
        <f t="shared" si="23"/>
        <v>22565022.807058301</v>
      </c>
      <c r="M236" s="23">
        <f t="shared" si="24"/>
        <v>150433.48538038868</v>
      </c>
      <c r="N236" s="23">
        <f t="shared" si="25"/>
        <v>345599.21438013314</v>
      </c>
      <c r="O236" s="23">
        <f t="shared" si="26"/>
        <v>22369857.078058556</v>
      </c>
    </row>
    <row r="237" spans="5:15" x14ac:dyDescent="0.3">
      <c r="E237" s="20">
        <v>216</v>
      </c>
      <c r="F237" s="72">
        <f t="shared" si="27"/>
        <v>24978960.888074324</v>
      </c>
      <c r="G237" s="72">
        <f t="shared" si="28"/>
        <v>166526.40592049551</v>
      </c>
      <c r="H237" s="72">
        <f t="shared" si="29"/>
        <v>385908.10968650255</v>
      </c>
      <c r="I237" s="72">
        <f t="shared" si="30"/>
        <v>24759579.184308317</v>
      </c>
      <c r="K237">
        <f t="shared" si="22"/>
        <v>216</v>
      </c>
      <c r="L237" s="23">
        <f t="shared" si="23"/>
        <v>22369857.078058556</v>
      </c>
      <c r="M237" s="23">
        <f t="shared" si="24"/>
        <v>149132.38052039038</v>
      </c>
      <c r="N237" s="23">
        <f t="shared" si="25"/>
        <v>345599.21438013314</v>
      </c>
      <c r="O237" s="23">
        <f t="shared" si="26"/>
        <v>22173390.244198814</v>
      </c>
    </row>
    <row r="238" spans="5:15" x14ac:dyDescent="0.3">
      <c r="E238" s="20">
        <v>217</v>
      </c>
      <c r="F238" s="72">
        <f t="shared" si="27"/>
        <v>24759579.184308317</v>
      </c>
      <c r="G238" s="72">
        <f t="shared" si="28"/>
        <v>165063.86122872212</v>
      </c>
      <c r="H238" s="72">
        <f t="shared" si="29"/>
        <v>385908.10968650255</v>
      </c>
      <c r="I238" s="72">
        <f t="shared" si="30"/>
        <v>24538734.935850538</v>
      </c>
      <c r="K238">
        <f t="shared" si="22"/>
        <v>217</v>
      </c>
      <c r="L238" s="23">
        <f t="shared" si="23"/>
        <v>22173390.244198814</v>
      </c>
      <c r="M238" s="23">
        <f t="shared" si="24"/>
        <v>147822.60162799212</v>
      </c>
      <c r="N238" s="23">
        <f t="shared" si="25"/>
        <v>345599.21438013314</v>
      </c>
      <c r="O238" s="23">
        <f t="shared" si="26"/>
        <v>21975613.631446671</v>
      </c>
    </row>
    <row r="239" spans="5:15" x14ac:dyDescent="0.3">
      <c r="E239" s="20">
        <v>218</v>
      </c>
      <c r="F239" s="72">
        <f t="shared" si="27"/>
        <v>24538734.935850538</v>
      </c>
      <c r="G239" s="72">
        <f t="shared" si="28"/>
        <v>163591.56623900359</v>
      </c>
      <c r="H239" s="72">
        <f t="shared" si="29"/>
        <v>385908.10968650255</v>
      </c>
      <c r="I239" s="72">
        <f t="shared" si="30"/>
        <v>24316418.39240304</v>
      </c>
      <c r="K239">
        <f t="shared" si="22"/>
        <v>218</v>
      </c>
      <c r="L239" s="23">
        <f t="shared" si="23"/>
        <v>21975613.631446671</v>
      </c>
      <c r="M239" s="23">
        <f t="shared" si="24"/>
        <v>146504.09087631115</v>
      </c>
      <c r="N239" s="23">
        <f t="shared" si="25"/>
        <v>345599.21438013314</v>
      </c>
      <c r="O239" s="23">
        <f t="shared" si="26"/>
        <v>21776518.507942848</v>
      </c>
    </row>
    <row r="240" spans="5:15" x14ac:dyDescent="0.3">
      <c r="E240" s="20">
        <v>219</v>
      </c>
      <c r="F240" s="72">
        <f t="shared" si="27"/>
        <v>24316418.39240304</v>
      </c>
      <c r="G240" s="72">
        <f t="shared" si="28"/>
        <v>162109.45594935361</v>
      </c>
      <c r="H240" s="72">
        <f t="shared" si="29"/>
        <v>385908.10968650255</v>
      </c>
      <c r="I240" s="72">
        <f t="shared" si="30"/>
        <v>24092619.738665894</v>
      </c>
      <c r="K240">
        <f t="shared" si="22"/>
        <v>219</v>
      </c>
      <c r="L240" s="23">
        <f t="shared" si="23"/>
        <v>21776518.507942848</v>
      </c>
      <c r="M240" s="23">
        <f t="shared" si="24"/>
        <v>145176.79005295233</v>
      </c>
      <c r="N240" s="23">
        <f t="shared" si="25"/>
        <v>345599.21438013314</v>
      </c>
      <c r="O240" s="23">
        <f t="shared" si="26"/>
        <v>21576096.083615668</v>
      </c>
    </row>
    <row r="241" spans="5:15" x14ac:dyDescent="0.3">
      <c r="E241" s="20">
        <v>220</v>
      </c>
      <c r="F241" s="72">
        <f t="shared" si="27"/>
        <v>24092619.738665894</v>
      </c>
      <c r="G241" s="72">
        <f t="shared" si="28"/>
        <v>160617.46492443929</v>
      </c>
      <c r="H241" s="72">
        <f t="shared" si="29"/>
        <v>385908.10968650255</v>
      </c>
      <c r="I241" s="72">
        <f t="shared" si="30"/>
        <v>23867329.093903832</v>
      </c>
      <c r="K241">
        <f t="shared" si="22"/>
        <v>220</v>
      </c>
      <c r="L241" s="23">
        <f t="shared" si="23"/>
        <v>21576096.083615668</v>
      </c>
      <c r="M241" s="23">
        <f t="shared" si="24"/>
        <v>143840.64055743779</v>
      </c>
      <c r="N241" s="23">
        <f t="shared" si="25"/>
        <v>345599.21438013314</v>
      </c>
      <c r="O241" s="23">
        <f t="shared" si="26"/>
        <v>21374337.509792972</v>
      </c>
    </row>
    <row r="242" spans="5:15" x14ac:dyDescent="0.3">
      <c r="E242" s="20">
        <v>221</v>
      </c>
      <c r="F242" s="72">
        <f t="shared" si="27"/>
        <v>23867329.093903832</v>
      </c>
      <c r="G242" s="72">
        <f t="shared" si="28"/>
        <v>159115.52729269222</v>
      </c>
      <c r="H242" s="72">
        <f t="shared" si="29"/>
        <v>385908.10968650255</v>
      </c>
      <c r="I242" s="72">
        <f t="shared" si="30"/>
        <v>23640536.511510022</v>
      </c>
      <c r="K242">
        <f t="shared" si="22"/>
        <v>221</v>
      </c>
      <c r="L242" s="23">
        <f t="shared" si="23"/>
        <v>21374337.509792972</v>
      </c>
      <c r="M242" s="23">
        <f t="shared" si="24"/>
        <v>142495.58339861981</v>
      </c>
      <c r="N242" s="23">
        <f t="shared" si="25"/>
        <v>345599.21438013314</v>
      </c>
      <c r="O242" s="23">
        <f t="shared" si="26"/>
        <v>21171233.87881146</v>
      </c>
    </row>
    <row r="243" spans="5:15" x14ac:dyDescent="0.3">
      <c r="E243" s="20">
        <v>222</v>
      </c>
      <c r="F243" s="72">
        <f t="shared" si="27"/>
        <v>23640536.511510022</v>
      </c>
      <c r="G243" s="72">
        <f t="shared" si="28"/>
        <v>157603.57674340016</v>
      </c>
      <c r="H243" s="72">
        <f t="shared" si="29"/>
        <v>385908.10968650255</v>
      </c>
      <c r="I243" s="72">
        <f t="shared" si="30"/>
        <v>23412231.978566922</v>
      </c>
      <c r="K243">
        <f t="shared" si="22"/>
        <v>222</v>
      </c>
      <c r="L243" s="23">
        <f t="shared" si="23"/>
        <v>21171233.87881146</v>
      </c>
      <c r="M243" s="23">
        <f t="shared" si="24"/>
        <v>141141.55919207641</v>
      </c>
      <c r="N243" s="23">
        <f t="shared" si="25"/>
        <v>345599.21438013314</v>
      </c>
      <c r="O243" s="23">
        <f t="shared" si="26"/>
        <v>20966776.223623402</v>
      </c>
    </row>
    <row r="244" spans="5:15" x14ac:dyDescent="0.3">
      <c r="E244" s="20">
        <v>223</v>
      </c>
      <c r="F244" s="72">
        <f t="shared" si="27"/>
        <v>23412231.978566922</v>
      </c>
      <c r="G244" s="72">
        <f t="shared" si="28"/>
        <v>156081.54652377949</v>
      </c>
      <c r="H244" s="72">
        <f t="shared" si="29"/>
        <v>385908.10968650255</v>
      </c>
      <c r="I244" s="72">
        <f t="shared" si="30"/>
        <v>23182405.415404201</v>
      </c>
      <c r="K244">
        <f t="shared" si="22"/>
        <v>223</v>
      </c>
      <c r="L244" s="23">
        <f t="shared" si="23"/>
        <v>20966776.223623402</v>
      </c>
      <c r="M244" s="23">
        <f t="shared" si="24"/>
        <v>139778.50815748936</v>
      </c>
      <c r="N244" s="23">
        <f t="shared" si="25"/>
        <v>345599.21438013314</v>
      </c>
      <c r="O244" s="23">
        <f t="shared" si="26"/>
        <v>20760955.517400756</v>
      </c>
    </row>
    <row r="245" spans="5:15" x14ac:dyDescent="0.3">
      <c r="E245" s="20">
        <v>224</v>
      </c>
      <c r="F245" s="72">
        <f t="shared" si="27"/>
        <v>23182405.415404201</v>
      </c>
      <c r="G245" s="72">
        <f t="shared" si="28"/>
        <v>154549.36943602801</v>
      </c>
      <c r="H245" s="72">
        <f t="shared" si="29"/>
        <v>385908.10968650255</v>
      </c>
      <c r="I245" s="72">
        <f t="shared" si="30"/>
        <v>22951046.675153729</v>
      </c>
      <c r="K245">
        <f t="shared" si="22"/>
        <v>224</v>
      </c>
      <c r="L245" s="23">
        <f t="shared" si="23"/>
        <v>20760955.517400756</v>
      </c>
      <c r="M245" s="23">
        <f t="shared" si="24"/>
        <v>138406.37011600504</v>
      </c>
      <c r="N245" s="23">
        <f t="shared" si="25"/>
        <v>345599.21438013314</v>
      </c>
      <c r="O245" s="23">
        <f t="shared" si="26"/>
        <v>20553762.673136629</v>
      </c>
    </row>
    <row r="246" spans="5:15" x14ac:dyDescent="0.3">
      <c r="E246" s="20">
        <v>225</v>
      </c>
      <c r="F246" s="72">
        <f t="shared" si="27"/>
        <v>22951046.675153729</v>
      </c>
      <c r="G246" s="72">
        <f t="shared" si="28"/>
        <v>153006.9778343582</v>
      </c>
      <c r="H246" s="72">
        <f t="shared" si="29"/>
        <v>385908.10968650255</v>
      </c>
      <c r="I246" s="72">
        <f t="shared" si="30"/>
        <v>22718145.543301586</v>
      </c>
      <c r="K246">
        <f t="shared" si="22"/>
        <v>225</v>
      </c>
      <c r="L246" s="23">
        <f t="shared" si="23"/>
        <v>20553762.673136629</v>
      </c>
      <c r="M246" s="23">
        <f t="shared" si="24"/>
        <v>137025.08448757755</v>
      </c>
      <c r="N246" s="23">
        <f t="shared" si="25"/>
        <v>345599.21438013314</v>
      </c>
      <c r="O246" s="23">
        <f t="shared" si="26"/>
        <v>20345188.543244071</v>
      </c>
    </row>
    <row r="247" spans="5:15" x14ac:dyDescent="0.3">
      <c r="E247" s="20">
        <v>226</v>
      </c>
      <c r="F247" s="72">
        <f t="shared" si="27"/>
        <v>22718145.543301586</v>
      </c>
      <c r="G247" s="72">
        <f t="shared" si="28"/>
        <v>151454.30362201057</v>
      </c>
      <c r="H247" s="72">
        <f t="shared" si="29"/>
        <v>385908.10968650255</v>
      </c>
      <c r="I247" s="72">
        <f t="shared" si="30"/>
        <v>22483691.737237096</v>
      </c>
      <c r="K247">
        <f t="shared" si="22"/>
        <v>226</v>
      </c>
      <c r="L247" s="23">
        <f t="shared" si="23"/>
        <v>20345188.543244071</v>
      </c>
      <c r="M247" s="23">
        <f t="shared" si="24"/>
        <v>135634.59028829381</v>
      </c>
      <c r="N247" s="23">
        <f t="shared" si="25"/>
        <v>345599.21438013314</v>
      </c>
      <c r="O247" s="23">
        <f t="shared" si="26"/>
        <v>20135223.91915223</v>
      </c>
    </row>
    <row r="248" spans="5:15" x14ac:dyDescent="0.3">
      <c r="E248" s="20">
        <v>227</v>
      </c>
      <c r="F248" s="72">
        <f t="shared" si="27"/>
        <v>22483691.737237096</v>
      </c>
      <c r="G248" s="72">
        <f t="shared" si="28"/>
        <v>149891.27824824731</v>
      </c>
      <c r="H248" s="72">
        <f t="shared" si="29"/>
        <v>385908.10968650255</v>
      </c>
      <c r="I248" s="72">
        <f t="shared" si="30"/>
        <v>22247674.905798841</v>
      </c>
      <c r="K248">
        <f t="shared" si="22"/>
        <v>227</v>
      </c>
      <c r="L248" s="23">
        <f t="shared" si="23"/>
        <v>20135223.91915223</v>
      </c>
      <c r="M248" s="23">
        <f t="shared" si="24"/>
        <v>134234.82612768153</v>
      </c>
      <c r="N248" s="23">
        <f t="shared" si="25"/>
        <v>345599.21438013314</v>
      </c>
      <c r="O248" s="23">
        <f t="shared" si="26"/>
        <v>19923859.530899778</v>
      </c>
    </row>
    <row r="249" spans="5:15" x14ac:dyDescent="0.3">
      <c r="E249" s="20">
        <v>228</v>
      </c>
      <c r="F249" s="72">
        <f t="shared" si="27"/>
        <v>22247674.905798841</v>
      </c>
      <c r="G249" s="72">
        <f t="shared" si="28"/>
        <v>148317.83270532562</v>
      </c>
      <c r="H249" s="72">
        <f t="shared" si="29"/>
        <v>385908.10968650255</v>
      </c>
      <c r="I249" s="72">
        <f t="shared" si="30"/>
        <v>22010084.628817666</v>
      </c>
      <c r="K249">
        <f t="shared" si="22"/>
        <v>228</v>
      </c>
      <c r="L249" s="23">
        <f t="shared" si="23"/>
        <v>19923859.530899778</v>
      </c>
      <c r="M249" s="23">
        <f t="shared" si="24"/>
        <v>132825.73020599852</v>
      </c>
      <c r="N249" s="23">
        <f t="shared" si="25"/>
        <v>345599.21438013314</v>
      </c>
      <c r="O249" s="23">
        <f t="shared" si="26"/>
        <v>19711086.046725642</v>
      </c>
    </row>
    <row r="250" spans="5:15" x14ac:dyDescent="0.3">
      <c r="E250" s="20">
        <v>229</v>
      </c>
      <c r="F250" s="72">
        <f t="shared" si="27"/>
        <v>22010084.628817666</v>
      </c>
      <c r="G250" s="72">
        <f t="shared" si="28"/>
        <v>146733.89752545112</v>
      </c>
      <c r="H250" s="72">
        <f t="shared" si="29"/>
        <v>385908.10968650255</v>
      </c>
      <c r="I250" s="72">
        <f t="shared" si="30"/>
        <v>21770910.416656617</v>
      </c>
      <c r="K250">
        <f t="shared" si="22"/>
        <v>229</v>
      </c>
      <c r="L250" s="23">
        <f t="shared" si="23"/>
        <v>19711086.046725642</v>
      </c>
      <c r="M250" s="23">
        <f t="shared" si="24"/>
        <v>131407.24031150428</v>
      </c>
      <c r="N250" s="23">
        <f t="shared" si="25"/>
        <v>345599.21438013314</v>
      </c>
      <c r="O250" s="23">
        <f t="shared" si="26"/>
        <v>19496894.072657011</v>
      </c>
    </row>
    <row r="251" spans="5:15" x14ac:dyDescent="0.3">
      <c r="E251" s="20">
        <v>230</v>
      </c>
      <c r="F251" s="72">
        <f t="shared" si="27"/>
        <v>21770910.416656617</v>
      </c>
      <c r="G251" s="72">
        <f t="shared" si="28"/>
        <v>145139.40277771078</v>
      </c>
      <c r="H251" s="72">
        <f t="shared" si="29"/>
        <v>385908.10968650255</v>
      </c>
      <c r="I251" s="72">
        <f t="shared" si="30"/>
        <v>21530141.709747825</v>
      </c>
      <c r="K251">
        <f t="shared" si="22"/>
        <v>230</v>
      </c>
      <c r="L251" s="23">
        <f t="shared" si="23"/>
        <v>19496894.072657011</v>
      </c>
      <c r="M251" s="23">
        <f t="shared" si="24"/>
        <v>129979.29381771342</v>
      </c>
      <c r="N251" s="23">
        <f t="shared" si="25"/>
        <v>345599.21438013314</v>
      </c>
      <c r="O251" s="23">
        <f t="shared" si="26"/>
        <v>19281274.152094591</v>
      </c>
    </row>
    <row r="252" spans="5:15" x14ac:dyDescent="0.3">
      <c r="E252" s="20">
        <v>231</v>
      </c>
      <c r="F252" s="72">
        <f t="shared" si="27"/>
        <v>21530141.709747825</v>
      </c>
      <c r="G252" s="72">
        <f t="shared" si="28"/>
        <v>143534.2780649855</v>
      </c>
      <c r="H252" s="72">
        <f t="shared" si="29"/>
        <v>385908.10968650255</v>
      </c>
      <c r="I252" s="72">
        <f t="shared" si="30"/>
        <v>21287767.878126308</v>
      </c>
      <c r="K252">
        <f t="shared" ref="K252:K315" si="31">E252</f>
        <v>231</v>
      </c>
      <c r="L252" s="23">
        <f t="shared" ref="L252:L315" si="32">O251</f>
        <v>19281274.152094591</v>
      </c>
      <c r="M252" s="23">
        <f t="shared" ref="M252:M315" si="33">L252*$K$13</f>
        <v>128541.82768063062</v>
      </c>
      <c r="N252" s="23">
        <f t="shared" ref="N252:N315" si="34">ABS($O$57)</f>
        <v>345599.21438013314</v>
      </c>
      <c r="O252" s="23">
        <f t="shared" ref="O252:O315" si="35">L252+M252-N252</f>
        <v>19064216.76539509</v>
      </c>
    </row>
    <row r="253" spans="5:15" x14ac:dyDescent="0.3">
      <c r="E253" s="20">
        <v>232</v>
      </c>
      <c r="F253" s="72">
        <f t="shared" si="27"/>
        <v>21287767.878126308</v>
      </c>
      <c r="G253" s="72">
        <f t="shared" si="28"/>
        <v>141918.45252084205</v>
      </c>
      <c r="H253" s="72">
        <f t="shared" si="29"/>
        <v>385908.10968650255</v>
      </c>
      <c r="I253" s="72">
        <f t="shared" si="30"/>
        <v>21043778.220960651</v>
      </c>
      <c r="K253">
        <f t="shared" si="31"/>
        <v>232</v>
      </c>
      <c r="L253" s="23">
        <f t="shared" si="32"/>
        <v>19064216.76539509</v>
      </c>
      <c r="M253" s="23">
        <f t="shared" si="33"/>
        <v>127094.77843596728</v>
      </c>
      <c r="N253" s="23">
        <f t="shared" si="34"/>
        <v>345599.21438013314</v>
      </c>
      <c r="O253" s="23">
        <f t="shared" si="35"/>
        <v>18845712.329450924</v>
      </c>
    </row>
    <row r="254" spans="5:15" x14ac:dyDescent="0.3">
      <c r="E254" s="20">
        <v>233</v>
      </c>
      <c r="F254" s="72">
        <f t="shared" si="27"/>
        <v>21043778.220960651</v>
      </c>
      <c r="G254" s="72">
        <f t="shared" si="28"/>
        <v>140291.85480640436</v>
      </c>
      <c r="H254" s="72">
        <f t="shared" si="29"/>
        <v>385908.10968650255</v>
      </c>
      <c r="I254" s="72">
        <f t="shared" si="30"/>
        <v>20798161.966080554</v>
      </c>
      <c r="K254">
        <f t="shared" si="31"/>
        <v>233</v>
      </c>
      <c r="L254" s="23">
        <f t="shared" si="32"/>
        <v>18845712.329450924</v>
      </c>
      <c r="M254" s="23">
        <f t="shared" si="33"/>
        <v>125638.0821963395</v>
      </c>
      <c r="N254" s="23">
        <f t="shared" si="34"/>
        <v>345599.21438013314</v>
      </c>
      <c r="O254" s="23">
        <f t="shared" si="35"/>
        <v>18625751.19726713</v>
      </c>
    </row>
    <row r="255" spans="5:15" x14ac:dyDescent="0.3">
      <c r="E255" s="20">
        <v>234</v>
      </c>
      <c r="F255" s="72">
        <f t="shared" si="27"/>
        <v>20798161.966080554</v>
      </c>
      <c r="G255" s="72">
        <f t="shared" si="28"/>
        <v>138654.4131072037</v>
      </c>
      <c r="H255" s="72">
        <f t="shared" si="29"/>
        <v>385908.10968650255</v>
      </c>
      <c r="I255" s="72">
        <f t="shared" si="30"/>
        <v>20550908.269501258</v>
      </c>
      <c r="K255">
        <f t="shared" si="31"/>
        <v>234</v>
      </c>
      <c r="L255" s="23">
        <f t="shared" si="32"/>
        <v>18625751.19726713</v>
      </c>
      <c r="M255" s="23">
        <f t="shared" si="33"/>
        <v>124171.67464844754</v>
      </c>
      <c r="N255" s="23">
        <f t="shared" si="34"/>
        <v>345599.21438013314</v>
      </c>
      <c r="O255" s="23">
        <f t="shared" si="35"/>
        <v>18404323.657535445</v>
      </c>
    </row>
    <row r="256" spans="5:15" x14ac:dyDescent="0.3">
      <c r="E256" s="20">
        <v>235</v>
      </c>
      <c r="F256" s="72">
        <f t="shared" si="27"/>
        <v>20550908.269501258</v>
      </c>
      <c r="G256" s="72">
        <f t="shared" si="28"/>
        <v>137006.0551300084</v>
      </c>
      <c r="H256" s="72">
        <f t="shared" si="29"/>
        <v>385908.10968650255</v>
      </c>
      <c r="I256" s="72">
        <f t="shared" si="30"/>
        <v>20302006.214944765</v>
      </c>
      <c r="K256">
        <f t="shared" si="31"/>
        <v>235</v>
      </c>
      <c r="L256" s="23">
        <f t="shared" si="32"/>
        <v>18404323.657535445</v>
      </c>
      <c r="M256" s="23">
        <f t="shared" si="33"/>
        <v>122695.49105023631</v>
      </c>
      <c r="N256" s="23">
        <f t="shared" si="34"/>
        <v>345599.21438013314</v>
      </c>
      <c r="O256" s="23">
        <f t="shared" si="35"/>
        <v>18181419.934205547</v>
      </c>
    </row>
    <row r="257" spans="5:15" x14ac:dyDescent="0.3">
      <c r="E257" s="20">
        <v>236</v>
      </c>
      <c r="F257" s="72">
        <f t="shared" si="27"/>
        <v>20302006.214944765</v>
      </c>
      <c r="G257" s="72">
        <f t="shared" si="28"/>
        <v>135346.70809963177</v>
      </c>
      <c r="H257" s="72">
        <f t="shared" si="29"/>
        <v>385908.10968650255</v>
      </c>
      <c r="I257" s="72">
        <f t="shared" si="30"/>
        <v>20051444.813357897</v>
      </c>
      <c r="K257">
        <f t="shared" si="31"/>
        <v>236</v>
      </c>
      <c r="L257" s="23">
        <f t="shared" si="32"/>
        <v>18181419.934205547</v>
      </c>
      <c r="M257" s="23">
        <f t="shared" si="33"/>
        <v>121209.46622803698</v>
      </c>
      <c r="N257" s="23">
        <f t="shared" si="34"/>
        <v>345599.21438013314</v>
      </c>
      <c r="O257" s="23">
        <f t="shared" si="35"/>
        <v>17957030.186053451</v>
      </c>
    </row>
    <row r="258" spans="5:15" x14ac:dyDescent="0.3">
      <c r="E258" s="20">
        <v>237</v>
      </c>
      <c r="F258" s="72">
        <f t="shared" si="27"/>
        <v>20051444.813357897</v>
      </c>
      <c r="G258" s="72">
        <f t="shared" si="28"/>
        <v>133676.29875571933</v>
      </c>
      <c r="H258" s="72">
        <f t="shared" si="29"/>
        <v>385908.10968650255</v>
      </c>
      <c r="I258" s="72">
        <f t="shared" si="30"/>
        <v>19799213.002427116</v>
      </c>
      <c r="K258">
        <f t="shared" si="31"/>
        <v>237</v>
      </c>
      <c r="L258" s="23">
        <f t="shared" si="32"/>
        <v>17957030.186053451</v>
      </c>
      <c r="M258" s="23">
        <f t="shared" si="33"/>
        <v>119713.53457368969</v>
      </c>
      <c r="N258" s="23">
        <f t="shared" si="34"/>
        <v>345599.21438013314</v>
      </c>
      <c r="O258" s="23">
        <f t="shared" si="35"/>
        <v>17731144.506247006</v>
      </c>
    </row>
    <row r="259" spans="5:15" x14ac:dyDescent="0.3">
      <c r="E259" s="20">
        <v>238</v>
      </c>
      <c r="F259" s="72">
        <f t="shared" si="27"/>
        <v>19799213.002427116</v>
      </c>
      <c r="G259" s="72">
        <f t="shared" si="28"/>
        <v>131994.75334951413</v>
      </c>
      <c r="H259" s="72">
        <f t="shared" si="29"/>
        <v>385908.10968650255</v>
      </c>
      <c r="I259" s="72">
        <f t="shared" si="30"/>
        <v>19545299.646090128</v>
      </c>
      <c r="K259">
        <f t="shared" si="31"/>
        <v>238</v>
      </c>
      <c r="L259" s="23">
        <f t="shared" si="32"/>
        <v>17731144.506247006</v>
      </c>
      <c r="M259" s="23">
        <f t="shared" si="33"/>
        <v>118207.63004164671</v>
      </c>
      <c r="N259" s="23">
        <f t="shared" si="34"/>
        <v>345599.21438013314</v>
      </c>
      <c r="O259" s="23">
        <f t="shared" si="35"/>
        <v>17503752.92190852</v>
      </c>
    </row>
    <row r="260" spans="5:15" x14ac:dyDescent="0.3">
      <c r="E260" s="20">
        <v>239</v>
      </c>
      <c r="F260" s="72">
        <f t="shared" si="27"/>
        <v>19545299.646090128</v>
      </c>
      <c r="G260" s="72">
        <f t="shared" si="28"/>
        <v>130301.99764060086</v>
      </c>
      <c r="H260" s="72">
        <f t="shared" si="29"/>
        <v>385908.10968650255</v>
      </c>
      <c r="I260" s="72">
        <f t="shared" si="30"/>
        <v>19289693.534044228</v>
      </c>
      <c r="K260">
        <f t="shared" si="31"/>
        <v>239</v>
      </c>
      <c r="L260" s="23">
        <f t="shared" si="32"/>
        <v>17503752.92190852</v>
      </c>
      <c r="M260" s="23">
        <f t="shared" si="33"/>
        <v>116691.6861460568</v>
      </c>
      <c r="N260" s="23">
        <f t="shared" si="34"/>
        <v>345599.21438013314</v>
      </c>
      <c r="O260" s="23">
        <f t="shared" si="35"/>
        <v>17274845.393674444</v>
      </c>
    </row>
    <row r="261" spans="5:15" x14ac:dyDescent="0.3">
      <c r="E261" s="20">
        <v>240</v>
      </c>
      <c r="F261" s="72">
        <f t="shared" si="27"/>
        <v>19289693.534044228</v>
      </c>
      <c r="G261" s="72">
        <f t="shared" si="28"/>
        <v>128597.9568936282</v>
      </c>
      <c r="H261" s="72">
        <f t="shared" si="29"/>
        <v>385908.10968650255</v>
      </c>
      <c r="I261" s="72">
        <f t="shared" si="30"/>
        <v>19032383.381251354</v>
      </c>
      <c r="K261">
        <f t="shared" si="31"/>
        <v>240</v>
      </c>
      <c r="L261" s="23">
        <f t="shared" si="32"/>
        <v>17274845.393674444</v>
      </c>
      <c r="M261" s="23">
        <f t="shared" si="33"/>
        <v>115165.63595782964</v>
      </c>
      <c r="N261" s="23">
        <f t="shared" si="34"/>
        <v>345599.21438013314</v>
      </c>
      <c r="O261" s="23">
        <f t="shared" si="35"/>
        <v>17044411.81525214</v>
      </c>
    </row>
    <row r="262" spans="5:15" x14ac:dyDescent="0.3">
      <c r="E262" s="20">
        <v>241</v>
      </c>
      <c r="F262" s="72">
        <f t="shared" si="27"/>
        <v>19032383.381251354</v>
      </c>
      <c r="G262" s="72">
        <f t="shared" si="28"/>
        <v>126882.55587500903</v>
      </c>
      <c r="H262" s="72">
        <f t="shared" si="29"/>
        <v>385908.10968650255</v>
      </c>
      <c r="I262" s="72">
        <f t="shared" si="30"/>
        <v>18773357.827439863</v>
      </c>
      <c r="K262">
        <f t="shared" si="31"/>
        <v>241</v>
      </c>
      <c r="L262" s="23">
        <f t="shared" si="32"/>
        <v>17044411.81525214</v>
      </c>
      <c r="M262" s="23">
        <f t="shared" si="33"/>
        <v>113629.41210168094</v>
      </c>
      <c r="N262" s="23">
        <f t="shared" si="34"/>
        <v>345599.21438013314</v>
      </c>
      <c r="O262" s="23">
        <f t="shared" si="35"/>
        <v>16812442.012973689</v>
      </c>
    </row>
    <row r="263" spans="5:15" x14ac:dyDescent="0.3">
      <c r="E263" s="20">
        <v>242</v>
      </c>
      <c r="F263" s="72">
        <f t="shared" si="27"/>
        <v>18773357.827439863</v>
      </c>
      <c r="G263" s="72">
        <f t="shared" si="28"/>
        <v>125155.7188495991</v>
      </c>
      <c r="H263" s="72">
        <f t="shared" si="29"/>
        <v>385908.10968650255</v>
      </c>
      <c r="I263" s="72">
        <f t="shared" si="30"/>
        <v>18512605.436602961</v>
      </c>
      <c r="K263">
        <f t="shared" si="31"/>
        <v>242</v>
      </c>
      <c r="L263" s="23">
        <f t="shared" si="32"/>
        <v>16812442.012973689</v>
      </c>
      <c r="M263" s="23">
        <f t="shared" si="33"/>
        <v>112082.94675315793</v>
      </c>
      <c r="N263" s="23">
        <f t="shared" si="34"/>
        <v>345599.21438013314</v>
      </c>
      <c r="O263" s="23">
        <f t="shared" si="35"/>
        <v>16578925.745346714</v>
      </c>
    </row>
    <row r="264" spans="5:15" x14ac:dyDescent="0.3">
      <c r="E264" s="20">
        <v>243</v>
      </c>
      <c r="F264" s="72">
        <f t="shared" si="27"/>
        <v>18512605.436602961</v>
      </c>
      <c r="G264" s="72">
        <f t="shared" si="28"/>
        <v>123417.36957735308</v>
      </c>
      <c r="H264" s="72">
        <f t="shared" si="29"/>
        <v>385908.10968650255</v>
      </c>
      <c r="I264" s="72">
        <f t="shared" si="30"/>
        <v>18250114.696493812</v>
      </c>
      <c r="K264">
        <f t="shared" si="31"/>
        <v>243</v>
      </c>
      <c r="L264" s="23">
        <f t="shared" si="32"/>
        <v>16578925.745346714</v>
      </c>
      <c r="M264" s="23">
        <f t="shared" si="33"/>
        <v>110526.17163564477</v>
      </c>
      <c r="N264" s="23">
        <f t="shared" si="34"/>
        <v>345599.21438013314</v>
      </c>
      <c r="O264" s="23">
        <f t="shared" si="35"/>
        <v>16343852.702602224</v>
      </c>
    </row>
    <row r="265" spans="5:15" x14ac:dyDescent="0.3">
      <c r="E265" s="20">
        <v>244</v>
      </c>
      <c r="F265" s="72">
        <f t="shared" si="27"/>
        <v>18250114.696493812</v>
      </c>
      <c r="G265" s="72">
        <f t="shared" si="28"/>
        <v>121667.43130995876</v>
      </c>
      <c r="H265" s="72">
        <f t="shared" si="29"/>
        <v>385908.10968650255</v>
      </c>
      <c r="I265" s="72">
        <f t="shared" si="30"/>
        <v>17985874.018117268</v>
      </c>
      <c r="K265">
        <f t="shared" si="31"/>
        <v>244</v>
      </c>
      <c r="L265" s="23">
        <f t="shared" si="32"/>
        <v>16343852.702602224</v>
      </c>
      <c r="M265" s="23">
        <f t="shared" si="33"/>
        <v>108959.01801734816</v>
      </c>
      <c r="N265" s="23">
        <f t="shared" si="34"/>
        <v>345599.21438013314</v>
      </c>
      <c r="O265" s="23">
        <f t="shared" si="35"/>
        <v>16107212.506239438</v>
      </c>
    </row>
    <row r="266" spans="5:15" x14ac:dyDescent="0.3">
      <c r="E266" s="20">
        <v>245</v>
      </c>
      <c r="F266" s="72">
        <f t="shared" si="27"/>
        <v>17985874.018117268</v>
      </c>
      <c r="G266" s="72">
        <f t="shared" si="28"/>
        <v>119905.82678744846</v>
      </c>
      <c r="H266" s="72">
        <f t="shared" si="29"/>
        <v>385908.10968650255</v>
      </c>
      <c r="I266" s="72">
        <f t="shared" si="30"/>
        <v>17719871.735218216</v>
      </c>
      <c r="K266">
        <f t="shared" si="31"/>
        <v>245</v>
      </c>
      <c r="L266" s="23">
        <f t="shared" si="32"/>
        <v>16107212.506239438</v>
      </c>
      <c r="M266" s="23">
        <f t="shared" si="33"/>
        <v>107381.41670826293</v>
      </c>
      <c r="N266" s="23">
        <f t="shared" si="34"/>
        <v>345599.21438013314</v>
      </c>
      <c r="O266" s="23">
        <f t="shared" si="35"/>
        <v>15868994.708567567</v>
      </c>
    </row>
    <row r="267" spans="5:15" x14ac:dyDescent="0.3">
      <c r="E267" s="20">
        <v>246</v>
      </c>
      <c r="F267" s="72">
        <f t="shared" si="27"/>
        <v>17719871.735218216</v>
      </c>
      <c r="G267" s="72">
        <f t="shared" si="28"/>
        <v>118132.47823478811</v>
      </c>
      <c r="H267" s="72">
        <f t="shared" si="29"/>
        <v>385908.10968650255</v>
      </c>
      <c r="I267" s="72">
        <f t="shared" si="30"/>
        <v>17452096.103766501</v>
      </c>
      <c r="K267">
        <f t="shared" si="31"/>
        <v>246</v>
      </c>
      <c r="L267" s="23">
        <f t="shared" si="32"/>
        <v>15868994.708567567</v>
      </c>
      <c r="M267" s="23">
        <f t="shared" si="33"/>
        <v>105793.29805711712</v>
      </c>
      <c r="N267" s="23">
        <f t="shared" si="34"/>
        <v>345599.21438013314</v>
      </c>
      <c r="O267" s="23">
        <f t="shared" si="35"/>
        <v>15629188.79224455</v>
      </c>
    </row>
    <row r="268" spans="5:15" x14ac:dyDescent="0.3">
      <c r="E268" s="20">
        <v>247</v>
      </c>
      <c r="F268" s="72">
        <f t="shared" si="27"/>
        <v>17452096.103766501</v>
      </c>
      <c r="G268" s="72">
        <f t="shared" si="28"/>
        <v>116347.30735844334</v>
      </c>
      <c r="H268" s="72">
        <f t="shared" si="29"/>
        <v>385908.10968650255</v>
      </c>
      <c r="I268" s="72">
        <f t="shared" si="30"/>
        <v>17182535.301438443</v>
      </c>
      <c r="K268">
        <f t="shared" si="31"/>
        <v>247</v>
      </c>
      <c r="L268" s="23">
        <f t="shared" si="32"/>
        <v>15629188.79224455</v>
      </c>
      <c r="M268" s="23">
        <f t="shared" si="33"/>
        <v>104194.59194829701</v>
      </c>
      <c r="N268" s="23">
        <f t="shared" si="34"/>
        <v>345599.21438013314</v>
      </c>
      <c r="O268" s="23">
        <f t="shared" si="35"/>
        <v>15387784.169812713</v>
      </c>
    </row>
    <row r="269" spans="5:15" x14ac:dyDescent="0.3">
      <c r="E269" s="20">
        <v>248</v>
      </c>
      <c r="F269" s="72">
        <f t="shared" si="27"/>
        <v>17182535.301438443</v>
      </c>
      <c r="G269" s="72">
        <f t="shared" si="28"/>
        <v>114550.23534292297</v>
      </c>
      <c r="H269" s="72">
        <f t="shared" si="29"/>
        <v>385908.10968650255</v>
      </c>
      <c r="I269" s="72">
        <f t="shared" si="30"/>
        <v>16911177.427094866</v>
      </c>
      <c r="K269">
        <f t="shared" si="31"/>
        <v>248</v>
      </c>
      <c r="L269" s="23">
        <f t="shared" si="32"/>
        <v>15387784.169812713</v>
      </c>
      <c r="M269" s="23">
        <f t="shared" si="33"/>
        <v>102585.22779875142</v>
      </c>
      <c r="N269" s="23">
        <f t="shared" si="34"/>
        <v>345599.21438013314</v>
      </c>
      <c r="O269" s="23">
        <f t="shared" si="35"/>
        <v>15144770.18323133</v>
      </c>
    </row>
    <row r="270" spans="5:15" x14ac:dyDescent="0.3">
      <c r="E270" s="20">
        <v>249</v>
      </c>
      <c r="F270" s="72">
        <f t="shared" si="27"/>
        <v>16911177.427094866</v>
      </c>
      <c r="G270" s="72">
        <f t="shared" si="28"/>
        <v>112741.18284729912</v>
      </c>
      <c r="H270" s="72">
        <f t="shared" si="29"/>
        <v>385908.10968650255</v>
      </c>
      <c r="I270" s="72">
        <f t="shared" si="30"/>
        <v>16638010.500255661</v>
      </c>
      <c r="K270">
        <f t="shared" si="31"/>
        <v>249</v>
      </c>
      <c r="L270" s="23">
        <f t="shared" si="32"/>
        <v>15144770.18323133</v>
      </c>
      <c r="M270" s="23">
        <f t="shared" si="33"/>
        <v>100965.13455487553</v>
      </c>
      <c r="N270" s="23">
        <f t="shared" si="34"/>
        <v>345599.21438013314</v>
      </c>
      <c r="O270" s="23">
        <f t="shared" si="35"/>
        <v>14900136.103406072</v>
      </c>
    </row>
    <row r="271" spans="5:15" x14ac:dyDescent="0.3">
      <c r="E271" s="20">
        <v>250</v>
      </c>
      <c r="F271" s="72">
        <f t="shared" si="27"/>
        <v>16638010.500255661</v>
      </c>
      <c r="G271" s="72">
        <f t="shared" si="28"/>
        <v>110920.07000170441</v>
      </c>
      <c r="H271" s="72">
        <f t="shared" si="29"/>
        <v>385908.10968650255</v>
      </c>
      <c r="I271" s="72">
        <f t="shared" si="30"/>
        <v>16363022.460570863</v>
      </c>
      <c r="K271">
        <f t="shared" si="31"/>
        <v>250</v>
      </c>
      <c r="L271" s="23">
        <f t="shared" si="32"/>
        <v>14900136.103406072</v>
      </c>
      <c r="M271" s="23">
        <f t="shared" si="33"/>
        <v>99334.240689373823</v>
      </c>
      <c r="N271" s="23">
        <f t="shared" si="34"/>
        <v>345599.21438013314</v>
      </c>
      <c r="O271" s="23">
        <f t="shared" si="35"/>
        <v>14653871.129715312</v>
      </c>
    </row>
    <row r="272" spans="5:15" x14ac:dyDescent="0.3">
      <c r="E272" s="20">
        <v>251</v>
      </c>
      <c r="F272" s="72">
        <f t="shared" si="27"/>
        <v>16363022.460570863</v>
      </c>
      <c r="G272" s="72">
        <f t="shared" si="28"/>
        <v>109086.81640380576</v>
      </c>
      <c r="H272" s="72">
        <f t="shared" si="29"/>
        <v>385908.10968650255</v>
      </c>
      <c r="I272" s="72">
        <f t="shared" si="30"/>
        <v>16086201.167288166</v>
      </c>
      <c r="K272">
        <f t="shared" si="31"/>
        <v>251</v>
      </c>
      <c r="L272" s="23">
        <f t="shared" si="32"/>
        <v>14653871.129715312</v>
      </c>
      <c r="M272" s="23">
        <f t="shared" si="33"/>
        <v>97692.474198102092</v>
      </c>
      <c r="N272" s="23">
        <f t="shared" si="34"/>
        <v>345599.21438013314</v>
      </c>
      <c r="O272" s="23">
        <f t="shared" si="35"/>
        <v>14405964.389533281</v>
      </c>
    </row>
    <row r="273" spans="5:15" x14ac:dyDescent="0.3">
      <c r="E273" s="20">
        <v>252</v>
      </c>
      <c r="F273" s="72">
        <f t="shared" si="27"/>
        <v>16086201.167288166</v>
      </c>
      <c r="G273" s="72">
        <f t="shared" si="28"/>
        <v>107241.34111525444</v>
      </c>
      <c r="H273" s="72">
        <f t="shared" si="29"/>
        <v>385908.10968650255</v>
      </c>
      <c r="I273" s="72">
        <f t="shared" si="30"/>
        <v>15807534.398716917</v>
      </c>
      <c r="K273">
        <f t="shared" si="31"/>
        <v>252</v>
      </c>
      <c r="L273" s="23">
        <f t="shared" si="32"/>
        <v>14405964.389533281</v>
      </c>
      <c r="M273" s="23">
        <f t="shared" si="33"/>
        <v>96039.762596888555</v>
      </c>
      <c r="N273" s="23">
        <f t="shared" si="34"/>
        <v>345599.21438013314</v>
      </c>
      <c r="O273" s="23">
        <f t="shared" si="35"/>
        <v>14156404.937750036</v>
      </c>
    </row>
    <row r="274" spans="5:15" x14ac:dyDescent="0.3">
      <c r="E274" s="20">
        <v>253</v>
      </c>
      <c r="F274" s="72">
        <f t="shared" si="27"/>
        <v>15807534.398716917</v>
      </c>
      <c r="G274" s="72">
        <f t="shared" si="28"/>
        <v>105383.56265811279</v>
      </c>
      <c r="H274" s="72">
        <f t="shared" si="29"/>
        <v>385908.10968650255</v>
      </c>
      <c r="I274" s="72">
        <f t="shared" si="30"/>
        <v>15527009.851688527</v>
      </c>
      <c r="K274">
        <f t="shared" si="31"/>
        <v>253</v>
      </c>
      <c r="L274" s="23">
        <f t="shared" si="32"/>
        <v>14156404.937750036</v>
      </c>
      <c r="M274" s="23">
        <f t="shared" si="33"/>
        <v>94376.032918333585</v>
      </c>
      <c r="N274" s="23">
        <f t="shared" si="34"/>
        <v>345599.21438013314</v>
      </c>
      <c r="O274" s="23">
        <f t="shared" si="35"/>
        <v>13905181.756288236</v>
      </c>
    </row>
    <row r="275" spans="5:15" x14ac:dyDescent="0.3">
      <c r="E275" s="20">
        <v>254</v>
      </c>
      <c r="F275" s="72">
        <f t="shared" si="27"/>
        <v>15527009.851688527</v>
      </c>
      <c r="G275" s="72">
        <f t="shared" si="28"/>
        <v>103513.39901125686</v>
      </c>
      <c r="H275" s="72">
        <f t="shared" si="29"/>
        <v>385908.10968650255</v>
      </c>
      <c r="I275" s="72">
        <f t="shared" si="30"/>
        <v>15244615.14101328</v>
      </c>
      <c r="K275">
        <f t="shared" si="31"/>
        <v>254</v>
      </c>
      <c r="L275" s="23">
        <f t="shared" si="32"/>
        <v>13905181.756288236</v>
      </c>
      <c r="M275" s="23">
        <f t="shared" si="33"/>
        <v>92701.211708588249</v>
      </c>
      <c r="N275" s="23">
        <f t="shared" si="34"/>
        <v>345599.21438013314</v>
      </c>
      <c r="O275" s="23">
        <f t="shared" si="35"/>
        <v>13652283.753616691</v>
      </c>
    </row>
    <row r="276" spans="5:15" x14ac:dyDescent="0.3">
      <c r="E276" s="20">
        <v>255</v>
      </c>
      <c r="F276" s="72">
        <f t="shared" si="27"/>
        <v>15244615.14101328</v>
      </c>
      <c r="G276" s="72">
        <f t="shared" si="28"/>
        <v>101630.76760675521</v>
      </c>
      <c r="H276" s="72">
        <f t="shared" si="29"/>
        <v>385908.10968650255</v>
      </c>
      <c r="I276" s="72">
        <f t="shared" si="30"/>
        <v>14960337.798933532</v>
      </c>
      <c r="K276">
        <f t="shared" si="31"/>
        <v>255</v>
      </c>
      <c r="L276" s="23">
        <f t="shared" si="32"/>
        <v>13652283.753616691</v>
      </c>
      <c r="M276" s="23">
        <f t="shared" si="33"/>
        <v>91015.225024111278</v>
      </c>
      <c r="N276" s="23">
        <f t="shared" si="34"/>
        <v>345599.21438013314</v>
      </c>
      <c r="O276" s="23">
        <f t="shared" si="35"/>
        <v>13397699.764260668</v>
      </c>
    </row>
    <row r="277" spans="5:15" x14ac:dyDescent="0.3">
      <c r="E277" s="20">
        <v>256</v>
      </c>
      <c r="F277" s="72">
        <f t="shared" si="27"/>
        <v>14960337.798933532</v>
      </c>
      <c r="G277" s="72">
        <f t="shared" si="28"/>
        <v>99735.585326223547</v>
      </c>
      <c r="H277" s="72">
        <f t="shared" si="29"/>
        <v>385908.10968650255</v>
      </c>
      <c r="I277" s="72">
        <f t="shared" si="30"/>
        <v>14674165.274573252</v>
      </c>
      <c r="K277">
        <f t="shared" si="31"/>
        <v>256</v>
      </c>
      <c r="L277" s="23">
        <f t="shared" si="32"/>
        <v>13397699.764260668</v>
      </c>
      <c r="M277" s="23">
        <f t="shared" si="33"/>
        <v>89317.998428404462</v>
      </c>
      <c r="N277" s="23">
        <f t="shared" si="34"/>
        <v>345599.21438013314</v>
      </c>
      <c r="O277" s="23">
        <f t="shared" si="35"/>
        <v>13141418.548308939</v>
      </c>
    </row>
    <row r="278" spans="5:15" x14ac:dyDescent="0.3">
      <c r="E278" s="20">
        <v>257</v>
      </c>
      <c r="F278" s="72">
        <f t="shared" si="27"/>
        <v>14674165.274573252</v>
      </c>
      <c r="G278" s="72">
        <f t="shared" si="28"/>
        <v>97827.768497155019</v>
      </c>
      <c r="H278" s="72">
        <f t="shared" si="29"/>
        <v>385908.10968650255</v>
      </c>
      <c r="I278" s="72">
        <f t="shared" si="30"/>
        <v>14386084.933383903</v>
      </c>
      <c r="K278">
        <f t="shared" si="31"/>
        <v>257</v>
      </c>
      <c r="L278" s="23">
        <f t="shared" si="32"/>
        <v>13141418.548308939</v>
      </c>
      <c r="M278" s="23">
        <f t="shared" si="33"/>
        <v>87609.456988726262</v>
      </c>
      <c r="N278" s="23">
        <f t="shared" si="34"/>
        <v>345599.21438013314</v>
      </c>
      <c r="O278" s="23">
        <f t="shared" si="35"/>
        <v>12883428.790917531</v>
      </c>
    </row>
    <row r="279" spans="5:15" x14ac:dyDescent="0.3">
      <c r="E279" s="20">
        <v>258</v>
      </c>
      <c r="F279" s="72">
        <f t="shared" si="27"/>
        <v>14386084.933383903</v>
      </c>
      <c r="G279" s="72">
        <f t="shared" si="28"/>
        <v>95907.232889226027</v>
      </c>
      <c r="H279" s="72">
        <f t="shared" si="29"/>
        <v>385908.10968650255</v>
      </c>
      <c r="I279" s="72">
        <f t="shared" si="30"/>
        <v>14096084.056586625</v>
      </c>
      <c r="K279">
        <f t="shared" si="31"/>
        <v>258</v>
      </c>
      <c r="L279" s="23">
        <f t="shared" si="32"/>
        <v>12883428.790917531</v>
      </c>
      <c r="M279" s="23">
        <f t="shared" si="33"/>
        <v>85889.525272783547</v>
      </c>
      <c r="N279" s="23">
        <f t="shared" si="34"/>
        <v>345599.21438013314</v>
      </c>
      <c r="O279" s="23">
        <f t="shared" si="35"/>
        <v>12623719.10181018</v>
      </c>
    </row>
    <row r="280" spans="5:15" x14ac:dyDescent="0.3">
      <c r="E280" s="20">
        <v>259</v>
      </c>
      <c r="F280" s="72">
        <f t="shared" ref="F280:F321" si="36">I279</f>
        <v>14096084.056586625</v>
      </c>
      <c r="G280" s="72">
        <f t="shared" ref="G280:G321" si="37">F280*$K$13</f>
        <v>93973.893710577511</v>
      </c>
      <c r="H280" s="72">
        <f t="shared" ref="H280:H321" si="38">$G$17</f>
        <v>385908.10968650255</v>
      </c>
      <c r="I280" s="72">
        <f t="shared" ref="I280:I321" si="39">F280+G280-H280</f>
        <v>13804149.8406107</v>
      </c>
      <c r="K280">
        <f t="shared" si="31"/>
        <v>259</v>
      </c>
      <c r="L280" s="23">
        <f t="shared" si="32"/>
        <v>12623719.10181018</v>
      </c>
      <c r="M280" s="23">
        <f t="shared" si="33"/>
        <v>84158.127345401197</v>
      </c>
      <c r="N280" s="23">
        <f t="shared" si="34"/>
        <v>345599.21438013314</v>
      </c>
      <c r="O280" s="23">
        <f t="shared" si="35"/>
        <v>12362278.014775448</v>
      </c>
    </row>
    <row r="281" spans="5:15" x14ac:dyDescent="0.3">
      <c r="E281" s="20">
        <v>260</v>
      </c>
      <c r="F281" s="72">
        <f t="shared" si="36"/>
        <v>13804149.8406107</v>
      </c>
      <c r="G281" s="72">
        <f t="shared" si="37"/>
        <v>92027.665604071342</v>
      </c>
      <c r="H281" s="72">
        <f t="shared" si="38"/>
        <v>385908.10968650255</v>
      </c>
      <c r="I281" s="72">
        <f t="shared" si="39"/>
        <v>13510269.396528268</v>
      </c>
      <c r="K281">
        <f t="shared" si="31"/>
        <v>260</v>
      </c>
      <c r="L281" s="23">
        <f t="shared" si="32"/>
        <v>12362278.014775448</v>
      </c>
      <c r="M281" s="23">
        <f t="shared" si="33"/>
        <v>82415.186765169652</v>
      </c>
      <c r="N281" s="23">
        <f t="shared" si="34"/>
        <v>345599.21438013314</v>
      </c>
      <c r="O281" s="23">
        <f t="shared" si="35"/>
        <v>12099093.987160483</v>
      </c>
    </row>
    <row r="282" spans="5:15" x14ac:dyDescent="0.3">
      <c r="E282" s="20">
        <v>261</v>
      </c>
      <c r="F282" s="72">
        <f t="shared" si="36"/>
        <v>13510269.396528268</v>
      </c>
      <c r="G282" s="72">
        <f t="shared" si="37"/>
        <v>90068.462643521794</v>
      </c>
      <c r="H282" s="72">
        <f t="shared" si="38"/>
        <v>385908.10968650255</v>
      </c>
      <c r="I282" s="72">
        <f t="shared" si="39"/>
        <v>13214429.749485286</v>
      </c>
      <c r="K282">
        <f t="shared" si="31"/>
        <v>261</v>
      </c>
      <c r="L282" s="23">
        <f t="shared" si="32"/>
        <v>12099093.987160483</v>
      </c>
      <c r="M282" s="23">
        <f t="shared" si="33"/>
        <v>80660.626581069897</v>
      </c>
      <c r="N282" s="23">
        <f t="shared" si="34"/>
        <v>345599.21438013314</v>
      </c>
      <c r="O282" s="23">
        <f t="shared" si="35"/>
        <v>11834155.399361419</v>
      </c>
    </row>
    <row r="283" spans="5:15" x14ac:dyDescent="0.3">
      <c r="E283" s="20">
        <v>262</v>
      </c>
      <c r="F283" s="72">
        <f t="shared" si="36"/>
        <v>13214429.749485286</v>
      </c>
      <c r="G283" s="72">
        <f t="shared" si="37"/>
        <v>88096.198329901905</v>
      </c>
      <c r="H283" s="72">
        <f t="shared" si="38"/>
        <v>385908.10968650255</v>
      </c>
      <c r="I283" s="72">
        <f t="shared" si="39"/>
        <v>12916617.838128684</v>
      </c>
      <c r="K283">
        <f t="shared" si="31"/>
        <v>262</v>
      </c>
      <c r="L283" s="23">
        <f t="shared" si="32"/>
        <v>11834155.399361419</v>
      </c>
      <c r="M283" s="23">
        <f t="shared" si="33"/>
        <v>78894.369329076129</v>
      </c>
      <c r="N283" s="23">
        <f t="shared" si="34"/>
        <v>345599.21438013314</v>
      </c>
      <c r="O283" s="23">
        <f t="shared" si="35"/>
        <v>11567450.554310361</v>
      </c>
    </row>
    <row r="284" spans="5:15" x14ac:dyDescent="0.3">
      <c r="E284" s="20">
        <v>263</v>
      </c>
      <c r="F284" s="72">
        <f t="shared" si="36"/>
        <v>12916617.838128684</v>
      </c>
      <c r="G284" s="72">
        <f t="shared" si="37"/>
        <v>86110.785587524573</v>
      </c>
      <c r="H284" s="72">
        <f t="shared" si="38"/>
        <v>385908.10968650255</v>
      </c>
      <c r="I284" s="72">
        <f t="shared" si="39"/>
        <v>12616820.514029706</v>
      </c>
      <c r="K284">
        <f t="shared" si="31"/>
        <v>263</v>
      </c>
      <c r="L284" s="23">
        <f t="shared" si="32"/>
        <v>11567450.554310361</v>
      </c>
      <c r="M284" s="23">
        <f t="shared" si="33"/>
        <v>77116.337028735739</v>
      </c>
      <c r="N284" s="23">
        <f t="shared" si="34"/>
        <v>345599.21438013314</v>
      </c>
      <c r="O284" s="23">
        <f t="shared" si="35"/>
        <v>11298967.676958963</v>
      </c>
    </row>
    <row r="285" spans="5:15" x14ac:dyDescent="0.3">
      <c r="E285" s="20">
        <v>264</v>
      </c>
      <c r="F285" s="72">
        <f t="shared" si="36"/>
        <v>12616820.514029706</v>
      </c>
      <c r="G285" s="72">
        <f t="shared" si="37"/>
        <v>84112.136760198046</v>
      </c>
      <c r="H285" s="72">
        <f t="shared" si="38"/>
        <v>385908.10968650255</v>
      </c>
      <c r="I285" s="72">
        <f t="shared" si="39"/>
        <v>12315024.5411034</v>
      </c>
      <c r="K285">
        <f t="shared" si="31"/>
        <v>264</v>
      </c>
      <c r="L285" s="23">
        <f t="shared" si="32"/>
        <v>11298967.676958963</v>
      </c>
      <c r="M285" s="23">
        <f t="shared" si="33"/>
        <v>75326.451179726428</v>
      </c>
      <c r="N285" s="23">
        <f t="shared" si="34"/>
        <v>345599.21438013314</v>
      </c>
      <c r="O285" s="23">
        <f t="shared" si="35"/>
        <v>11028694.913758555</v>
      </c>
    </row>
    <row r="286" spans="5:15" x14ac:dyDescent="0.3">
      <c r="E286" s="20">
        <v>265</v>
      </c>
      <c r="F286" s="72">
        <f t="shared" si="36"/>
        <v>12315024.5411034</v>
      </c>
      <c r="G286" s="72">
        <f t="shared" si="37"/>
        <v>82100.163607356008</v>
      </c>
      <c r="H286" s="72">
        <f t="shared" si="38"/>
        <v>385908.10968650255</v>
      </c>
      <c r="I286" s="72">
        <f t="shared" si="39"/>
        <v>12011216.595024252</v>
      </c>
      <c r="K286">
        <f t="shared" si="31"/>
        <v>265</v>
      </c>
      <c r="L286" s="23">
        <f t="shared" si="32"/>
        <v>11028694.913758555</v>
      </c>
      <c r="M286" s="23">
        <f t="shared" si="33"/>
        <v>73524.632758390377</v>
      </c>
      <c r="N286" s="23">
        <f t="shared" si="34"/>
        <v>345599.21438013314</v>
      </c>
      <c r="O286" s="23">
        <f t="shared" si="35"/>
        <v>10756620.332136812</v>
      </c>
    </row>
    <row r="287" spans="5:15" x14ac:dyDescent="0.3">
      <c r="E287" s="20">
        <v>266</v>
      </c>
      <c r="F287" s="72">
        <f t="shared" si="36"/>
        <v>12011216.595024252</v>
      </c>
      <c r="G287" s="72">
        <f t="shared" si="37"/>
        <v>80074.777300161688</v>
      </c>
      <c r="H287" s="72">
        <f t="shared" si="38"/>
        <v>385908.10968650255</v>
      </c>
      <c r="I287" s="72">
        <f t="shared" si="39"/>
        <v>11705383.262637911</v>
      </c>
      <c r="K287">
        <f t="shared" si="31"/>
        <v>266</v>
      </c>
      <c r="L287" s="23">
        <f t="shared" si="32"/>
        <v>10756620.332136812</v>
      </c>
      <c r="M287" s="23">
        <f t="shared" si="33"/>
        <v>71710.802214245414</v>
      </c>
      <c r="N287" s="23">
        <f t="shared" si="34"/>
        <v>345599.21438013314</v>
      </c>
      <c r="O287" s="23">
        <f t="shared" si="35"/>
        <v>10482731.919970924</v>
      </c>
    </row>
    <row r="288" spans="5:15" x14ac:dyDescent="0.3">
      <c r="E288" s="20">
        <v>267</v>
      </c>
      <c r="F288" s="72">
        <f t="shared" si="36"/>
        <v>11705383.262637911</v>
      </c>
      <c r="G288" s="72">
        <f t="shared" si="37"/>
        <v>78035.888417586088</v>
      </c>
      <c r="H288" s="72">
        <f t="shared" si="38"/>
        <v>385908.10968650255</v>
      </c>
      <c r="I288" s="72">
        <f t="shared" si="39"/>
        <v>11397511.041368995</v>
      </c>
      <c r="K288">
        <f t="shared" si="31"/>
        <v>267</v>
      </c>
      <c r="L288" s="23">
        <f t="shared" si="32"/>
        <v>10482731.919970924</v>
      </c>
      <c r="M288" s="23">
        <f t="shared" si="33"/>
        <v>69884.879466472834</v>
      </c>
      <c r="N288" s="23">
        <f t="shared" si="34"/>
        <v>345599.21438013314</v>
      </c>
      <c r="O288" s="23">
        <f t="shared" si="35"/>
        <v>10207017.585057262</v>
      </c>
    </row>
    <row r="289" spans="5:15" x14ac:dyDescent="0.3">
      <c r="E289" s="20">
        <v>268</v>
      </c>
      <c r="F289" s="72">
        <f t="shared" si="36"/>
        <v>11397511.041368995</v>
      </c>
      <c r="G289" s="72">
        <f t="shared" si="37"/>
        <v>75983.406942459973</v>
      </c>
      <c r="H289" s="72">
        <f t="shared" si="38"/>
        <v>385908.10968650255</v>
      </c>
      <c r="I289" s="72">
        <f t="shared" si="39"/>
        <v>11087586.338624952</v>
      </c>
      <c r="K289">
        <f t="shared" si="31"/>
        <v>268</v>
      </c>
      <c r="L289" s="23">
        <f t="shared" si="32"/>
        <v>10207017.585057262</v>
      </c>
      <c r="M289" s="23">
        <f t="shared" si="33"/>
        <v>68046.78390038175</v>
      </c>
      <c r="N289" s="23">
        <f t="shared" si="34"/>
        <v>345599.21438013314</v>
      </c>
      <c r="O289" s="23">
        <f t="shared" si="35"/>
        <v>9929465.1545775104</v>
      </c>
    </row>
    <row r="290" spans="5:15" x14ac:dyDescent="0.3">
      <c r="E290" s="20">
        <v>269</v>
      </c>
      <c r="F290" s="72">
        <f t="shared" si="36"/>
        <v>11087586.338624952</v>
      </c>
      <c r="G290" s="72">
        <f t="shared" si="37"/>
        <v>73917.242257499689</v>
      </c>
      <c r="H290" s="72">
        <f t="shared" si="38"/>
        <v>385908.10968650255</v>
      </c>
      <c r="I290" s="72">
        <f t="shared" si="39"/>
        <v>10775595.471195949</v>
      </c>
      <c r="K290">
        <f t="shared" si="31"/>
        <v>269</v>
      </c>
      <c r="L290" s="23">
        <f t="shared" si="32"/>
        <v>9929465.1545775104</v>
      </c>
      <c r="M290" s="23">
        <f t="shared" si="33"/>
        <v>66196.434363850072</v>
      </c>
      <c r="N290" s="23">
        <f t="shared" si="34"/>
        <v>345599.21438013314</v>
      </c>
      <c r="O290" s="23">
        <f t="shared" si="35"/>
        <v>9650062.374561226</v>
      </c>
    </row>
    <row r="291" spans="5:15" x14ac:dyDescent="0.3">
      <c r="E291" s="20">
        <v>270</v>
      </c>
      <c r="F291" s="72">
        <f t="shared" si="36"/>
        <v>10775595.471195949</v>
      </c>
      <c r="G291" s="72">
        <f t="shared" si="37"/>
        <v>71837.303141306329</v>
      </c>
      <c r="H291" s="72">
        <f t="shared" si="38"/>
        <v>385908.10968650255</v>
      </c>
      <c r="I291" s="72">
        <f t="shared" si="39"/>
        <v>10461524.664650753</v>
      </c>
      <c r="K291">
        <f t="shared" si="31"/>
        <v>270</v>
      </c>
      <c r="L291" s="23">
        <f t="shared" si="32"/>
        <v>9650062.374561226</v>
      </c>
      <c r="M291" s="23">
        <f t="shared" si="33"/>
        <v>64333.749163741508</v>
      </c>
      <c r="N291" s="23">
        <f t="shared" si="34"/>
        <v>345599.21438013314</v>
      </c>
      <c r="O291" s="23">
        <f t="shared" si="35"/>
        <v>9368796.9093448333</v>
      </c>
    </row>
    <row r="292" spans="5:15" x14ac:dyDescent="0.3">
      <c r="E292" s="20">
        <v>271</v>
      </c>
      <c r="F292" s="72">
        <f t="shared" si="36"/>
        <v>10461524.664650753</v>
      </c>
      <c r="G292" s="72">
        <f t="shared" si="37"/>
        <v>69743.497764338361</v>
      </c>
      <c r="H292" s="72">
        <f t="shared" si="38"/>
        <v>385908.10968650255</v>
      </c>
      <c r="I292" s="72">
        <f t="shared" si="39"/>
        <v>10145360.052728588</v>
      </c>
      <c r="K292">
        <f t="shared" si="31"/>
        <v>271</v>
      </c>
      <c r="L292" s="23">
        <f t="shared" si="32"/>
        <v>9368796.9093448333</v>
      </c>
      <c r="M292" s="23">
        <f t="shared" si="33"/>
        <v>62458.646062298896</v>
      </c>
      <c r="N292" s="23">
        <f t="shared" si="34"/>
        <v>345599.21438013314</v>
      </c>
      <c r="O292" s="23">
        <f t="shared" si="35"/>
        <v>9085656.3410269991</v>
      </c>
    </row>
    <row r="293" spans="5:15" x14ac:dyDescent="0.3">
      <c r="E293" s="20">
        <v>272</v>
      </c>
      <c r="F293" s="72">
        <f t="shared" si="36"/>
        <v>10145360.052728588</v>
      </c>
      <c r="G293" s="72">
        <f t="shared" si="37"/>
        <v>67635.73368485726</v>
      </c>
      <c r="H293" s="72">
        <f t="shared" si="38"/>
        <v>385908.10968650255</v>
      </c>
      <c r="I293" s="72">
        <f t="shared" si="39"/>
        <v>9827087.676726941</v>
      </c>
      <c r="K293">
        <f t="shared" si="31"/>
        <v>272</v>
      </c>
      <c r="L293" s="23">
        <f t="shared" si="32"/>
        <v>9085656.3410269991</v>
      </c>
      <c r="M293" s="23">
        <f t="shared" si="33"/>
        <v>60571.042273513332</v>
      </c>
      <c r="N293" s="23">
        <f t="shared" si="34"/>
        <v>345599.21438013314</v>
      </c>
      <c r="O293" s="23">
        <f t="shared" si="35"/>
        <v>8800628.1689203791</v>
      </c>
    </row>
    <row r="294" spans="5:15" x14ac:dyDescent="0.3">
      <c r="E294" s="20">
        <v>273</v>
      </c>
      <c r="F294" s="72">
        <f t="shared" si="36"/>
        <v>9827087.676726941</v>
      </c>
      <c r="G294" s="72">
        <f t="shared" si="37"/>
        <v>65513.917844846277</v>
      </c>
      <c r="H294" s="72">
        <f t="shared" si="38"/>
        <v>385908.10968650255</v>
      </c>
      <c r="I294" s="72">
        <f t="shared" si="39"/>
        <v>9506693.4848852847</v>
      </c>
      <c r="K294">
        <f t="shared" si="31"/>
        <v>273</v>
      </c>
      <c r="L294" s="23">
        <f t="shared" si="32"/>
        <v>8800628.1689203791</v>
      </c>
      <c r="M294" s="23">
        <f t="shared" si="33"/>
        <v>58670.854459469199</v>
      </c>
      <c r="N294" s="23">
        <f t="shared" si="34"/>
        <v>345599.21438013314</v>
      </c>
      <c r="O294" s="23">
        <f t="shared" si="35"/>
        <v>8513699.8089997135</v>
      </c>
    </row>
    <row r="295" spans="5:15" x14ac:dyDescent="0.3">
      <c r="E295" s="20">
        <v>274</v>
      </c>
      <c r="F295" s="72">
        <f t="shared" si="36"/>
        <v>9506693.4848852847</v>
      </c>
      <c r="G295" s="72">
        <f t="shared" si="37"/>
        <v>63377.956565901899</v>
      </c>
      <c r="H295" s="72">
        <f t="shared" si="38"/>
        <v>385908.10968650255</v>
      </c>
      <c r="I295" s="72">
        <f t="shared" si="39"/>
        <v>9184163.3317646831</v>
      </c>
      <c r="K295">
        <f t="shared" si="31"/>
        <v>274</v>
      </c>
      <c r="L295" s="23">
        <f t="shared" si="32"/>
        <v>8513699.8089997135</v>
      </c>
      <c r="M295" s="23">
        <f t="shared" si="33"/>
        <v>56757.998726664759</v>
      </c>
      <c r="N295" s="23">
        <f t="shared" si="34"/>
        <v>345599.21438013314</v>
      </c>
      <c r="O295" s="23">
        <f t="shared" si="35"/>
        <v>8224858.5933462447</v>
      </c>
    </row>
    <row r="296" spans="5:15" x14ac:dyDescent="0.3">
      <c r="E296" s="20">
        <v>275</v>
      </c>
      <c r="F296" s="72">
        <f t="shared" si="36"/>
        <v>9184163.3317646831</v>
      </c>
      <c r="G296" s="72">
        <f t="shared" si="37"/>
        <v>61227.755545097891</v>
      </c>
      <c r="H296" s="72">
        <f t="shared" si="38"/>
        <v>385908.10968650255</v>
      </c>
      <c r="I296" s="72">
        <f t="shared" si="39"/>
        <v>8859482.9776232783</v>
      </c>
      <c r="K296">
        <f t="shared" si="31"/>
        <v>275</v>
      </c>
      <c r="L296" s="23">
        <f t="shared" si="32"/>
        <v>8224858.5933462447</v>
      </c>
      <c r="M296" s="23">
        <f t="shared" si="33"/>
        <v>54832.390622308303</v>
      </c>
      <c r="N296" s="23">
        <f t="shared" si="34"/>
        <v>345599.21438013314</v>
      </c>
      <c r="O296" s="23">
        <f t="shared" si="35"/>
        <v>7934091.7695884202</v>
      </c>
    </row>
    <row r="297" spans="5:15" x14ac:dyDescent="0.3">
      <c r="E297" s="20">
        <v>276</v>
      </c>
      <c r="F297" s="72">
        <f t="shared" si="36"/>
        <v>8859482.9776232783</v>
      </c>
      <c r="G297" s="72">
        <f t="shared" si="37"/>
        <v>59063.219850821857</v>
      </c>
      <c r="H297" s="72">
        <f t="shared" si="38"/>
        <v>385908.10968650255</v>
      </c>
      <c r="I297" s="72">
        <f t="shared" si="39"/>
        <v>8532638.0877875965</v>
      </c>
      <c r="K297">
        <f t="shared" si="31"/>
        <v>276</v>
      </c>
      <c r="L297" s="23">
        <f t="shared" si="32"/>
        <v>7934091.7695884202</v>
      </c>
      <c r="M297" s="23">
        <f t="shared" si="33"/>
        <v>52893.945130589469</v>
      </c>
      <c r="N297" s="23">
        <f t="shared" si="34"/>
        <v>345599.21438013314</v>
      </c>
      <c r="O297" s="23">
        <f t="shared" si="35"/>
        <v>7641386.5003388766</v>
      </c>
    </row>
    <row r="298" spans="5:15" x14ac:dyDescent="0.3">
      <c r="E298" s="20">
        <v>277</v>
      </c>
      <c r="F298" s="72">
        <f t="shared" si="36"/>
        <v>8532638.0877875965</v>
      </c>
      <c r="G298" s="72">
        <f t="shared" si="37"/>
        <v>56884.253918583978</v>
      </c>
      <c r="H298" s="72">
        <f t="shared" si="38"/>
        <v>385908.10968650255</v>
      </c>
      <c r="I298" s="72">
        <f t="shared" si="39"/>
        <v>8203614.2320196787</v>
      </c>
      <c r="K298">
        <f t="shared" si="31"/>
        <v>277</v>
      </c>
      <c r="L298" s="23">
        <f t="shared" si="32"/>
        <v>7641386.5003388766</v>
      </c>
      <c r="M298" s="23">
        <f t="shared" si="33"/>
        <v>50942.576668925845</v>
      </c>
      <c r="N298" s="23">
        <f t="shared" si="34"/>
        <v>345599.21438013314</v>
      </c>
      <c r="O298" s="23">
        <f t="shared" si="35"/>
        <v>7346729.8626276692</v>
      </c>
    </row>
    <row r="299" spans="5:15" x14ac:dyDescent="0.3">
      <c r="E299" s="20">
        <v>278</v>
      </c>
      <c r="F299" s="72">
        <f t="shared" si="36"/>
        <v>8203614.2320196787</v>
      </c>
      <c r="G299" s="72">
        <f t="shared" si="37"/>
        <v>54690.761546797861</v>
      </c>
      <c r="H299" s="72">
        <f t="shared" si="38"/>
        <v>385908.10968650255</v>
      </c>
      <c r="I299" s="72">
        <f t="shared" si="39"/>
        <v>7872396.8838799745</v>
      </c>
      <c r="K299">
        <f t="shared" si="31"/>
        <v>278</v>
      </c>
      <c r="L299" s="23">
        <f t="shared" si="32"/>
        <v>7346729.8626276692</v>
      </c>
      <c r="M299" s="23">
        <f t="shared" si="33"/>
        <v>48978.199084184467</v>
      </c>
      <c r="N299" s="23">
        <f t="shared" si="34"/>
        <v>345599.21438013314</v>
      </c>
      <c r="O299" s="23">
        <f t="shared" si="35"/>
        <v>7050108.8473317204</v>
      </c>
    </row>
    <row r="300" spans="5:15" x14ac:dyDescent="0.3">
      <c r="E300" s="20">
        <v>279</v>
      </c>
      <c r="F300" s="72">
        <f t="shared" si="36"/>
        <v>7872396.8838799745</v>
      </c>
      <c r="G300" s="72">
        <f t="shared" si="37"/>
        <v>52482.645892533168</v>
      </c>
      <c r="H300" s="72">
        <f t="shared" si="38"/>
        <v>385908.10968650255</v>
      </c>
      <c r="I300" s="72">
        <f t="shared" si="39"/>
        <v>7538971.4200860057</v>
      </c>
      <c r="K300">
        <f t="shared" si="31"/>
        <v>279</v>
      </c>
      <c r="L300" s="23">
        <f t="shared" si="32"/>
        <v>7050108.8473317204</v>
      </c>
      <c r="M300" s="23">
        <f t="shared" si="33"/>
        <v>47000.725648878142</v>
      </c>
      <c r="N300" s="23">
        <f t="shared" si="34"/>
        <v>345599.21438013314</v>
      </c>
      <c r="O300" s="23">
        <f t="shared" si="35"/>
        <v>6751510.3586004656</v>
      </c>
    </row>
    <row r="301" spans="5:15" x14ac:dyDescent="0.3">
      <c r="E301" s="20">
        <v>280</v>
      </c>
      <c r="F301" s="72">
        <f t="shared" si="36"/>
        <v>7538971.4200860057</v>
      </c>
      <c r="G301" s="72">
        <f t="shared" si="37"/>
        <v>50259.80946724004</v>
      </c>
      <c r="H301" s="72">
        <f t="shared" si="38"/>
        <v>385908.10968650255</v>
      </c>
      <c r="I301" s="72">
        <f t="shared" si="39"/>
        <v>7203323.1198667437</v>
      </c>
      <c r="K301">
        <f t="shared" si="31"/>
        <v>280</v>
      </c>
      <c r="L301" s="23">
        <f t="shared" si="32"/>
        <v>6751510.3586004656</v>
      </c>
      <c r="M301" s="23">
        <f t="shared" si="33"/>
        <v>45010.069057336441</v>
      </c>
      <c r="N301" s="23">
        <f t="shared" si="34"/>
        <v>345599.21438013314</v>
      </c>
      <c r="O301" s="23">
        <f t="shared" si="35"/>
        <v>6450921.2132776687</v>
      </c>
    </row>
    <row r="302" spans="5:15" x14ac:dyDescent="0.3">
      <c r="E302" s="20">
        <v>281</v>
      </c>
      <c r="F302" s="72">
        <f t="shared" si="36"/>
        <v>7203323.1198667437</v>
      </c>
      <c r="G302" s="72">
        <f t="shared" si="37"/>
        <v>48022.154132444964</v>
      </c>
      <c r="H302" s="72">
        <f t="shared" si="38"/>
        <v>385908.10968650255</v>
      </c>
      <c r="I302" s="72">
        <f t="shared" si="39"/>
        <v>6865437.1643126868</v>
      </c>
      <c r="K302">
        <f t="shared" si="31"/>
        <v>281</v>
      </c>
      <c r="L302" s="23">
        <f t="shared" si="32"/>
        <v>6450921.2132776687</v>
      </c>
      <c r="M302" s="23">
        <f t="shared" si="33"/>
        <v>43006.141421851127</v>
      </c>
      <c r="N302" s="23">
        <f t="shared" si="34"/>
        <v>345599.21438013314</v>
      </c>
      <c r="O302" s="23">
        <f t="shared" si="35"/>
        <v>6148328.1403193865</v>
      </c>
    </row>
    <row r="303" spans="5:15" x14ac:dyDescent="0.3">
      <c r="E303" s="20">
        <v>282</v>
      </c>
      <c r="F303" s="72">
        <f t="shared" si="36"/>
        <v>6865437.1643126868</v>
      </c>
      <c r="G303" s="72">
        <f t="shared" si="37"/>
        <v>45769.581095417918</v>
      </c>
      <c r="H303" s="72">
        <f t="shared" si="38"/>
        <v>385908.10968650255</v>
      </c>
      <c r="I303" s="72">
        <f t="shared" si="39"/>
        <v>6525298.6357216025</v>
      </c>
      <c r="K303">
        <f t="shared" si="31"/>
        <v>282</v>
      </c>
      <c r="L303" s="23">
        <f t="shared" si="32"/>
        <v>6148328.1403193865</v>
      </c>
      <c r="M303" s="23">
        <f t="shared" si="33"/>
        <v>40988.854268795913</v>
      </c>
      <c r="N303" s="23">
        <f t="shared" si="34"/>
        <v>345599.21438013314</v>
      </c>
      <c r="O303" s="23">
        <f t="shared" si="35"/>
        <v>5843717.7802080493</v>
      </c>
    </row>
    <row r="304" spans="5:15" x14ac:dyDescent="0.3">
      <c r="E304" s="20">
        <v>283</v>
      </c>
      <c r="F304" s="72">
        <f t="shared" si="36"/>
        <v>6525298.6357216025</v>
      </c>
      <c r="G304" s="72">
        <f t="shared" si="37"/>
        <v>43501.990904810686</v>
      </c>
      <c r="H304" s="72">
        <f t="shared" si="38"/>
        <v>385908.10968650255</v>
      </c>
      <c r="I304" s="72">
        <f t="shared" si="39"/>
        <v>6182892.5169399111</v>
      </c>
      <c r="K304">
        <f t="shared" si="31"/>
        <v>283</v>
      </c>
      <c r="L304" s="23">
        <f t="shared" si="32"/>
        <v>5843717.7802080493</v>
      </c>
      <c r="M304" s="23">
        <f t="shared" si="33"/>
        <v>38958.118534720328</v>
      </c>
      <c r="N304" s="23">
        <f t="shared" si="34"/>
        <v>345599.21438013314</v>
      </c>
      <c r="O304" s="23">
        <f t="shared" si="35"/>
        <v>5537076.6843626369</v>
      </c>
    </row>
    <row r="305" spans="5:15" x14ac:dyDescent="0.3">
      <c r="E305" s="20">
        <v>284</v>
      </c>
      <c r="F305" s="72">
        <f t="shared" si="36"/>
        <v>6182892.5169399111</v>
      </c>
      <c r="G305" s="72">
        <f t="shared" si="37"/>
        <v>41219.283446266076</v>
      </c>
      <c r="H305" s="72">
        <f t="shared" si="38"/>
        <v>385908.10968650255</v>
      </c>
      <c r="I305" s="72">
        <f t="shared" si="39"/>
        <v>5838203.6906996751</v>
      </c>
      <c r="K305">
        <f t="shared" si="31"/>
        <v>284</v>
      </c>
      <c r="L305" s="23">
        <f t="shared" si="32"/>
        <v>5537076.6843626369</v>
      </c>
      <c r="M305" s="23">
        <f t="shared" si="33"/>
        <v>36913.84456241758</v>
      </c>
      <c r="N305" s="23">
        <f t="shared" si="34"/>
        <v>345599.21438013314</v>
      </c>
      <c r="O305" s="23">
        <f t="shared" si="35"/>
        <v>5228391.3145449217</v>
      </c>
    </row>
    <row r="306" spans="5:15" x14ac:dyDescent="0.3">
      <c r="E306" s="20">
        <v>285</v>
      </c>
      <c r="F306" s="72">
        <f t="shared" si="36"/>
        <v>5838203.6906996751</v>
      </c>
      <c r="G306" s="72">
        <f t="shared" si="37"/>
        <v>38921.35793799784</v>
      </c>
      <c r="H306" s="72">
        <f t="shared" si="38"/>
        <v>385908.10968650255</v>
      </c>
      <c r="I306" s="72">
        <f t="shared" si="39"/>
        <v>5491216.938951171</v>
      </c>
      <c r="K306">
        <f t="shared" si="31"/>
        <v>285</v>
      </c>
      <c r="L306" s="23">
        <f t="shared" si="32"/>
        <v>5228391.3145449217</v>
      </c>
      <c r="M306" s="23">
        <f t="shared" si="33"/>
        <v>34855.942096966144</v>
      </c>
      <c r="N306" s="23">
        <f t="shared" si="34"/>
        <v>345599.21438013314</v>
      </c>
      <c r="O306" s="23">
        <f t="shared" si="35"/>
        <v>4917648.0422617551</v>
      </c>
    </row>
    <row r="307" spans="5:15" x14ac:dyDescent="0.3">
      <c r="E307" s="20">
        <v>286</v>
      </c>
      <c r="F307" s="72">
        <f t="shared" si="36"/>
        <v>5491216.938951171</v>
      </c>
      <c r="G307" s="72">
        <f t="shared" si="37"/>
        <v>36608.112926341142</v>
      </c>
      <c r="H307" s="72">
        <f t="shared" si="38"/>
        <v>385908.10968650255</v>
      </c>
      <c r="I307" s="72">
        <f t="shared" si="39"/>
        <v>5141916.9421910103</v>
      </c>
      <c r="K307">
        <f t="shared" si="31"/>
        <v>286</v>
      </c>
      <c r="L307" s="23">
        <f t="shared" si="32"/>
        <v>4917648.0422617551</v>
      </c>
      <c r="M307" s="23">
        <f t="shared" si="33"/>
        <v>32784.320281745036</v>
      </c>
      <c r="N307" s="23">
        <f t="shared" si="34"/>
        <v>345599.21438013314</v>
      </c>
      <c r="O307" s="23">
        <f t="shared" si="35"/>
        <v>4604833.1481633671</v>
      </c>
    </row>
    <row r="308" spans="5:15" x14ac:dyDescent="0.3">
      <c r="E308" s="20">
        <v>287</v>
      </c>
      <c r="F308" s="72">
        <f t="shared" si="36"/>
        <v>5141916.9421910103</v>
      </c>
      <c r="G308" s="72">
        <f t="shared" si="37"/>
        <v>34279.446281273405</v>
      </c>
      <c r="H308" s="72">
        <f t="shared" si="38"/>
        <v>385908.10968650255</v>
      </c>
      <c r="I308" s="72">
        <f t="shared" si="39"/>
        <v>4790288.2787857819</v>
      </c>
      <c r="K308">
        <f t="shared" si="31"/>
        <v>287</v>
      </c>
      <c r="L308" s="23">
        <f t="shared" si="32"/>
        <v>4604833.1481633671</v>
      </c>
      <c r="M308" s="23">
        <f t="shared" si="33"/>
        <v>30698.887654422448</v>
      </c>
      <c r="N308" s="23">
        <f t="shared" si="34"/>
        <v>345599.21438013314</v>
      </c>
      <c r="O308" s="23">
        <f t="shared" si="35"/>
        <v>4289932.8214376569</v>
      </c>
    </row>
    <row r="309" spans="5:15" x14ac:dyDescent="0.3">
      <c r="E309" s="20">
        <v>288</v>
      </c>
      <c r="F309" s="72">
        <f t="shared" si="36"/>
        <v>4790288.2787857819</v>
      </c>
      <c r="G309" s="72">
        <f t="shared" si="37"/>
        <v>31935.255191905217</v>
      </c>
      <c r="H309" s="72">
        <f t="shared" si="38"/>
        <v>385908.10968650255</v>
      </c>
      <c r="I309" s="72">
        <f t="shared" si="39"/>
        <v>4436315.4242911851</v>
      </c>
      <c r="K309">
        <f t="shared" si="31"/>
        <v>288</v>
      </c>
      <c r="L309" s="23">
        <f t="shared" si="32"/>
        <v>4289932.8214376569</v>
      </c>
      <c r="M309" s="23">
        <f t="shared" si="33"/>
        <v>28599.552142917713</v>
      </c>
      <c r="N309" s="23">
        <f t="shared" si="34"/>
        <v>345599.21438013314</v>
      </c>
      <c r="O309" s="23">
        <f t="shared" si="35"/>
        <v>3972933.159200442</v>
      </c>
    </row>
    <row r="310" spans="5:15" x14ac:dyDescent="0.3">
      <c r="E310" s="20">
        <v>289</v>
      </c>
      <c r="F310" s="72">
        <f t="shared" si="36"/>
        <v>4436315.4242911851</v>
      </c>
      <c r="G310" s="72">
        <f t="shared" si="37"/>
        <v>29575.436161941238</v>
      </c>
      <c r="H310" s="72">
        <f t="shared" si="38"/>
        <v>385908.10968650255</v>
      </c>
      <c r="I310" s="72">
        <f t="shared" si="39"/>
        <v>4079982.7507666233</v>
      </c>
      <c r="K310">
        <f t="shared" si="31"/>
        <v>289</v>
      </c>
      <c r="L310" s="23">
        <f t="shared" si="32"/>
        <v>3972933.159200442</v>
      </c>
      <c r="M310" s="23">
        <f t="shared" si="33"/>
        <v>26486.22106133628</v>
      </c>
      <c r="N310" s="23">
        <f t="shared" si="34"/>
        <v>345599.21438013314</v>
      </c>
      <c r="O310" s="23">
        <f t="shared" si="35"/>
        <v>3653820.1658816454</v>
      </c>
    </row>
    <row r="311" spans="5:15" x14ac:dyDescent="0.3">
      <c r="E311" s="20">
        <v>290</v>
      </c>
      <c r="F311" s="72">
        <f t="shared" si="36"/>
        <v>4079982.7507666233</v>
      </c>
      <c r="G311" s="72">
        <f t="shared" si="37"/>
        <v>27199.885005110824</v>
      </c>
      <c r="H311" s="72">
        <f t="shared" si="38"/>
        <v>385908.10968650255</v>
      </c>
      <c r="I311" s="72">
        <f t="shared" si="39"/>
        <v>3721274.5260852315</v>
      </c>
      <c r="K311">
        <f t="shared" si="31"/>
        <v>290</v>
      </c>
      <c r="L311" s="23">
        <f t="shared" si="32"/>
        <v>3653820.1658816454</v>
      </c>
      <c r="M311" s="23">
        <f t="shared" si="33"/>
        <v>24358.801105877639</v>
      </c>
      <c r="N311" s="23">
        <f t="shared" si="34"/>
        <v>345599.21438013314</v>
      </c>
      <c r="O311" s="23">
        <f t="shared" si="35"/>
        <v>3332579.7526073903</v>
      </c>
    </row>
    <row r="312" spans="5:15" x14ac:dyDescent="0.3">
      <c r="E312" s="20">
        <v>291</v>
      </c>
      <c r="F312" s="72">
        <f t="shared" si="36"/>
        <v>3721274.5260852315</v>
      </c>
      <c r="G312" s="72">
        <f t="shared" si="37"/>
        <v>24808.496840568212</v>
      </c>
      <c r="H312" s="72">
        <f t="shared" si="38"/>
        <v>385908.10968650255</v>
      </c>
      <c r="I312" s="72">
        <f t="shared" si="39"/>
        <v>3360174.913239297</v>
      </c>
      <c r="K312">
        <f t="shared" si="31"/>
        <v>291</v>
      </c>
      <c r="L312" s="23">
        <f t="shared" si="32"/>
        <v>3332579.7526073903</v>
      </c>
      <c r="M312" s="23">
        <f t="shared" si="33"/>
        <v>22217.198350715938</v>
      </c>
      <c r="N312" s="23">
        <f t="shared" si="34"/>
        <v>345599.21438013314</v>
      </c>
      <c r="O312" s="23">
        <f t="shared" si="35"/>
        <v>3009197.7365779732</v>
      </c>
    </row>
    <row r="313" spans="5:15" x14ac:dyDescent="0.3">
      <c r="E313" s="20">
        <v>292</v>
      </c>
      <c r="F313" s="72">
        <f t="shared" si="36"/>
        <v>3360174.913239297</v>
      </c>
      <c r="G313" s="72">
        <f t="shared" si="37"/>
        <v>22401.16608826198</v>
      </c>
      <c r="H313" s="72">
        <f t="shared" si="38"/>
        <v>385908.10968650255</v>
      </c>
      <c r="I313" s="72">
        <f t="shared" si="39"/>
        <v>2996667.9696410564</v>
      </c>
      <c r="K313">
        <f t="shared" si="31"/>
        <v>292</v>
      </c>
      <c r="L313" s="23">
        <f t="shared" si="32"/>
        <v>3009197.7365779732</v>
      </c>
      <c r="M313" s="23">
        <f t="shared" si="33"/>
        <v>20061.318243853155</v>
      </c>
      <c r="N313" s="23">
        <f t="shared" si="34"/>
        <v>345599.21438013314</v>
      </c>
      <c r="O313" s="23">
        <f t="shared" si="35"/>
        <v>2683659.8404416936</v>
      </c>
    </row>
    <row r="314" spans="5:15" x14ac:dyDescent="0.3">
      <c r="E314" s="20">
        <v>293</v>
      </c>
      <c r="F314" s="72">
        <f t="shared" si="36"/>
        <v>2996667.9696410564</v>
      </c>
      <c r="G314" s="72">
        <f t="shared" si="37"/>
        <v>19977.786464273711</v>
      </c>
      <c r="H314" s="72">
        <f t="shared" si="38"/>
        <v>385908.10968650255</v>
      </c>
      <c r="I314" s="72">
        <f t="shared" si="39"/>
        <v>2630737.6464188276</v>
      </c>
      <c r="K314">
        <f t="shared" si="31"/>
        <v>293</v>
      </c>
      <c r="L314" s="23">
        <f t="shared" si="32"/>
        <v>2683659.8404416936</v>
      </c>
      <c r="M314" s="23">
        <f t="shared" si="33"/>
        <v>17891.065602944625</v>
      </c>
      <c r="N314" s="23">
        <f t="shared" si="34"/>
        <v>345599.21438013314</v>
      </c>
      <c r="O314" s="23">
        <f t="shared" si="35"/>
        <v>2355951.6916645053</v>
      </c>
    </row>
    <row r="315" spans="5:15" x14ac:dyDescent="0.3">
      <c r="E315" s="20">
        <v>294</v>
      </c>
      <c r="F315" s="72">
        <f t="shared" si="36"/>
        <v>2630737.6464188276</v>
      </c>
      <c r="G315" s="72">
        <f t="shared" si="37"/>
        <v>17538.250976125517</v>
      </c>
      <c r="H315" s="72">
        <f t="shared" si="38"/>
        <v>385908.10968650255</v>
      </c>
      <c r="I315" s="72">
        <f t="shared" si="39"/>
        <v>2262367.7877084506</v>
      </c>
      <c r="K315">
        <f t="shared" si="31"/>
        <v>294</v>
      </c>
      <c r="L315" s="23">
        <f t="shared" si="32"/>
        <v>2355951.6916645053</v>
      </c>
      <c r="M315" s="23">
        <f t="shared" si="33"/>
        <v>15706.344611096703</v>
      </c>
      <c r="N315" s="23">
        <f t="shared" si="34"/>
        <v>345599.21438013314</v>
      </c>
      <c r="O315" s="23">
        <f t="shared" si="35"/>
        <v>2026058.8218954687</v>
      </c>
    </row>
    <row r="316" spans="5:15" x14ac:dyDescent="0.3">
      <c r="E316" s="20">
        <v>295</v>
      </c>
      <c r="F316" s="72">
        <f t="shared" si="36"/>
        <v>2262367.7877084506</v>
      </c>
      <c r="G316" s="72">
        <f t="shared" si="37"/>
        <v>15082.451918056338</v>
      </c>
      <c r="H316" s="72">
        <f t="shared" si="38"/>
        <v>385908.10968650255</v>
      </c>
      <c r="I316" s="72">
        <f t="shared" si="39"/>
        <v>1891542.1299400043</v>
      </c>
      <c r="K316">
        <f t="shared" ref="K316:K321" si="40">E316</f>
        <v>295</v>
      </c>
      <c r="L316" s="23">
        <f t="shared" ref="L316:L321" si="41">O315</f>
        <v>2026058.8218954687</v>
      </c>
      <c r="M316" s="23">
        <f t="shared" ref="M316:M321" si="42">L316*$K$13</f>
        <v>13507.05881263646</v>
      </c>
      <c r="N316" s="23">
        <f t="shared" ref="N316:N321" si="43">ABS($O$57)</f>
        <v>345599.21438013314</v>
      </c>
      <c r="O316" s="23">
        <f t="shared" ref="O316:O321" si="44">L316+M316-N316</f>
        <v>1693966.666327972</v>
      </c>
    </row>
    <row r="317" spans="5:15" x14ac:dyDescent="0.3">
      <c r="E317" s="20">
        <v>296</v>
      </c>
      <c r="F317" s="72">
        <f t="shared" si="36"/>
        <v>1891542.1299400043</v>
      </c>
      <c r="G317" s="72">
        <f t="shared" si="37"/>
        <v>12610.280866266696</v>
      </c>
      <c r="H317" s="72">
        <f t="shared" si="38"/>
        <v>385908.10968650255</v>
      </c>
      <c r="I317" s="72">
        <f t="shared" si="39"/>
        <v>1518244.3011197685</v>
      </c>
      <c r="K317">
        <f t="shared" si="40"/>
        <v>296</v>
      </c>
      <c r="L317" s="23">
        <f t="shared" si="41"/>
        <v>1693966.666327972</v>
      </c>
      <c r="M317" s="23">
        <f t="shared" si="42"/>
        <v>11293.111108853147</v>
      </c>
      <c r="N317" s="23">
        <f t="shared" si="43"/>
        <v>345599.21438013314</v>
      </c>
      <c r="O317" s="23">
        <f t="shared" si="44"/>
        <v>1359660.563056692</v>
      </c>
    </row>
    <row r="318" spans="5:15" x14ac:dyDescent="0.3">
      <c r="E318" s="20">
        <v>297</v>
      </c>
      <c r="F318" s="72">
        <f t="shared" si="36"/>
        <v>1518244.3011197685</v>
      </c>
      <c r="G318" s="72">
        <f t="shared" si="37"/>
        <v>10121.628674131791</v>
      </c>
      <c r="H318" s="72">
        <f t="shared" si="38"/>
        <v>385908.10968650255</v>
      </c>
      <c r="I318" s="72">
        <f t="shared" si="39"/>
        <v>1142457.8201073979</v>
      </c>
      <c r="K318">
        <f t="shared" si="40"/>
        <v>297</v>
      </c>
      <c r="L318" s="23">
        <f t="shared" si="41"/>
        <v>1359660.563056692</v>
      </c>
      <c r="M318" s="23">
        <f t="shared" si="42"/>
        <v>9064.4037537112799</v>
      </c>
      <c r="N318" s="23">
        <f t="shared" si="43"/>
        <v>345599.21438013314</v>
      </c>
      <c r="O318" s="23">
        <f t="shared" si="44"/>
        <v>1023125.7524302702</v>
      </c>
    </row>
    <row r="319" spans="5:15" x14ac:dyDescent="0.3">
      <c r="E319" s="20">
        <v>298</v>
      </c>
      <c r="F319" s="72">
        <f t="shared" si="36"/>
        <v>1142457.8201073979</v>
      </c>
      <c r="G319" s="72">
        <f t="shared" si="37"/>
        <v>7616.3854673826527</v>
      </c>
      <c r="H319" s="72">
        <f t="shared" si="38"/>
        <v>385908.10968650255</v>
      </c>
      <c r="I319" s="72">
        <f t="shared" si="39"/>
        <v>764166.09588827798</v>
      </c>
      <c r="K319">
        <f t="shared" si="40"/>
        <v>298</v>
      </c>
      <c r="L319" s="23">
        <f t="shared" si="41"/>
        <v>1023125.7524302702</v>
      </c>
      <c r="M319" s="23">
        <f t="shared" si="42"/>
        <v>6820.8383495351354</v>
      </c>
      <c r="N319" s="23">
        <f t="shared" si="43"/>
        <v>345599.21438013314</v>
      </c>
      <c r="O319" s="23">
        <f t="shared" si="44"/>
        <v>684347.37639967212</v>
      </c>
    </row>
    <row r="320" spans="5:15" x14ac:dyDescent="0.3">
      <c r="E320" s="20">
        <v>299</v>
      </c>
      <c r="F320" s="72">
        <f t="shared" si="36"/>
        <v>764166.09588827798</v>
      </c>
      <c r="G320" s="72">
        <f t="shared" si="37"/>
        <v>5094.4406392551873</v>
      </c>
      <c r="H320" s="72">
        <f t="shared" si="38"/>
        <v>385908.10968650255</v>
      </c>
      <c r="I320" s="72">
        <f t="shared" si="39"/>
        <v>383352.42684103065</v>
      </c>
      <c r="K320">
        <f t="shared" si="40"/>
        <v>299</v>
      </c>
      <c r="L320" s="23">
        <f t="shared" si="41"/>
        <v>684347.37639967212</v>
      </c>
      <c r="M320" s="23">
        <f t="shared" si="42"/>
        <v>4562.3158426644814</v>
      </c>
      <c r="N320" s="23">
        <f t="shared" si="43"/>
        <v>345599.21438013314</v>
      </c>
      <c r="O320" s="23">
        <f t="shared" si="44"/>
        <v>343310.47786220344</v>
      </c>
    </row>
    <row r="321" spans="5:15" x14ac:dyDescent="0.3">
      <c r="E321" s="20">
        <v>300</v>
      </c>
      <c r="F321" s="72">
        <f t="shared" si="36"/>
        <v>383352.42684103065</v>
      </c>
      <c r="G321" s="72">
        <f t="shared" si="37"/>
        <v>2555.6828456068711</v>
      </c>
      <c r="H321" s="72">
        <f t="shared" si="38"/>
        <v>385908.10968650255</v>
      </c>
      <c r="I321" s="74">
        <f t="shared" si="39"/>
        <v>1.3498356565833092E-7</v>
      </c>
      <c r="K321">
        <f t="shared" si="40"/>
        <v>300</v>
      </c>
      <c r="L321" s="23">
        <f t="shared" si="41"/>
        <v>343310.47786220344</v>
      </c>
      <c r="M321" s="23">
        <f t="shared" si="42"/>
        <v>2288.7365190813562</v>
      </c>
      <c r="N321" s="23">
        <f t="shared" si="43"/>
        <v>345599.21438013314</v>
      </c>
      <c r="O321" s="57">
        <f t="shared" si="44"/>
        <v>1.1516385711729527E-6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A244-CF0A-4C65-80D9-FE709A7049F7}">
  <sheetPr>
    <tabColor theme="9" tint="0.59999389629810485"/>
  </sheetPr>
  <dimension ref="B3:J44"/>
  <sheetViews>
    <sheetView topLeftCell="A38" zoomScale="91" zoomScaleNormal="137" workbookViewId="0">
      <selection activeCell="J30" sqref="J30"/>
    </sheetView>
  </sheetViews>
  <sheetFormatPr defaultRowHeight="14.4" x14ac:dyDescent="0.3"/>
  <cols>
    <col min="5" max="5" width="13.21875" bestFit="1" customWidth="1"/>
    <col min="8" max="8" width="19.88671875" bestFit="1" customWidth="1"/>
    <col min="10" max="10" width="8.5546875" bestFit="1" customWidth="1"/>
  </cols>
  <sheetData>
    <row r="3" spans="2:8" x14ac:dyDescent="0.3">
      <c r="B3" s="75" t="s">
        <v>115</v>
      </c>
      <c r="D3" s="20"/>
      <c r="E3" s="20"/>
    </row>
    <row r="4" spans="2:8" s="20" customFormat="1" x14ac:dyDescent="0.3">
      <c r="D4" s="76" t="s">
        <v>110</v>
      </c>
      <c r="E4" s="76" t="s">
        <v>116</v>
      </c>
      <c r="F4" s="76" t="s">
        <v>117</v>
      </c>
      <c r="G4" s="76" t="s">
        <v>121</v>
      </c>
      <c r="H4" s="25" t="s">
        <v>122</v>
      </c>
    </row>
    <row r="5" spans="2:8" x14ac:dyDescent="0.3">
      <c r="B5" s="77" t="s">
        <v>3</v>
      </c>
      <c r="C5" s="78"/>
      <c r="D5" s="79">
        <v>33208</v>
      </c>
      <c r="E5" s="80">
        <v>330.86</v>
      </c>
    </row>
    <row r="6" spans="2:8" x14ac:dyDescent="0.3">
      <c r="B6" s="20"/>
      <c r="C6" s="20">
        <v>1</v>
      </c>
      <c r="D6" s="81">
        <v>33573</v>
      </c>
      <c r="E6" s="43">
        <v>558.63</v>
      </c>
      <c r="F6" s="84">
        <f>(E6-E5)/E5</f>
        <v>0.68841806202018974</v>
      </c>
      <c r="G6" s="86">
        <f>1+F6</f>
        <v>1.6884180620201898</v>
      </c>
    </row>
    <row r="7" spans="2:8" x14ac:dyDescent="0.3">
      <c r="B7" s="20"/>
      <c r="C7" s="20">
        <v>2</v>
      </c>
      <c r="D7" s="81">
        <v>33939</v>
      </c>
      <c r="E7" s="43">
        <v>761.31</v>
      </c>
      <c r="F7" s="84">
        <f t="shared" ref="F7:F26" si="0">(E7-E6)/E6</f>
        <v>0.36281617528596738</v>
      </c>
      <c r="G7" s="86">
        <f t="shared" ref="G7:G26" si="1">1+F7</f>
        <v>1.3628161752859673</v>
      </c>
      <c r="H7" s="84">
        <f>G7*G6</f>
        <v>2.3010034455661001</v>
      </c>
    </row>
    <row r="8" spans="2:8" x14ac:dyDescent="0.3">
      <c r="B8" s="20"/>
      <c r="C8" s="20">
        <v>3</v>
      </c>
      <c r="D8" s="81">
        <v>34304</v>
      </c>
      <c r="E8" s="43">
        <v>1042.5899999999999</v>
      </c>
      <c r="F8" s="84">
        <f t="shared" si="0"/>
        <v>0.36946841628246047</v>
      </c>
      <c r="G8" s="86">
        <f t="shared" si="1"/>
        <v>1.3694684162824604</v>
      </c>
      <c r="H8" s="84">
        <f>H7*G8</f>
        <v>3.1511515444598919</v>
      </c>
    </row>
    <row r="9" spans="2:8" x14ac:dyDescent="0.3">
      <c r="B9" s="20"/>
      <c r="C9" s="20">
        <v>4</v>
      </c>
      <c r="D9" s="81">
        <v>34669</v>
      </c>
      <c r="E9" s="43">
        <v>1182.28</v>
      </c>
      <c r="F9" s="84">
        <f t="shared" si="0"/>
        <v>0.13398363690424814</v>
      </c>
      <c r="G9" s="86">
        <f t="shared" si="1"/>
        <v>1.1339836369042482</v>
      </c>
      <c r="H9" s="84">
        <f>H8*G9</f>
        <v>3.5733542888230669</v>
      </c>
    </row>
    <row r="10" spans="2:8" x14ac:dyDescent="0.3">
      <c r="B10" s="20"/>
      <c r="C10" s="20">
        <v>5</v>
      </c>
      <c r="D10" s="81">
        <v>35034</v>
      </c>
      <c r="E10" s="43">
        <v>908.53</v>
      </c>
      <c r="F10" s="84">
        <f t="shared" si="0"/>
        <v>-0.23154413506106844</v>
      </c>
      <c r="G10" s="86">
        <f t="shared" si="1"/>
        <v>0.76845586493893159</v>
      </c>
      <c r="H10" s="84">
        <f t="shared" ref="H10:H26" si="2">H9*G10</f>
        <v>2.7459650607507706</v>
      </c>
    </row>
    <row r="11" spans="2:8" x14ac:dyDescent="0.3">
      <c r="B11" s="20"/>
      <c r="C11" s="20">
        <v>6</v>
      </c>
      <c r="D11" s="81">
        <v>35400</v>
      </c>
      <c r="E11" s="43">
        <v>899.1</v>
      </c>
      <c r="F11" s="84">
        <f t="shared" si="0"/>
        <v>-1.037940409232491E-2</v>
      </c>
      <c r="G11" s="86">
        <f t="shared" si="1"/>
        <v>0.98962059590767504</v>
      </c>
      <c r="H11" s="84">
        <f t="shared" si="2"/>
        <v>2.7174635797618327</v>
      </c>
    </row>
    <row r="12" spans="2:8" x14ac:dyDescent="0.3">
      <c r="B12" s="20"/>
      <c r="C12" s="20">
        <v>7</v>
      </c>
      <c r="D12" s="81">
        <v>35765</v>
      </c>
      <c r="E12" s="43">
        <v>1079.4000000000001</v>
      </c>
      <c r="F12" s="84">
        <f t="shared" si="0"/>
        <v>0.20053386720053393</v>
      </c>
      <c r="G12" s="86">
        <f t="shared" si="1"/>
        <v>1.2005338672005339</v>
      </c>
      <c r="H12" s="84">
        <f t="shared" si="2"/>
        <v>3.2624070603880795</v>
      </c>
    </row>
    <row r="13" spans="2:8" x14ac:dyDescent="0.3">
      <c r="B13" s="20"/>
      <c r="C13" s="20">
        <v>8</v>
      </c>
      <c r="D13" s="81">
        <v>36130</v>
      </c>
      <c r="E13" s="43">
        <v>884.25</v>
      </c>
      <c r="F13" s="84">
        <f t="shared" si="0"/>
        <v>-0.18079488604780442</v>
      </c>
      <c r="G13" s="86">
        <f t="shared" si="1"/>
        <v>0.81920511395219564</v>
      </c>
      <c r="H13" s="84">
        <f t="shared" si="2"/>
        <v>2.6725805476636642</v>
      </c>
    </row>
    <row r="14" spans="2:8" x14ac:dyDescent="0.3">
      <c r="B14" s="20"/>
      <c r="C14" s="20">
        <v>9</v>
      </c>
      <c r="D14" s="81">
        <v>36495</v>
      </c>
      <c r="E14" s="43">
        <v>1480.45</v>
      </c>
      <c r="F14" s="84">
        <f t="shared" si="0"/>
        <v>0.67424370935821321</v>
      </c>
      <c r="G14" s="86">
        <f t="shared" si="1"/>
        <v>1.6742437093582132</v>
      </c>
      <c r="H14" s="84">
        <f t="shared" si="2"/>
        <v>4.4745511696790183</v>
      </c>
    </row>
    <row r="15" spans="2:8" x14ac:dyDescent="0.3">
      <c r="B15" s="20"/>
      <c r="C15" s="20">
        <v>10</v>
      </c>
      <c r="D15" s="81">
        <v>36861</v>
      </c>
      <c r="E15" s="43">
        <v>1263.55</v>
      </c>
      <c r="F15" s="84">
        <f t="shared" si="0"/>
        <v>-0.146509507244419</v>
      </c>
      <c r="G15" s="86">
        <f t="shared" si="1"/>
        <v>0.85349049275558098</v>
      </c>
      <c r="H15" s="84">
        <f t="shared" si="2"/>
        <v>3.8189868826694067</v>
      </c>
    </row>
    <row r="16" spans="2:8" x14ac:dyDescent="0.3">
      <c r="B16" s="20"/>
      <c r="C16" s="20">
        <v>11</v>
      </c>
      <c r="D16" s="81">
        <v>37226</v>
      </c>
      <c r="E16" s="43">
        <v>1059.05</v>
      </c>
      <c r="F16" s="84">
        <f t="shared" si="0"/>
        <v>-0.16184559376360255</v>
      </c>
      <c r="G16" s="86">
        <f t="shared" si="1"/>
        <v>0.83815440623639748</v>
      </c>
      <c r="H16" s="84">
        <f t="shared" si="2"/>
        <v>3.2009006830683671</v>
      </c>
    </row>
    <row r="17" spans="2:10" x14ac:dyDescent="0.3">
      <c r="B17" s="20"/>
      <c r="C17" s="20">
        <v>12</v>
      </c>
      <c r="D17" s="81">
        <v>37591</v>
      </c>
      <c r="E17" s="43">
        <v>1093.5</v>
      </c>
      <c r="F17" s="84">
        <f t="shared" si="0"/>
        <v>3.2529153486615406E-2</v>
      </c>
      <c r="G17" s="86">
        <f t="shared" si="1"/>
        <v>1.0325291534866154</v>
      </c>
      <c r="H17" s="84">
        <f t="shared" si="2"/>
        <v>3.3050232726833104</v>
      </c>
    </row>
    <row r="18" spans="2:10" x14ac:dyDescent="0.3">
      <c r="B18" s="20"/>
      <c r="C18" s="20">
        <v>13</v>
      </c>
      <c r="D18" s="81">
        <v>37956</v>
      </c>
      <c r="E18" s="43">
        <v>1879.75</v>
      </c>
      <c r="F18" s="84">
        <f t="shared" si="0"/>
        <v>0.71902149062642895</v>
      </c>
      <c r="G18" s="86">
        <f t="shared" si="1"/>
        <v>1.7190214906264289</v>
      </c>
      <c r="H18" s="84">
        <f t="shared" si="2"/>
        <v>5.6814060327631024</v>
      </c>
    </row>
    <row r="19" spans="2:10" x14ac:dyDescent="0.3">
      <c r="B19" s="20"/>
      <c r="C19" s="20">
        <v>14</v>
      </c>
      <c r="D19" s="81">
        <v>38322</v>
      </c>
      <c r="E19" s="43">
        <v>2080.5</v>
      </c>
      <c r="F19" s="84">
        <f t="shared" si="0"/>
        <v>0.10679611650485436</v>
      </c>
      <c r="G19" s="86">
        <f t="shared" si="1"/>
        <v>1.1067961165048543</v>
      </c>
      <c r="H19" s="84">
        <f t="shared" si="2"/>
        <v>6.2881581333494525</v>
      </c>
    </row>
    <row r="20" spans="2:10" x14ac:dyDescent="0.3">
      <c r="B20" s="20"/>
      <c r="C20" s="20">
        <v>15</v>
      </c>
      <c r="D20" s="81">
        <v>38687</v>
      </c>
      <c r="E20" s="43">
        <v>2836.55</v>
      </c>
      <c r="F20" s="84">
        <f t="shared" si="0"/>
        <v>0.36339822158135071</v>
      </c>
      <c r="G20" s="86">
        <f t="shared" si="1"/>
        <v>1.3633982215813507</v>
      </c>
      <c r="H20" s="84">
        <f t="shared" si="2"/>
        <v>8.5732636160309497</v>
      </c>
    </row>
    <row r="21" spans="2:10" x14ac:dyDescent="0.3">
      <c r="B21" s="20"/>
      <c r="C21" s="20">
        <v>16</v>
      </c>
      <c r="D21" s="81">
        <v>39052</v>
      </c>
      <c r="E21" s="43">
        <v>3966.4</v>
      </c>
      <c r="F21" s="84">
        <f t="shared" si="0"/>
        <v>0.39831837972184514</v>
      </c>
      <c r="G21" s="86">
        <f t="shared" si="1"/>
        <v>1.3983183797218453</v>
      </c>
      <c r="H21" s="84">
        <f t="shared" si="2"/>
        <v>11.988152088496646</v>
      </c>
    </row>
    <row r="22" spans="2:10" x14ac:dyDescent="0.3">
      <c r="B22" s="20"/>
      <c r="C22" s="20">
        <v>17</v>
      </c>
      <c r="D22" s="81">
        <v>39417</v>
      </c>
      <c r="E22" s="43">
        <v>6138.6</v>
      </c>
      <c r="F22" s="84">
        <f t="shared" si="0"/>
        <v>0.54765026220250101</v>
      </c>
      <c r="G22" s="86">
        <f t="shared" si="1"/>
        <v>1.547650262202501</v>
      </c>
      <c r="H22" s="84">
        <f t="shared" si="2"/>
        <v>18.553466723085293</v>
      </c>
    </row>
    <row r="23" spans="2:10" x14ac:dyDescent="0.3">
      <c r="B23" s="20"/>
      <c r="C23" s="20">
        <v>18</v>
      </c>
      <c r="D23" s="81">
        <v>39783</v>
      </c>
      <c r="E23" s="43">
        <v>2959.15</v>
      </c>
      <c r="F23" s="84">
        <f t="shared" si="0"/>
        <v>-0.51794383084090834</v>
      </c>
      <c r="G23" s="86">
        <f t="shared" si="1"/>
        <v>0.48205616915909166</v>
      </c>
      <c r="H23" s="84">
        <f t="shared" si="2"/>
        <v>8.9438130931511814</v>
      </c>
    </row>
    <row r="24" spans="2:10" x14ac:dyDescent="0.3">
      <c r="B24" s="20"/>
      <c r="C24" s="20">
        <v>19</v>
      </c>
      <c r="D24" s="81">
        <v>40148</v>
      </c>
      <c r="E24" s="43">
        <v>5201</v>
      </c>
      <c r="F24" s="84">
        <f t="shared" si="0"/>
        <v>0.7575993106128448</v>
      </c>
      <c r="G24" s="86">
        <f t="shared" si="1"/>
        <v>1.7575993106128447</v>
      </c>
      <c r="H24" s="84">
        <f t="shared" si="2"/>
        <v>15.71963972677265</v>
      </c>
    </row>
    <row r="25" spans="2:10" x14ac:dyDescent="0.3">
      <c r="B25" s="20"/>
      <c r="C25" s="20">
        <v>20</v>
      </c>
      <c r="D25" s="81">
        <v>40513</v>
      </c>
      <c r="E25" s="43">
        <v>6134.5</v>
      </c>
      <c r="F25" s="84">
        <f t="shared" si="0"/>
        <v>0.179484714477985</v>
      </c>
      <c r="G25" s="86">
        <f t="shared" si="1"/>
        <v>1.179484714477985</v>
      </c>
      <c r="H25" s="84">
        <f t="shared" si="2"/>
        <v>18.54107477482923</v>
      </c>
    </row>
    <row r="26" spans="2:10" x14ac:dyDescent="0.3">
      <c r="B26" s="77" t="s">
        <v>43</v>
      </c>
      <c r="C26" s="77">
        <v>21</v>
      </c>
      <c r="D26" s="79">
        <v>40878</v>
      </c>
      <c r="E26" s="80">
        <v>4624.3</v>
      </c>
      <c r="F26" s="84">
        <f t="shared" si="0"/>
        <v>-0.24618143287961525</v>
      </c>
      <c r="G26" s="86">
        <f t="shared" si="1"/>
        <v>0.75381856712038475</v>
      </c>
      <c r="H26" s="84">
        <f t="shared" si="2"/>
        <v>13.976606419633681</v>
      </c>
    </row>
    <row r="27" spans="2:10" x14ac:dyDescent="0.3">
      <c r="G27" s="86"/>
      <c r="H27" s="84"/>
      <c r="J27" t="s">
        <v>119</v>
      </c>
    </row>
    <row r="28" spans="2:10" x14ac:dyDescent="0.3">
      <c r="G28" t="s">
        <v>118</v>
      </c>
      <c r="H28" s="84">
        <f>AVERAGE(F6:F26)</f>
        <v>0.19233632030172837</v>
      </c>
      <c r="J28" s="84">
        <f>SUM(F6:F26)/COUNT(F6:F26)</f>
        <v>0.19233632030172837</v>
      </c>
    </row>
    <row r="30" spans="2:10" x14ac:dyDescent="0.3">
      <c r="G30" t="s">
        <v>120</v>
      </c>
      <c r="H30" s="84">
        <f>H26^(1/21)-1</f>
        <v>0.13381693590722565</v>
      </c>
      <c r="J30" s="84" cm="1">
        <f t="array" ref="J30">GEOMEAN(1+F6:F26)-1</f>
        <v>0.13381693590722565</v>
      </c>
    </row>
    <row r="32" spans="2:10" x14ac:dyDescent="0.3">
      <c r="G32" t="s">
        <v>123</v>
      </c>
      <c r="H32" s="84">
        <f>(E26/E5)^(1/21)-1</f>
        <v>0.13381693590722565</v>
      </c>
    </row>
    <row r="33" spans="3:9" x14ac:dyDescent="0.3">
      <c r="H33" s="84"/>
    </row>
    <row r="34" spans="3:9" x14ac:dyDescent="0.3">
      <c r="C34" s="19" t="s">
        <v>128</v>
      </c>
      <c r="H34" s="84"/>
    </row>
    <row r="35" spans="3:9" x14ac:dyDescent="0.3">
      <c r="C35" s="19" t="s">
        <v>129</v>
      </c>
      <c r="H35" s="84"/>
    </row>
    <row r="38" spans="3:9" x14ac:dyDescent="0.3">
      <c r="D38" t="s">
        <v>124</v>
      </c>
    </row>
    <row r="39" spans="3:9" x14ac:dyDescent="0.3">
      <c r="D39" s="20">
        <v>80</v>
      </c>
      <c r="E39" s="20">
        <v>100</v>
      </c>
      <c r="F39" s="20">
        <v>80</v>
      </c>
    </row>
    <row r="40" spans="3:9" x14ac:dyDescent="0.3">
      <c r="D40" s="20" t="s">
        <v>125</v>
      </c>
      <c r="E40" s="20" t="s">
        <v>126</v>
      </c>
      <c r="F40" s="20" t="s">
        <v>127</v>
      </c>
    </row>
    <row r="42" spans="3:9" x14ac:dyDescent="0.3">
      <c r="D42" t="s">
        <v>117</v>
      </c>
      <c r="E42" s="82">
        <f>(E39-D39)/D39</f>
        <v>0.25</v>
      </c>
      <c r="F42" s="82">
        <f>(F39-E39)/E39</f>
        <v>-0.2</v>
      </c>
      <c r="H42" t="s">
        <v>118</v>
      </c>
      <c r="I42" s="83">
        <f>(E42+F42)/2</f>
        <v>2.4999999999999994E-2</v>
      </c>
    </row>
    <row r="44" spans="3:9" x14ac:dyDescent="0.3">
      <c r="H44" t="s">
        <v>120</v>
      </c>
      <c r="I44" s="44" cm="1">
        <f t="array" ref="I44">GEOMEAN(1+E42:F42)-1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F73A-11F7-448E-8BA4-992F9E91AED0}">
  <sheetPr>
    <tabColor theme="9" tint="0.59999389629810485"/>
  </sheetPr>
  <dimension ref="A2:R124"/>
  <sheetViews>
    <sheetView topLeftCell="A162" zoomScale="137" zoomScaleNormal="137" workbookViewId="0">
      <selection activeCell="G115" sqref="G115"/>
    </sheetView>
  </sheetViews>
  <sheetFormatPr defaultRowHeight="14.4" x14ac:dyDescent="0.3"/>
  <cols>
    <col min="9" max="9" width="12.33203125" bestFit="1" customWidth="1"/>
    <col min="12" max="12" width="9.6640625" customWidth="1"/>
    <col min="13" max="13" width="9.33203125" bestFit="1" customWidth="1"/>
    <col min="14" max="14" width="8.5546875" customWidth="1"/>
    <col min="15" max="15" width="12.33203125" bestFit="1" customWidth="1"/>
    <col min="16" max="16" width="7.77734375" bestFit="1" customWidth="1"/>
  </cols>
  <sheetData>
    <row r="2" spans="1:4" x14ac:dyDescent="0.3">
      <c r="A2" s="46" t="s">
        <v>158</v>
      </c>
    </row>
    <row r="3" spans="1:4" x14ac:dyDescent="0.3">
      <c r="A3" s="46"/>
    </row>
    <row r="4" spans="1:4" x14ac:dyDescent="0.3">
      <c r="B4" t="s">
        <v>130</v>
      </c>
    </row>
    <row r="7" spans="1:4" s="25" customFormat="1" x14ac:dyDescent="0.3">
      <c r="B7" s="25" t="s">
        <v>84</v>
      </c>
      <c r="C7" s="25" t="s">
        <v>60</v>
      </c>
      <c r="D7" s="25" t="s">
        <v>131</v>
      </c>
    </row>
    <row r="8" spans="1:4" s="20" customFormat="1" x14ac:dyDescent="0.3">
      <c r="B8" s="20">
        <v>1</v>
      </c>
      <c r="C8" s="20">
        <v>127</v>
      </c>
      <c r="D8" s="20">
        <v>115</v>
      </c>
    </row>
    <row r="9" spans="1:4" s="20" customFormat="1" x14ac:dyDescent="0.3">
      <c r="B9" s="20">
        <v>2</v>
      </c>
      <c r="C9" s="20">
        <v>154</v>
      </c>
      <c r="D9" s="20">
        <v>118</v>
      </c>
    </row>
    <row r="10" spans="1:4" s="20" customFormat="1" x14ac:dyDescent="0.3">
      <c r="B10" s="20">
        <v>3</v>
      </c>
      <c r="C10" s="20">
        <v>211</v>
      </c>
      <c r="D10" s="20">
        <v>114</v>
      </c>
    </row>
    <row r="11" spans="1:4" s="20" customFormat="1" x14ac:dyDescent="0.3">
      <c r="B11" s="20">
        <v>4</v>
      </c>
      <c r="C11" s="20">
        <v>268</v>
      </c>
      <c r="D11" s="20">
        <v>116</v>
      </c>
    </row>
    <row r="12" spans="1:4" s="20" customFormat="1" x14ac:dyDescent="0.3">
      <c r="B12" s="20">
        <v>5</v>
      </c>
      <c r="C12" s="20">
        <v>92</v>
      </c>
      <c r="D12" s="20">
        <v>122</v>
      </c>
    </row>
    <row r="13" spans="1:4" s="20" customFormat="1" x14ac:dyDescent="0.3">
      <c r="B13" s="20">
        <v>6</v>
      </c>
      <c r="C13" s="20">
        <v>144</v>
      </c>
      <c r="D13" s="20">
        <v>125</v>
      </c>
    </row>
    <row r="14" spans="1:4" s="20" customFormat="1" x14ac:dyDescent="0.3">
      <c r="B14" s="20">
        <v>7</v>
      </c>
      <c r="C14" s="20">
        <v>199</v>
      </c>
      <c r="D14" s="20">
        <v>119</v>
      </c>
    </row>
    <row r="16" spans="1:4" x14ac:dyDescent="0.3">
      <c r="B16" s="46" t="s">
        <v>132</v>
      </c>
    </row>
    <row r="18" spans="3:17" x14ac:dyDescent="0.3">
      <c r="C18" t="s">
        <v>133</v>
      </c>
    </row>
    <row r="20" spans="3:17" x14ac:dyDescent="0.3">
      <c r="C20" t="s">
        <v>134</v>
      </c>
    </row>
    <row r="23" spans="3:17" ht="15.6" x14ac:dyDescent="0.35">
      <c r="H23" s="25" t="s">
        <v>84</v>
      </c>
      <c r="I23" s="25" t="s">
        <v>60</v>
      </c>
      <c r="J23" s="25" t="s">
        <v>131</v>
      </c>
      <c r="K23" s="25" t="s">
        <v>135</v>
      </c>
      <c r="L23" s="25" t="s">
        <v>136</v>
      </c>
      <c r="M23" s="25" t="s">
        <v>138</v>
      </c>
      <c r="N23" s="25"/>
      <c r="O23" s="25" t="s">
        <v>140</v>
      </c>
      <c r="P23" s="25" t="s">
        <v>139</v>
      </c>
      <c r="Q23" s="25" t="s">
        <v>140</v>
      </c>
    </row>
    <row r="24" spans="3:17" x14ac:dyDescent="0.3">
      <c r="H24" s="20">
        <v>1</v>
      </c>
      <c r="I24" s="20">
        <v>127</v>
      </c>
      <c r="J24" s="20">
        <v>115</v>
      </c>
    </row>
    <row r="25" spans="3:17" x14ac:dyDescent="0.3">
      <c r="H25" s="20">
        <v>2</v>
      </c>
      <c r="I25" s="20">
        <v>154</v>
      </c>
      <c r="J25" s="20">
        <v>118</v>
      </c>
      <c r="K25" s="84">
        <f>(I25-I24)/I24</f>
        <v>0.2125984251968504</v>
      </c>
      <c r="L25" s="84">
        <f>(J25-J24)/J24</f>
        <v>2.6086956521739129E-2</v>
      </c>
      <c r="M25" s="86">
        <f>K25-$K$32</f>
        <v>2.204577632020846E-2</v>
      </c>
      <c r="N25" s="86"/>
      <c r="O25">
        <f>M25^2</f>
        <v>4.8601625356066409E-4</v>
      </c>
      <c r="P25" s="86">
        <f>L25-$L$32</f>
        <v>1.9745821029809648E-2</v>
      </c>
      <c r="Q25">
        <f>P25^2</f>
        <v>3.8989744814127295E-4</v>
      </c>
    </row>
    <row r="26" spans="3:17" x14ac:dyDescent="0.3">
      <c r="H26" s="20">
        <v>3</v>
      </c>
      <c r="I26" s="20">
        <v>211</v>
      </c>
      <c r="J26" s="20">
        <v>114</v>
      </c>
      <c r="K26" s="84">
        <f t="shared" ref="K26:K30" si="0">(I26-I25)/I25</f>
        <v>0.37012987012987014</v>
      </c>
      <c r="L26" s="84">
        <f t="shared" ref="L26:L30" si="1">(J26-J25)/J25</f>
        <v>-3.3898305084745763E-2</v>
      </c>
      <c r="M26" s="86">
        <f t="shared" ref="M26:M30" si="2">K26-$K$32</f>
        <v>0.1795772212532282</v>
      </c>
      <c r="N26" s="86"/>
      <c r="O26">
        <f t="shared" ref="O26:O30" si="3">M26^2</f>
        <v>3.2247978393030875E-2</v>
      </c>
      <c r="P26" s="86">
        <f t="shared" ref="P26:P30" si="4">L26-$L$32</f>
        <v>-4.0239440576675244E-2</v>
      </c>
      <c r="Q26">
        <f t="shared" ref="Q26:Q30" si="5">P26^2</f>
        <v>1.6192125779237781E-3</v>
      </c>
    </row>
    <row r="27" spans="3:17" x14ac:dyDescent="0.3">
      <c r="H27" s="20">
        <v>4</v>
      </c>
      <c r="I27" s="20">
        <v>268</v>
      </c>
      <c r="J27" s="20">
        <v>116</v>
      </c>
      <c r="K27" s="84">
        <f t="shared" si="0"/>
        <v>0.27014218009478674</v>
      </c>
      <c r="L27" s="84">
        <f t="shared" si="1"/>
        <v>1.7543859649122806E-2</v>
      </c>
      <c r="M27" s="86">
        <f t="shared" si="2"/>
        <v>7.9589531218144799E-2</v>
      </c>
      <c r="N27" s="86"/>
      <c r="O27">
        <f t="shared" si="3"/>
        <v>6.3344934795240455E-3</v>
      </c>
      <c r="P27" s="86">
        <f t="shared" si="4"/>
        <v>1.1202724157193325E-2</v>
      </c>
      <c r="Q27">
        <f t="shared" si="5"/>
        <v>1.2550102854216289E-4</v>
      </c>
    </row>
    <row r="28" spans="3:17" x14ac:dyDescent="0.3">
      <c r="H28" s="20">
        <v>5</v>
      </c>
      <c r="I28" s="20">
        <v>92</v>
      </c>
      <c r="J28" s="20">
        <v>122</v>
      </c>
      <c r="K28" s="84">
        <f t="shared" si="0"/>
        <v>-0.65671641791044777</v>
      </c>
      <c r="L28" s="84">
        <f t="shared" si="1"/>
        <v>5.1724137931034482E-2</v>
      </c>
      <c r="M28" s="86">
        <f t="shared" si="2"/>
        <v>-0.84726906678708969</v>
      </c>
      <c r="N28" s="86"/>
      <c r="O28">
        <f t="shared" si="3"/>
        <v>0.71786487153426581</v>
      </c>
      <c r="P28" s="86">
        <f t="shared" si="4"/>
        <v>4.5383002439105001E-2</v>
      </c>
      <c r="Q28">
        <f t="shared" si="5"/>
        <v>2.0596169103878105E-3</v>
      </c>
    </row>
    <row r="29" spans="3:17" x14ac:dyDescent="0.3">
      <c r="H29" s="20">
        <v>6</v>
      </c>
      <c r="I29" s="20">
        <v>144</v>
      </c>
      <c r="J29" s="20">
        <v>125</v>
      </c>
      <c r="K29" s="84">
        <f t="shared" si="0"/>
        <v>0.56521739130434778</v>
      </c>
      <c r="L29" s="84">
        <f t="shared" si="1"/>
        <v>2.4590163934426229E-2</v>
      </c>
      <c r="M29" s="86">
        <f t="shared" si="2"/>
        <v>0.37466474242770587</v>
      </c>
      <c r="N29" s="86"/>
      <c r="O29">
        <f t="shared" si="3"/>
        <v>0.14037366921841918</v>
      </c>
      <c r="P29" s="86">
        <f t="shared" si="4"/>
        <v>1.8249028442496748E-2</v>
      </c>
      <c r="Q29">
        <f t="shared" si="5"/>
        <v>3.3302703909505527E-4</v>
      </c>
    </row>
    <row r="30" spans="3:17" x14ac:dyDescent="0.3">
      <c r="H30" s="20">
        <v>7</v>
      </c>
      <c r="I30" s="20">
        <v>199</v>
      </c>
      <c r="J30" s="20">
        <v>119</v>
      </c>
      <c r="K30" s="84">
        <f t="shared" si="0"/>
        <v>0.38194444444444442</v>
      </c>
      <c r="L30" s="84">
        <f t="shared" si="1"/>
        <v>-4.8000000000000001E-2</v>
      </c>
      <c r="M30" s="86">
        <f t="shared" si="2"/>
        <v>0.19139179556780248</v>
      </c>
      <c r="N30" s="86"/>
      <c r="O30" s="47">
        <f t="shared" si="3"/>
        <v>3.6630819410667495E-2</v>
      </c>
      <c r="P30" s="86">
        <f t="shared" si="4"/>
        <v>-5.4341135491929482E-2</v>
      </c>
      <c r="Q30" s="47">
        <f t="shared" si="5"/>
        <v>2.9529590065522381E-3</v>
      </c>
    </row>
    <row r="32" spans="3:17" x14ac:dyDescent="0.3">
      <c r="J32" s="88" t="s">
        <v>137</v>
      </c>
      <c r="K32" s="89">
        <f>AVERAGE(K25:K30)</f>
        <v>0.19055264887664194</v>
      </c>
      <c r="L32" s="89">
        <f>AVERAGE(L25:L30)</f>
        <v>6.341135491929481E-3</v>
      </c>
    </row>
    <row r="34" spans="2:17" x14ac:dyDescent="0.3">
      <c r="M34" t="s">
        <v>141</v>
      </c>
      <c r="O34">
        <f>SUM(O25:O30)/(6-1)</f>
        <v>0.18678756965789362</v>
      </c>
      <c r="P34" t="s">
        <v>141</v>
      </c>
      <c r="Q34">
        <f>SUM(Q25:Q30)/(6-1)</f>
        <v>1.4960428021284634E-3</v>
      </c>
    </row>
    <row r="36" spans="2:17" ht="15.6" x14ac:dyDescent="0.35">
      <c r="B36" s="19" t="s">
        <v>144</v>
      </c>
      <c r="K36" t="s">
        <v>147</v>
      </c>
      <c r="M36" s="90" t="s">
        <v>142</v>
      </c>
      <c r="N36" s="90"/>
      <c r="O36" s="91">
        <f>SQRT(O34)</f>
        <v>0.43218927526940509</v>
      </c>
      <c r="P36" s="90" t="s">
        <v>143</v>
      </c>
      <c r="Q36" s="91">
        <f>SQRT(Q34)</f>
        <v>3.8678712519013135E-2</v>
      </c>
    </row>
    <row r="37" spans="2:17" x14ac:dyDescent="0.3">
      <c r="B37" s="19" t="s">
        <v>145</v>
      </c>
    </row>
    <row r="38" spans="2:17" ht="15.6" x14ac:dyDescent="0.35">
      <c r="K38" t="s">
        <v>146</v>
      </c>
      <c r="M38" s="90" t="s">
        <v>142</v>
      </c>
      <c r="N38" s="90"/>
      <c r="O38" s="91">
        <f>_xlfn.STDEV.S(K25:K30)</f>
        <v>0.43218927526940509</v>
      </c>
      <c r="P38" s="91" t="s">
        <v>143</v>
      </c>
      <c r="Q38" s="91">
        <f>_xlfn.STDEV.S(L25:L30)</f>
        <v>3.8678712519013135E-2</v>
      </c>
    </row>
    <row r="40" spans="2:17" x14ac:dyDescent="0.3">
      <c r="O40" s="84"/>
    </row>
    <row r="43" spans="2:17" x14ac:dyDescent="0.3">
      <c r="B43" s="46" t="s">
        <v>132</v>
      </c>
    </row>
    <row r="45" spans="2:17" x14ac:dyDescent="0.3">
      <c r="C45" t="s">
        <v>148</v>
      </c>
    </row>
    <row r="46" spans="2:17" x14ac:dyDescent="0.3">
      <c r="C46" t="s">
        <v>149</v>
      </c>
    </row>
    <row r="48" spans="2:17" x14ac:dyDescent="0.3">
      <c r="G48" s="20">
        <v>0.5</v>
      </c>
      <c r="H48" s="20">
        <f>1-G48</f>
        <v>0.5</v>
      </c>
    </row>
    <row r="50" spans="4:17" ht="15.6" x14ac:dyDescent="0.35">
      <c r="D50" s="25" t="s">
        <v>84</v>
      </c>
      <c r="E50" s="25" t="s">
        <v>60</v>
      </c>
      <c r="F50" s="25" t="s">
        <v>131</v>
      </c>
      <c r="G50" s="25" t="s">
        <v>135</v>
      </c>
      <c r="H50" s="25" t="s">
        <v>136</v>
      </c>
      <c r="I50" s="25" t="s">
        <v>138</v>
      </c>
      <c r="J50" s="25" t="s">
        <v>140</v>
      </c>
      <c r="K50" s="25" t="s">
        <v>139</v>
      </c>
      <c r="L50" s="25" t="s">
        <v>140</v>
      </c>
      <c r="M50" s="25" t="s">
        <v>150</v>
      </c>
      <c r="N50" s="25"/>
      <c r="O50" s="25" t="s">
        <v>153</v>
      </c>
      <c r="P50" s="25" t="s">
        <v>155</v>
      </c>
      <c r="Q50" s="25" t="s">
        <v>140</v>
      </c>
    </row>
    <row r="51" spans="4:17" x14ac:dyDescent="0.3">
      <c r="D51" s="20">
        <v>1</v>
      </c>
      <c r="E51" s="20">
        <v>127</v>
      </c>
      <c r="F51" s="20">
        <v>115</v>
      </c>
    </row>
    <row r="52" spans="4:17" x14ac:dyDescent="0.3">
      <c r="D52" s="20">
        <v>2</v>
      </c>
      <c r="E52" s="20">
        <v>154</v>
      </c>
      <c r="F52" s="20">
        <v>118</v>
      </c>
      <c r="G52" s="84">
        <f>(E52-E51)/E51</f>
        <v>0.2125984251968504</v>
      </c>
      <c r="H52" s="84">
        <f>(F52-F51)/F51</f>
        <v>2.6086956521739129E-2</v>
      </c>
      <c r="I52" s="86">
        <f>G52-$G$59</f>
        <v>2.204577632020846E-2</v>
      </c>
      <c r="J52">
        <f>I52^2</f>
        <v>4.8601625356066409E-4</v>
      </c>
      <c r="K52" s="86">
        <f>H52-$H$59</f>
        <v>1.9745821029809648E-2</v>
      </c>
      <c r="L52">
        <f>K52^2</f>
        <v>3.8989744814127295E-4</v>
      </c>
      <c r="M52" s="92">
        <f>I52*K52</f>
        <v>4.3531195368205175E-4</v>
      </c>
      <c r="N52" s="92"/>
      <c r="O52" s="84">
        <f>$G$48*G52+$H$48*H52</f>
        <v>0.11934269085929476</v>
      </c>
      <c r="P52" s="86">
        <f>O52-$O$60</f>
        <v>2.0895798675009042E-2</v>
      </c>
      <c r="Q52" s="92">
        <f>P52^2</f>
        <v>4.3663440226650963E-4</v>
      </c>
    </row>
    <row r="53" spans="4:17" x14ac:dyDescent="0.3">
      <c r="D53" s="20">
        <v>3</v>
      </c>
      <c r="E53" s="20">
        <v>211</v>
      </c>
      <c r="F53" s="20">
        <v>114</v>
      </c>
      <c r="G53" s="84">
        <f t="shared" ref="G53:G57" si="6">(E53-E52)/E52</f>
        <v>0.37012987012987014</v>
      </c>
      <c r="H53" s="84">
        <f t="shared" ref="H53:H57" si="7">(F53-F52)/F52</f>
        <v>-3.3898305084745763E-2</v>
      </c>
      <c r="I53" s="86">
        <f t="shared" ref="I53:I57" si="8">G53-$G$59</f>
        <v>0.1795772212532282</v>
      </c>
      <c r="J53">
        <f t="shared" ref="J53:J57" si="9">I53^2</f>
        <v>3.2247978393030875E-2</v>
      </c>
      <c r="K53" s="86">
        <f t="shared" ref="K53:K57" si="10">H53-$H$59</f>
        <v>-4.0239440576675244E-2</v>
      </c>
      <c r="L53">
        <f t="shared" ref="L53:L57" si="11">K53^2</f>
        <v>1.6192125779237781E-3</v>
      </c>
      <c r="M53" s="92">
        <f t="shared" ref="M53:M57" si="12">I53*K53</f>
        <v>-7.2260869235437385E-3</v>
      </c>
      <c r="N53" s="92"/>
      <c r="O53" s="84">
        <f t="shared" ref="O53:O57" si="13">$G$48*G53+$H$48*H53</f>
        <v>0.16811578252256218</v>
      </c>
      <c r="P53" s="86">
        <f t="shared" ref="P53:P57" si="14">O53-$O$60</f>
        <v>6.966889033827646E-2</v>
      </c>
      <c r="Q53" s="92">
        <f t="shared" ref="Q53:Q57" si="15">P53^2</f>
        <v>4.8537542809667907E-3</v>
      </c>
    </row>
    <row r="54" spans="4:17" x14ac:dyDescent="0.3">
      <c r="D54" s="20">
        <v>4</v>
      </c>
      <c r="E54" s="20">
        <v>268</v>
      </c>
      <c r="F54" s="20">
        <v>116</v>
      </c>
      <c r="G54" s="84">
        <f t="shared" si="6"/>
        <v>0.27014218009478674</v>
      </c>
      <c r="H54" s="84">
        <f t="shared" si="7"/>
        <v>1.7543859649122806E-2</v>
      </c>
      <c r="I54" s="86">
        <f t="shared" si="8"/>
        <v>7.9589531218144799E-2</v>
      </c>
      <c r="J54">
        <f t="shared" si="9"/>
        <v>6.3344934795240455E-3</v>
      </c>
      <c r="K54" s="86">
        <f t="shared" si="10"/>
        <v>1.1202724157193325E-2</v>
      </c>
      <c r="L54">
        <f t="shared" si="11"/>
        <v>1.2550102854216289E-4</v>
      </c>
      <c r="M54" s="92">
        <f t="shared" si="12"/>
        <v>8.9161956403720297E-4</v>
      </c>
      <c r="N54" s="92"/>
      <c r="O54" s="84">
        <f t="shared" si="13"/>
        <v>0.14384301987195477</v>
      </c>
      <c r="P54" s="86">
        <f t="shared" si="14"/>
        <v>4.5396127687669055E-2</v>
      </c>
      <c r="Q54" s="92">
        <f t="shared" si="15"/>
        <v>2.0608084090351529E-3</v>
      </c>
    </row>
    <row r="55" spans="4:17" x14ac:dyDescent="0.3">
      <c r="D55" s="20">
        <v>5</v>
      </c>
      <c r="E55" s="20">
        <v>92</v>
      </c>
      <c r="F55" s="20">
        <v>122</v>
      </c>
      <c r="G55" s="84">
        <f t="shared" si="6"/>
        <v>-0.65671641791044777</v>
      </c>
      <c r="H55" s="84">
        <f t="shared" si="7"/>
        <v>5.1724137931034482E-2</v>
      </c>
      <c r="I55" s="86">
        <f t="shared" si="8"/>
        <v>-0.84726906678708969</v>
      </c>
      <c r="J55">
        <f t="shared" si="9"/>
        <v>0.71786487153426581</v>
      </c>
      <c r="K55" s="86">
        <f t="shared" si="10"/>
        <v>4.5383002439105001E-2</v>
      </c>
      <c r="L55">
        <f t="shared" si="11"/>
        <v>2.0596169103878105E-3</v>
      </c>
      <c r="M55" s="92">
        <f t="shared" si="12"/>
        <v>-3.8451614124576712E-2</v>
      </c>
      <c r="N55" s="92"/>
      <c r="O55" s="84">
        <f t="shared" si="13"/>
        <v>-0.30249613998970665</v>
      </c>
      <c r="P55" s="86">
        <f t="shared" si="14"/>
        <v>-0.40094303217399235</v>
      </c>
      <c r="Q55" s="92">
        <f t="shared" si="15"/>
        <v>0.16075531504887508</v>
      </c>
    </row>
    <row r="56" spans="4:17" x14ac:dyDescent="0.3">
      <c r="D56" s="20">
        <v>6</v>
      </c>
      <c r="E56" s="20">
        <v>144</v>
      </c>
      <c r="F56" s="20">
        <v>125</v>
      </c>
      <c r="G56" s="84">
        <f t="shared" si="6"/>
        <v>0.56521739130434778</v>
      </c>
      <c r="H56" s="84">
        <f t="shared" si="7"/>
        <v>2.4590163934426229E-2</v>
      </c>
      <c r="I56" s="86">
        <f t="shared" si="8"/>
        <v>0.37466474242770587</v>
      </c>
      <c r="J56">
        <f t="shared" si="9"/>
        <v>0.14037366921841918</v>
      </c>
      <c r="K56" s="86">
        <f t="shared" si="10"/>
        <v>1.8249028442496748E-2</v>
      </c>
      <c r="L56">
        <f t="shared" si="11"/>
        <v>3.3302703909505527E-4</v>
      </c>
      <c r="M56" s="92">
        <f t="shared" si="12"/>
        <v>6.8372675409639223E-3</v>
      </c>
      <c r="N56" s="92"/>
      <c r="O56" s="84">
        <f t="shared" si="13"/>
        <v>0.29490377761938702</v>
      </c>
      <c r="P56" s="86">
        <f t="shared" si="14"/>
        <v>0.19645688543510131</v>
      </c>
      <c r="Q56" s="92">
        <f t="shared" si="15"/>
        <v>3.8595307834860523E-2</v>
      </c>
    </row>
    <row r="57" spans="4:17" x14ac:dyDescent="0.3">
      <c r="D57" s="20">
        <v>7</v>
      </c>
      <c r="E57" s="20">
        <v>199</v>
      </c>
      <c r="F57" s="20">
        <v>119</v>
      </c>
      <c r="G57" s="84">
        <f t="shared" si="6"/>
        <v>0.38194444444444442</v>
      </c>
      <c r="H57" s="84">
        <f t="shared" si="7"/>
        <v>-4.8000000000000001E-2</v>
      </c>
      <c r="I57" s="86">
        <f t="shared" si="8"/>
        <v>0.19139179556780248</v>
      </c>
      <c r="J57">
        <f t="shared" si="9"/>
        <v>3.6630819410667495E-2</v>
      </c>
      <c r="K57" s="86">
        <f t="shared" si="10"/>
        <v>-5.4341135491929482E-2</v>
      </c>
      <c r="L57">
        <f t="shared" si="11"/>
        <v>2.9529590065522381E-3</v>
      </c>
      <c r="M57" s="92">
        <f t="shared" si="12"/>
        <v>-1.0400447494993623E-2</v>
      </c>
      <c r="N57" s="92"/>
      <c r="O57" s="84">
        <f t="shared" si="13"/>
        <v>0.16697222222222222</v>
      </c>
      <c r="P57" s="86">
        <f t="shared" si="14"/>
        <v>6.8525330037936497E-2</v>
      </c>
      <c r="Q57" s="96">
        <f t="shared" si="15"/>
        <v>4.6957208568081223E-3</v>
      </c>
    </row>
    <row r="58" spans="4:17" x14ac:dyDescent="0.3">
      <c r="Q58" s="92"/>
    </row>
    <row r="59" spans="4:17" x14ac:dyDescent="0.3">
      <c r="F59" s="88" t="s">
        <v>137</v>
      </c>
      <c r="G59" s="89">
        <f>AVERAGE(G52:G57)</f>
        <v>0.19055264887664194</v>
      </c>
      <c r="H59" s="89">
        <f>AVERAGE(H52:H57)</f>
        <v>6.341135491929481E-3</v>
      </c>
      <c r="Q59" s="92"/>
    </row>
    <row r="60" spans="4:17" x14ac:dyDescent="0.3">
      <c r="L60" s="42" t="s">
        <v>151</v>
      </c>
      <c r="M60" s="93">
        <f>SUM(M52:M57)/5</f>
        <v>-9.5827898968861795E-3</v>
      </c>
      <c r="N60" s="93" t="s">
        <v>154</v>
      </c>
      <c r="O60" s="87">
        <f>AVERAGE(O52:O57)</f>
        <v>9.844689218428572E-2</v>
      </c>
      <c r="Q60" s="92"/>
    </row>
    <row r="61" spans="4:17" ht="15.6" x14ac:dyDescent="0.35">
      <c r="G61" s="84">
        <f>G59*G48+H59*H48</f>
        <v>9.8446892184285706E-2</v>
      </c>
      <c r="P61" t="s">
        <v>156</v>
      </c>
      <c r="Q61" s="92">
        <f>SUM(Q52:Q57)/5</f>
        <v>4.2279508166562438E-2</v>
      </c>
    </row>
    <row r="62" spans="4:17" x14ac:dyDescent="0.3">
      <c r="L62" s="94" t="s">
        <v>152</v>
      </c>
      <c r="M62" s="95">
        <f>M60/(O36*Q36)</f>
        <v>-0.57325251812495948</v>
      </c>
      <c r="N62" s="95"/>
    </row>
    <row r="63" spans="4:17" ht="23.4" x14ac:dyDescent="0.55000000000000004">
      <c r="P63" s="97" t="s">
        <v>157</v>
      </c>
      <c r="Q63" s="98">
        <f>SQRT(Q61)</f>
        <v>0.2056198146253479</v>
      </c>
    </row>
    <row r="64" spans="4:17" x14ac:dyDescent="0.3">
      <c r="L64" s="94" t="s">
        <v>152</v>
      </c>
      <c r="M64" s="95">
        <f>CORREL(G52:G57,H52:H57)</f>
        <v>-0.57325251812495936</v>
      </c>
      <c r="N64" s="95"/>
    </row>
    <row r="65" spans="1:18" x14ac:dyDescent="0.3">
      <c r="A65" s="46" t="s">
        <v>159</v>
      </c>
    </row>
    <row r="66" spans="1:18" ht="15" thickBot="1" x14ac:dyDescent="0.35"/>
    <row r="67" spans="1:18" x14ac:dyDescent="0.3">
      <c r="B67" s="99" t="s">
        <v>160</v>
      </c>
      <c r="C67" s="100" t="s">
        <v>161</v>
      </c>
      <c r="D67" s="100" t="s">
        <v>162</v>
      </c>
      <c r="E67" s="100" t="s">
        <v>163</v>
      </c>
      <c r="F67" s="100"/>
      <c r="G67" s="33"/>
      <c r="H67" s="35"/>
    </row>
    <row r="68" spans="1:18" x14ac:dyDescent="0.3">
      <c r="B68" s="101" t="s">
        <v>164</v>
      </c>
      <c r="C68" s="102">
        <v>7.0000000000000007E-2</v>
      </c>
      <c r="D68" s="102">
        <v>0.08</v>
      </c>
      <c r="E68" s="102">
        <v>0.06</v>
      </c>
      <c r="F68" s="102"/>
      <c r="H68" s="37"/>
    </row>
    <row r="69" spans="1:18" x14ac:dyDescent="0.3">
      <c r="B69" s="101" t="s">
        <v>165</v>
      </c>
      <c r="C69" s="102">
        <v>0.12</v>
      </c>
      <c r="D69" s="102">
        <v>0.15</v>
      </c>
      <c r="E69" s="102">
        <v>0.11</v>
      </c>
      <c r="F69" s="102"/>
      <c r="H69" s="37"/>
    </row>
    <row r="70" spans="1:18" x14ac:dyDescent="0.3">
      <c r="B70" s="101" t="s">
        <v>166</v>
      </c>
      <c r="C70" s="102">
        <v>0.04</v>
      </c>
      <c r="D70" s="102">
        <v>0.03</v>
      </c>
      <c r="E70" s="102">
        <v>0.04</v>
      </c>
      <c r="F70" s="102"/>
      <c r="H70" s="37"/>
    </row>
    <row r="71" spans="1:18" x14ac:dyDescent="0.3">
      <c r="B71" s="103"/>
      <c r="C71" s="104"/>
      <c r="D71" s="105"/>
      <c r="E71" s="105"/>
      <c r="F71" s="106"/>
      <c r="H71" s="37"/>
    </row>
    <row r="72" spans="1:18" x14ac:dyDescent="0.3">
      <c r="B72" s="107"/>
      <c r="C72" s="108"/>
      <c r="D72" s="108"/>
      <c r="E72" s="108"/>
      <c r="F72" s="108"/>
      <c r="H72" s="37"/>
    </row>
    <row r="73" spans="1:18" x14ac:dyDescent="0.3">
      <c r="B73" s="107" t="s">
        <v>167</v>
      </c>
      <c r="C73" s="108"/>
      <c r="D73" s="108"/>
      <c r="E73" s="108"/>
      <c r="F73" s="108"/>
      <c r="H73" s="37"/>
    </row>
    <row r="74" spans="1:18" ht="15" thickBot="1" x14ac:dyDescent="0.35">
      <c r="B74" s="109" t="s">
        <v>168</v>
      </c>
      <c r="C74" s="110"/>
      <c r="D74" s="110"/>
      <c r="E74" s="110"/>
      <c r="F74" s="110"/>
      <c r="G74" s="39"/>
      <c r="H74" s="40"/>
    </row>
    <row r="76" spans="1:18" x14ac:dyDescent="0.3">
      <c r="F76" s="106">
        <v>0.5</v>
      </c>
      <c r="G76" s="106">
        <v>0.5</v>
      </c>
    </row>
    <row r="77" spans="1:18" ht="15" x14ac:dyDescent="0.35">
      <c r="D77" s="111" t="s">
        <v>160</v>
      </c>
      <c r="E77" s="112" t="s">
        <v>161</v>
      </c>
      <c r="F77" s="112" t="s">
        <v>162</v>
      </c>
      <c r="G77" s="112" t="s">
        <v>163</v>
      </c>
      <c r="H77" s="112" t="s">
        <v>170</v>
      </c>
      <c r="I77" s="112" t="s">
        <v>171</v>
      </c>
      <c r="J77" s="112" t="s">
        <v>175</v>
      </c>
      <c r="K77" s="112" t="s">
        <v>176</v>
      </c>
      <c r="M77" s="112" t="s">
        <v>179</v>
      </c>
      <c r="N77" s="112" t="s">
        <v>181</v>
      </c>
      <c r="O77" s="112" t="s">
        <v>182</v>
      </c>
      <c r="P77" s="112" t="s">
        <v>186</v>
      </c>
    </row>
    <row r="78" spans="1:18" x14ac:dyDescent="0.3">
      <c r="D78" s="113" t="s">
        <v>164</v>
      </c>
      <c r="E78" s="102">
        <v>7.0000000000000007E-2</v>
      </c>
      <c r="F78" s="102">
        <v>0.08</v>
      </c>
      <c r="G78" s="102">
        <v>0.06</v>
      </c>
      <c r="H78" s="102">
        <f>F78-F82</f>
        <v>-6.666666666666668E-3</v>
      </c>
      <c r="I78" s="115">
        <f>H78^2</f>
        <v>4.444444444444446E-5</v>
      </c>
      <c r="J78" s="102">
        <f>G78-G82</f>
        <v>-9.999999999999995E-3</v>
      </c>
      <c r="K78" s="115">
        <f>J78^2</f>
        <v>9.9999999999999896E-5</v>
      </c>
      <c r="M78" s="102">
        <f>SUMPRODUCT($F$76:$G$76,F78:G78)</f>
        <v>7.0000000000000007E-2</v>
      </c>
      <c r="N78" s="102">
        <f>M78-M82</f>
        <v>-8.3333333333333315E-3</v>
      </c>
      <c r="O78" s="115">
        <f>N78^2</f>
        <v>6.9444444444444417E-5</v>
      </c>
      <c r="P78" s="115">
        <f>H78*J78</f>
        <v>6.6666666666666643E-5</v>
      </c>
    </row>
    <row r="79" spans="1:18" x14ac:dyDescent="0.3">
      <c r="D79" s="113" t="s">
        <v>165</v>
      </c>
      <c r="E79" s="102">
        <v>0.12</v>
      </c>
      <c r="F79" s="102">
        <v>0.15</v>
      </c>
      <c r="G79" s="102">
        <v>0.11</v>
      </c>
      <c r="H79" s="102">
        <f>F79-F82</f>
        <v>6.3333333333333325E-2</v>
      </c>
      <c r="I79" s="115">
        <f t="shared" ref="I79:I80" si="16">H79^2</f>
        <v>4.0111111111111103E-3</v>
      </c>
      <c r="J79" s="102">
        <f>G79-G82</f>
        <v>4.0000000000000008E-2</v>
      </c>
      <c r="K79" s="115">
        <f t="shared" ref="K79:K80" si="17">J79^2</f>
        <v>1.6000000000000007E-3</v>
      </c>
      <c r="M79" s="102">
        <f>SUMPRODUCT($F$76:$G$76,F79:G79)</f>
        <v>0.13</v>
      </c>
      <c r="N79" s="102">
        <f>M79-M82</f>
        <v>5.1666666666666666E-2</v>
      </c>
      <c r="O79" s="115">
        <f t="shared" ref="O79:O80" si="18">N79^2</f>
        <v>2.6694444444444443E-3</v>
      </c>
      <c r="P79" s="115">
        <f t="shared" ref="P79:P80" si="19">H79*J79</f>
        <v>2.5333333333333336E-3</v>
      </c>
      <c r="Q79" s="102"/>
      <c r="R79" s="102"/>
    </row>
    <row r="80" spans="1:18" ht="15.6" x14ac:dyDescent="0.4">
      <c r="D80" s="113" t="s">
        <v>166</v>
      </c>
      <c r="E80" s="102">
        <v>0.04</v>
      </c>
      <c r="F80" s="102">
        <v>0.03</v>
      </c>
      <c r="G80" s="102">
        <v>0.04</v>
      </c>
      <c r="H80" s="102">
        <f>F80-F82</f>
        <v>-5.6666666666666671E-2</v>
      </c>
      <c r="I80" s="116">
        <f t="shared" si="16"/>
        <v>3.2111111111111116E-3</v>
      </c>
      <c r="J80" s="102">
        <f>G80-G82</f>
        <v>-2.9999999999999992E-2</v>
      </c>
      <c r="K80" s="116">
        <f t="shared" si="17"/>
        <v>8.9999999999999954E-4</v>
      </c>
      <c r="M80" s="102">
        <f>SUMPRODUCT($F$76:$G$76,F80:G80)</f>
        <v>3.5000000000000003E-2</v>
      </c>
      <c r="N80" s="102">
        <f>M80-M82</f>
        <v>-4.3333333333333335E-2</v>
      </c>
      <c r="O80" s="116">
        <f t="shared" si="18"/>
        <v>1.8777777777777779E-3</v>
      </c>
      <c r="P80" s="116">
        <f t="shared" si="19"/>
        <v>1.6999999999999997E-3</v>
      </c>
      <c r="Q80" s="102"/>
      <c r="R80" s="102"/>
    </row>
    <row r="81" spans="2:18" x14ac:dyDescent="0.3">
      <c r="D81" s="113"/>
      <c r="E81" s="102"/>
      <c r="F81" s="102"/>
      <c r="G81" s="102"/>
      <c r="H81" s="113"/>
      <c r="I81" s="102"/>
      <c r="J81" s="102"/>
      <c r="K81" s="102"/>
      <c r="L81" s="113"/>
      <c r="M81" s="102"/>
      <c r="N81" s="102"/>
      <c r="O81" s="102"/>
      <c r="P81" s="115"/>
      <c r="Q81" s="102"/>
      <c r="R81" s="102"/>
    </row>
    <row r="82" spans="2:18" x14ac:dyDescent="0.3">
      <c r="D82" s="113"/>
      <c r="E82" s="114" t="s">
        <v>169</v>
      </c>
      <c r="F82" s="114">
        <f>AVERAGE(F78:F80)</f>
        <v>8.666666666666667E-2</v>
      </c>
      <c r="G82" s="114">
        <f>AVERAGE(G78:G80)</f>
        <v>6.9999999999999993E-2</v>
      </c>
      <c r="H82" s="113"/>
      <c r="I82" s="102"/>
      <c r="J82" s="102"/>
      <c r="K82" s="102"/>
      <c r="L82" s="114" t="s">
        <v>169</v>
      </c>
      <c r="M82" s="114">
        <f>AVERAGE(M78:M80)</f>
        <v>7.8333333333333338E-2</v>
      </c>
      <c r="N82" s="102"/>
      <c r="O82" s="102"/>
      <c r="P82" s="115"/>
      <c r="Q82" s="102"/>
      <c r="R82" s="102"/>
    </row>
    <row r="83" spans="2:18" ht="15.6" x14ac:dyDescent="0.4">
      <c r="D83" s="113"/>
      <c r="E83" s="102"/>
      <c r="F83" s="102"/>
      <c r="G83" s="102"/>
      <c r="H83" s="113" t="s">
        <v>172</v>
      </c>
      <c r="I83" s="117">
        <f>SUM(I78:I80)/2</f>
        <v>3.633333333333333E-3</v>
      </c>
      <c r="J83" s="113" t="s">
        <v>177</v>
      </c>
      <c r="K83" s="117">
        <f>SUM(K78:K80)/2</f>
        <v>1.2999999999999999E-3</v>
      </c>
      <c r="L83" s="113"/>
      <c r="M83" s="102"/>
      <c r="N83" s="113" t="s">
        <v>183</v>
      </c>
      <c r="O83" s="117">
        <f>SUM(O78:O80)/2</f>
        <v>2.3083333333333332E-3</v>
      </c>
      <c r="P83" s="116"/>
      <c r="Q83" s="102"/>
      <c r="R83" s="102"/>
    </row>
    <row r="84" spans="2:18" x14ac:dyDescent="0.3">
      <c r="D84" s="113"/>
      <c r="E84" s="102"/>
      <c r="F84" s="102"/>
      <c r="G84" s="102"/>
      <c r="J84" s="102"/>
      <c r="K84" s="102"/>
      <c r="L84" s="113"/>
      <c r="M84" s="102"/>
      <c r="N84" s="102"/>
      <c r="O84" s="102"/>
      <c r="P84" s="115"/>
      <c r="Q84" s="102"/>
      <c r="R84" s="102"/>
    </row>
    <row r="85" spans="2:18" x14ac:dyDescent="0.3">
      <c r="D85" s="113"/>
      <c r="E85" s="102"/>
      <c r="F85" s="102"/>
      <c r="G85" s="102"/>
      <c r="L85" s="113"/>
      <c r="M85" s="102"/>
      <c r="N85" s="102"/>
      <c r="O85" s="102"/>
      <c r="P85" s="115">
        <f>SUM(P78:P80)/2</f>
        <v>2.15E-3</v>
      </c>
      <c r="Q85" s="102"/>
      <c r="R85" s="102"/>
    </row>
    <row r="86" spans="2:18" ht="15.6" x14ac:dyDescent="0.4">
      <c r="D86" s="113"/>
      <c r="E86" s="114" t="s">
        <v>180</v>
      </c>
      <c r="F86" s="114">
        <f>AVERAGE(F82:G82)</f>
        <v>7.8333333333333338E-2</v>
      </c>
      <c r="G86" s="102"/>
      <c r="L86" s="113"/>
      <c r="M86" s="102"/>
      <c r="N86" s="102"/>
      <c r="O86" s="102"/>
      <c r="P86" s="116"/>
      <c r="Q86" s="125" t="s">
        <v>152</v>
      </c>
      <c r="R86" s="126">
        <f>P85/(I87*K87)</f>
        <v>0.98926845793398832</v>
      </c>
    </row>
    <row r="87" spans="2:18" ht="19.2" x14ac:dyDescent="0.45">
      <c r="D87" s="113"/>
      <c r="E87" s="102"/>
      <c r="F87" s="102"/>
      <c r="G87" s="102"/>
      <c r="H87" s="120" t="s">
        <v>173</v>
      </c>
      <c r="I87" s="121">
        <f>SQRT(I83)</f>
        <v>6.0277137733417079E-2</v>
      </c>
      <c r="J87" s="120" t="s">
        <v>178</v>
      </c>
      <c r="K87" s="121">
        <f>SQRT(K83)</f>
        <v>3.605551275463989E-2</v>
      </c>
      <c r="L87" s="113"/>
      <c r="M87" s="102"/>
      <c r="N87" s="120" t="s">
        <v>184</v>
      </c>
      <c r="O87" s="119">
        <f>SQRT(O83)</f>
        <v>4.8045117684665246E-2</v>
      </c>
      <c r="P87" s="115"/>
      <c r="Q87" s="102"/>
      <c r="R87" s="102"/>
    </row>
    <row r="88" spans="2:18" x14ac:dyDescent="0.3">
      <c r="D88" s="113"/>
      <c r="E88" s="102"/>
      <c r="F88" s="102"/>
      <c r="G88" s="102"/>
      <c r="H88" s="122" t="s">
        <v>174</v>
      </c>
      <c r="I88" s="123">
        <f>_xlfn.STDEV.S(F78:F80)</f>
        <v>6.0277137733417072E-2</v>
      </c>
      <c r="J88" s="122" t="s">
        <v>174</v>
      </c>
      <c r="K88" s="123">
        <f>_xlfn.STDEV.S(G78:G80)</f>
        <v>3.6055512754639904E-2</v>
      </c>
      <c r="L88" s="113"/>
      <c r="M88" s="102"/>
      <c r="N88" s="122" t="s">
        <v>174</v>
      </c>
      <c r="O88" s="123">
        <f>_xlfn.STDEV.S(M78:M80)</f>
        <v>4.8045117684665253E-2</v>
      </c>
      <c r="P88" s="113"/>
      <c r="Q88" s="102"/>
      <c r="R88" s="102"/>
    </row>
    <row r="89" spans="2:18" x14ac:dyDescent="0.3">
      <c r="D89" s="113"/>
      <c r="E89" s="102"/>
      <c r="F89" s="102"/>
      <c r="G89" s="102"/>
      <c r="H89" s="113"/>
      <c r="I89" s="102"/>
      <c r="J89" s="102"/>
      <c r="K89" s="102"/>
      <c r="L89" s="113"/>
      <c r="M89" s="102"/>
      <c r="N89" s="102"/>
      <c r="O89" s="102"/>
      <c r="P89" s="113"/>
      <c r="Q89" s="102"/>
      <c r="R89" s="102"/>
    </row>
    <row r="90" spans="2:18" ht="15" thickBot="1" x14ac:dyDescent="0.35">
      <c r="N90" s="124" t="s">
        <v>185</v>
      </c>
    </row>
    <row r="91" spans="2:18" x14ac:dyDescent="0.3">
      <c r="B91" s="99" t="s">
        <v>160</v>
      </c>
      <c r="C91" s="100" t="s">
        <v>161</v>
      </c>
      <c r="D91" s="100" t="s">
        <v>162</v>
      </c>
      <c r="E91" s="100" t="s">
        <v>163</v>
      </c>
      <c r="F91" s="33"/>
      <c r="G91" s="33"/>
      <c r="H91" s="35"/>
    </row>
    <row r="92" spans="2:18" x14ac:dyDescent="0.3">
      <c r="B92" s="101" t="s">
        <v>164</v>
      </c>
      <c r="C92" s="102">
        <v>7.0000000000000007E-2</v>
      </c>
      <c r="D92" s="102">
        <v>0.08</v>
      </c>
      <c r="E92" s="102">
        <v>0.06</v>
      </c>
      <c r="H92" s="37"/>
    </row>
    <row r="93" spans="2:18" x14ac:dyDescent="0.3">
      <c r="B93" s="101" t="s">
        <v>165</v>
      </c>
      <c r="C93" s="102">
        <v>0.12</v>
      </c>
      <c r="D93" s="102">
        <v>0.03</v>
      </c>
      <c r="E93" s="102">
        <v>0.11</v>
      </c>
      <c r="H93" s="37"/>
    </row>
    <row r="94" spans="2:18" x14ac:dyDescent="0.3">
      <c r="B94" s="101" t="s">
        <v>166</v>
      </c>
      <c r="C94" s="102">
        <v>0.04</v>
      </c>
      <c r="D94" s="102">
        <v>0.13</v>
      </c>
      <c r="E94" s="102">
        <v>0.04</v>
      </c>
      <c r="H94" s="37"/>
    </row>
    <row r="95" spans="2:18" x14ac:dyDescent="0.3">
      <c r="B95" s="85"/>
      <c r="H95" s="37"/>
    </row>
    <row r="96" spans="2:18" x14ac:dyDescent="0.3">
      <c r="B96" s="107" t="s">
        <v>167</v>
      </c>
      <c r="C96" s="108"/>
      <c r="H96" s="37"/>
    </row>
    <row r="97" spans="2:18" ht="15" thickBot="1" x14ac:dyDescent="0.35">
      <c r="B97" s="109" t="s">
        <v>168</v>
      </c>
      <c r="C97" s="110"/>
      <c r="D97" s="39"/>
      <c r="E97" s="39"/>
      <c r="F97" s="39"/>
      <c r="G97" s="39"/>
      <c r="H97" s="40"/>
    </row>
    <row r="99" spans="2:18" x14ac:dyDescent="0.3">
      <c r="F99" s="106">
        <v>0.5</v>
      </c>
      <c r="G99" s="106">
        <v>0.5</v>
      </c>
    </row>
    <row r="100" spans="2:18" ht="15" x14ac:dyDescent="0.35">
      <c r="D100" s="111" t="s">
        <v>160</v>
      </c>
      <c r="E100" s="112" t="s">
        <v>161</v>
      </c>
      <c r="F100" s="112" t="s">
        <v>162</v>
      </c>
      <c r="G100" s="112" t="s">
        <v>163</v>
      </c>
      <c r="H100" s="112" t="s">
        <v>170</v>
      </c>
      <c r="I100" s="112" t="s">
        <v>171</v>
      </c>
      <c r="J100" s="112" t="s">
        <v>175</v>
      </c>
      <c r="K100" s="112" t="s">
        <v>176</v>
      </c>
      <c r="M100" s="112" t="s">
        <v>179</v>
      </c>
      <c r="N100" s="112" t="s">
        <v>181</v>
      </c>
      <c r="O100" s="112" t="s">
        <v>182</v>
      </c>
      <c r="P100" s="112" t="s">
        <v>186</v>
      </c>
    </row>
    <row r="101" spans="2:18" x14ac:dyDescent="0.3">
      <c r="D101" s="113" t="s">
        <v>164</v>
      </c>
      <c r="E101" s="102">
        <v>7.0000000000000007E-2</v>
      </c>
      <c r="F101" s="102">
        <v>0.08</v>
      </c>
      <c r="G101" s="102">
        <v>0.06</v>
      </c>
      <c r="H101" s="102">
        <f>F101-F105</f>
        <v>0</v>
      </c>
      <c r="I101" s="115">
        <f>H101^2</f>
        <v>0</v>
      </c>
      <c r="J101" s="102">
        <f>G101-G105</f>
        <v>-9.999999999999995E-3</v>
      </c>
      <c r="K101" s="115">
        <f>J101^2</f>
        <v>9.9999999999999896E-5</v>
      </c>
      <c r="M101" s="118">
        <f>SUMPRODUCT($F$99:$G$99,F101:G101)</f>
        <v>7.0000000000000007E-2</v>
      </c>
      <c r="N101" s="102">
        <f>M101-M105</f>
        <v>-5.0000000000000044E-3</v>
      </c>
      <c r="O101" s="115">
        <f>N101^2</f>
        <v>2.5000000000000045E-5</v>
      </c>
      <c r="P101" s="115">
        <f>H101*J101</f>
        <v>0</v>
      </c>
    </row>
    <row r="102" spans="2:18" x14ac:dyDescent="0.3">
      <c r="D102" s="113" t="s">
        <v>165</v>
      </c>
      <c r="E102" s="102">
        <v>0.12</v>
      </c>
      <c r="F102" s="102">
        <v>0.03</v>
      </c>
      <c r="G102" s="102">
        <v>0.11</v>
      </c>
      <c r="H102" s="102">
        <f>F102-F105</f>
        <v>-0.05</v>
      </c>
      <c r="I102" s="115">
        <f t="shared" ref="I102:I103" si="20">H102^2</f>
        <v>2.5000000000000005E-3</v>
      </c>
      <c r="J102" s="102">
        <f>G102-G105</f>
        <v>4.0000000000000008E-2</v>
      </c>
      <c r="K102" s="115">
        <f t="shared" ref="K102:K103" si="21">J102^2</f>
        <v>1.6000000000000007E-3</v>
      </c>
      <c r="M102" s="118">
        <f t="shared" ref="M102:M103" si="22">SUMPRODUCT($F$99:$G$99,F102:G102)</f>
        <v>7.0000000000000007E-2</v>
      </c>
      <c r="N102" s="102">
        <f>M102-M105</f>
        <v>-5.0000000000000044E-3</v>
      </c>
      <c r="O102" s="115">
        <f t="shared" ref="O102:O103" si="23">N102^2</f>
        <v>2.5000000000000045E-5</v>
      </c>
      <c r="P102" s="115">
        <f t="shared" ref="P102:P103" si="24">H102*J102</f>
        <v>-2.0000000000000005E-3</v>
      </c>
      <c r="Q102" s="102"/>
      <c r="R102" s="102"/>
    </row>
    <row r="103" spans="2:18" ht="15.6" x14ac:dyDescent="0.4">
      <c r="D103" s="113" t="s">
        <v>166</v>
      </c>
      <c r="E103" s="102">
        <v>0.04</v>
      </c>
      <c r="F103" s="102">
        <v>0.13</v>
      </c>
      <c r="G103" s="102">
        <v>0.04</v>
      </c>
      <c r="H103" s="102">
        <f>F103-F105</f>
        <v>0.05</v>
      </c>
      <c r="I103" s="116">
        <f t="shared" si="20"/>
        <v>2.5000000000000005E-3</v>
      </c>
      <c r="J103" s="102">
        <f>G103-G105</f>
        <v>-2.9999999999999992E-2</v>
      </c>
      <c r="K103" s="116">
        <f t="shared" si="21"/>
        <v>8.9999999999999954E-4</v>
      </c>
      <c r="M103" s="118">
        <f t="shared" si="22"/>
        <v>8.5000000000000006E-2</v>
      </c>
      <c r="N103" s="102">
        <f>M103-M105</f>
        <v>9.999999999999995E-3</v>
      </c>
      <c r="O103" s="116">
        <f t="shared" si="23"/>
        <v>9.9999999999999896E-5</v>
      </c>
      <c r="P103" s="116">
        <f t="shared" si="24"/>
        <v>-1.4999999999999996E-3</v>
      </c>
      <c r="Q103" s="102"/>
      <c r="R103" s="102"/>
    </row>
    <row r="104" spans="2:18" x14ac:dyDescent="0.3">
      <c r="D104" s="113"/>
      <c r="E104" s="102"/>
      <c r="F104" s="102"/>
      <c r="G104" s="102"/>
      <c r="H104" s="113"/>
      <c r="I104" s="102"/>
      <c r="J104" s="102"/>
      <c r="K104" s="102"/>
      <c r="L104" s="113"/>
      <c r="M104" s="102"/>
      <c r="N104" s="102"/>
      <c r="O104" s="102"/>
      <c r="P104" s="115"/>
      <c r="Q104" s="102"/>
      <c r="R104" s="102"/>
    </row>
    <row r="105" spans="2:18" x14ac:dyDescent="0.3">
      <c r="D105" s="113"/>
      <c r="E105" s="114" t="s">
        <v>169</v>
      </c>
      <c r="F105" s="114">
        <f>AVERAGE(F101:F103)</f>
        <v>0.08</v>
      </c>
      <c r="G105" s="114">
        <f>AVERAGE(G101:G103)</f>
        <v>6.9999999999999993E-2</v>
      </c>
      <c r="H105" s="113"/>
      <c r="I105" s="102"/>
      <c r="J105" s="102"/>
      <c r="K105" s="102"/>
      <c r="L105" s="114" t="s">
        <v>169</v>
      </c>
      <c r="M105" s="105">
        <f>AVERAGE(M101:M103)</f>
        <v>7.5000000000000011E-2</v>
      </c>
      <c r="N105" s="102"/>
      <c r="O105" s="102"/>
      <c r="P105" s="115"/>
      <c r="Q105" s="102"/>
      <c r="R105" s="102"/>
    </row>
    <row r="106" spans="2:18" ht="15.6" x14ac:dyDescent="0.4">
      <c r="D106" s="113"/>
      <c r="E106" s="102"/>
      <c r="F106" s="102"/>
      <c r="G106" s="102"/>
      <c r="H106" s="113" t="s">
        <v>172</v>
      </c>
      <c r="I106" s="117">
        <f>SUM(I101:I103)/2</f>
        <v>2.5000000000000005E-3</v>
      </c>
      <c r="J106" s="113" t="s">
        <v>177</v>
      </c>
      <c r="K106" s="117">
        <f>SUM(K101:K103)/2</f>
        <v>1.2999999999999999E-3</v>
      </c>
      <c r="L106" s="113"/>
      <c r="M106" s="102"/>
      <c r="N106" s="113" t="s">
        <v>183</v>
      </c>
      <c r="O106" s="117">
        <f>SUM(O101:O103)/2</f>
        <v>7.4999999999999993E-5</v>
      </c>
      <c r="P106" s="116"/>
      <c r="Q106" s="102"/>
      <c r="R106" s="102"/>
    </row>
    <row r="107" spans="2:18" x14ac:dyDescent="0.3">
      <c r="D107" s="113"/>
      <c r="E107" s="102"/>
      <c r="F107" s="102"/>
      <c r="G107" s="102"/>
      <c r="J107" s="102"/>
      <c r="K107" s="102"/>
      <c r="L107" s="113"/>
      <c r="M107" s="102"/>
      <c r="N107" s="102"/>
      <c r="O107" s="102"/>
      <c r="P107" s="115"/>
      <c r="Q107" s="102"/>
      <c r="R107" s="102"/>
    </row>
    <row r="108" spans="2:18" x14ac:dyDescent="0.3">
      <c r="D108" s="113"/>
      <c r="E108" s="102"/>
      <c r="F108" s="102"/>
      <c r="G108" s="102"/>
      <c r="L108" s="113"/>
      <c r="M108" s="102"/>
      <c r="N108" s="102"/>
      <c r="O108" s="102"/>
      <c r="P108" s="115">
        <f>SUM(P101:P103)/2</f>
        <v>-1.75E-3</v>
      </c>
      <c r="Q108" s="102"/>
      <c r="R108" s="102"/>
    </row>
    <row r="109" spans="2:18" ht="15.6" x14ac:dyDescent="0.4">
      <c r="D109" s="113"/>
      <c r="E109" s="114" t="s">
        <v>180</v>
      </c>
      <c r="F109" s="105">
        <f>AVERAGE(F105:G105)</f>
        <v>7.4999999999999997E-2</v>
      </c>
      <c r="G109" s="102"/>
      <c r="L109" s="113"/>
      <c r="M109" s="102"/>
      <c r="N109" s="102"/>
      <c r="O109" s="102"/>
      <c r="P109" s="116"/>
      <c r="Q109" s="125" t="s">
        <v>152</v>
      </c>
      <c r="R109" s="126">
        <f>P108/(I110*K110)</f>
        <v>-0.97072534339415106</v>
      </c>
    </row>
    <row r="110" spans="2:18" ht="19.2" x14ac:dyDescent="0.45">
      <c r="D110" s="113"/>
      <c r="E110" s="102"/>
      <c r="F110" s="102"/>
      <c r="G110" s="102"/>
      <c r="H110" s="120" t="s">
        <v>173</v>
      </c>
      <c r="I110" s="121">
        <f>SQRT(I106)</f>
        <v>0.05</v>
      </c>
      <c r="J110" s="120" t="s">
        <v>178</v>
      </c>
      <c r="K110" s="121">
        <f>SQRT(K106)</f>
        <v>3.605551275463989E-2</v>
      </c>
      <c r="L110" s="113"/>
      <c r="M110" s="102"/>
      <c r="N110" s="127" t="s">
        <v>184</v>
      </c>
      <c r="O110" s="128">
        <f>SQRT(O106)</f>
        <v>8.6602540378443865E-3</v>
      </c>
      <c r="P110" s="115"/>
      <c r="Q110" s="102"/>
      <c r="R110" s="102"/>
    </row>
    <row r="111" spans="2:18" x14ac:dyDescent="0.3">
      <c r="D111" s="113"/>
      <c r="E111" s="102"/>
      <c r="F111" s="102"/>
      <c r="G111" s="102"/>
      <c r="H111" s="122" t="s">
        <v>174</v>
      </c>
      <c r="I111" s="123">
        <f>_xlfn.STDEV.S(F101:F103)</f>
        <v>5.0000000000000024E-2</v>
      </c>
      <c r="J111" s="122" t="s">
        <v>174</v>
      </c>
      <c r="K111" s="123">
        <f>_xlfn.STDEV.S(G101:G103)</f>
        <v>3.6055512754639904E-2</v>
      </c>
      <c r="L111" s="113"/>
      <c r="M111" s="102"/>
      <c r="N111" s="122" t="s">
        <v>174</v>
      </c>
      <c r="O111" s="123">
        <f>_xlfn.STDEV.S(M101:M103)</f>
        <v>8.6602540378443865E-3</v>
      </c>
      <c r="P111" s="113"/>
      <c r="Q111" s="102"/>
      <c r="R111" s="102"/>
    </row>
    <row r="112" spans="2:18" x14ac:dyDescent="0.3">
      <c r="D112" s="113"/>
      <c r="E112" s="102"/>
      <c r="F112" s="102"/>
      <c r="G112" s="102"/>
      <c r="H112" s="113"/>
      <c r="I112" s="102"/>
      <c r="J112" s="102"/>
      <c r="K112" s="102"/>
      <c r="L112" s="113"/>
      <c r="M112" s="102"/>
      <c r="N112" s="102"/>
      <c r="O112" s="102"/>
      <c r="P112" s="113"/>
      <c r="Q112" s="102"/>
      <c r="R112" s="102"/>
    </row>
    <row r="113" spans="9:15" x14ac:dyDescent="0.3">
      <c r="N113" s="124" t="s">
        <v>187</v>
      </c>
    </row>
    <row r="116" spans="9:15" ht="15" thickBot="1" x14ac:dyDescent="0.35"/>
    <row r="117" spans="9:15" ht="15" thickBot="1" x14ac:dyDescent="0.35">
      <c r="I117" s="437" t="s">
        <v>188</v>
      </c>
      <c r="J117" s="438"/>
      <c r="K117" s="438"/>
      <c r="L117" s="438"/>
      <c r="M117" s="438"/>
      <c r="N117" s="438"/>
      <c r="O117" s="439"/>
    </row>
    <row r="118" spans="9:15" x14ac:dyDescent="0.3">
      <c r="I118" s="129"/>
      <c r="J118" s="42"/>
      <c r="K118" s="42"/>
      <c r="L118" s="42"/>
      <c r="M118" s="42"/>
      <c r="N118" s="42"/>
      <c r="O118" s="130"/>
    </row>
    <row r="119" spans="9:15" ht="15" thickBot="1" x14ac:dyDescent="0.35">
      <c r="I119" s="129"/>
      <c r="J119" s="42"/>
      <c r="K119" s="42"/>
      <c r="L119" s="42"/>
      <c r="M119" s="42"/>
      <c r="N119" s="42"/>
      <c r="O119" s="130"/>
    </row>
    <row r="120" spans="9:15" ht="16.2" thickBot="1" x14ac:dyDescent="0.4">
      <c r="I120" s="131" t="s">
        <v>190</v>
      </c>
      <c r="J120" s="132" t="s">
        <v>8</v>
      </c>
      <c r="K120" s="133" t="s">
        <v>189</v>
      </c>
      <c r="L120" s="132"/>
      <c r="M120" s="132"/>
      <c r="N120" s="132"/>
      <c r="O120" s="134"/>
    </row>
    <row r="124" spans="9:15" x14ac:dyDescent="0.3">
      <c r="L124" s="128">
        <f>SQRT(0.5^2*I110^2+0.5^2*K110^2+2*0.5*0.5*R109*I110*K110)</f>
        <v>8.6602540378443917E-3</v>
      </c>
    </row>
  </sheetData>
  <mergeCells count="1">
    <mergeCell ref="I117:O117"/>
  </mergeCells>
  <pageMargins left="0.7" right="0.7" top="0.75" bottom="0.75" header="0.3" footer="0.3"/>
  <ignoredErrors>
    <ignoredError sqref="P25:P30 K52:K57 J78:J80 J101:J103" formula="1"/>
    <ignoredError sqref="M78:M80 M101:M103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2391-CE09-4DC1-B97D-BD784A2D6F7D}">
  <dimension ref="B2:M58"/>
  <sheetViews>
    <sheetView topLeftCell="A38" zoomScale="137" zoomScaleNormal="137" workbookViewId="0">
      <selection activeCell="I43" sqref="I43"/>
    </sheetView>
  </sheetViews>
  <sheetFormatPr defaultRowHeight="14.4" x14ac:dyDescent="0.3"/>
  <cols>
    <col min="2" max="2" width="3.33203125" bestFit="1" customWidth="1"/>
    <col min="5" max="5" width="11.6640625" customWidth="1"/>
    <col min="6" max="6" width="11.77734375" bestFit="1" customWidth="1"/>
    <col min="11" max="11" width="12.109375" customWidth="1"/>
  </cols>
  <sheetData>
    <row r="2" spans="2:13" ht="15" thickBot="1" x14ac:dyDescent="0.35"/>
    <row r="3" spans="2:13" x14ac:dyDescent="0.3">
      <c r="B3" s="135" t="s">
        <v>191</v>
      </c>
      <c r="C3" s="33" t="s">
        <v>192</v>
      </c>
      <c r="D3" s="33"/>
      <c r="E3" s="33"/>
      <c r="F3" s="33"/>
      <c r="G3" s="33"/>
      <c r="H3" s="33"/>
      <c r="I3" s="33"/>
      <c r="J3" s="33"/>
      <c r="K3" s="33"/>
      <c r="L3" s="33"/>
      <c r="M3" s="35"/>
    </row>
    <row r="4" spans="2:13" x14ac:dyDescent="0.3">
      <c r="B4" s="85"/>
      <c r="M4" s="37"/>
    </row>
    <row r="5" spans="2:13" x14ac:dyDescent="0.3">
      <c r="B5" s="85"/>
      <c r="F5" s="25" t="s">
        <v>194</v>
      </c>
      <c r="M5" s="37"/>
    </row>
    <row r="6" spans="2:13" x14ac:dyDescent="0.3">
      <c r="B6" s="85"/>
      <c r="D6" t="s">
        <v>193</v>
      </c>
      <c r="F6" s="136">
        <v>400000</v>
      </c>
      <c r="M6" s="37"/>
    </row>
    <row r="7" spans="2:13" x14ac:dyDescent="0.3">
      <c r="B7" s="85"/>
      <c r="D7" t="s">
        <v>195</v>
      </c>
      <c r="F7" s="136">
        <v>600000</v>
      </c>
      <c r="M7" s="37"/>
    </row>
    <row r="8" spans="2:13" x14ac:dyDescent="0.3">
      <c r="B8" s="85"/>
      <c r="M8" s="37"/>
    </row>
    <row r="9" spans="2:13" x14ac:dyDescent="0.3">
      <c r="B9" s="85"/>
      <c r="C9" t="s">
        <v>196</v>
      </c>
      <c r="M9" s="37"/>
    </row>
    <row r="10" spans="2:13" x14ac:dyDescent="0.3">
      <c r="B10" s="85"/>
      <c r="M10" s="37"/>
    </row>
    <row r="11" spans="2:13" x14ac:dyDescent="0.3">
      <c r="B11" s="85"/>
      <c r="C11" t="s">
        <v>197</v>
      </c>
      <c r="M11" s="37"/>
    </row>
    <row r="12" spans="2:13" x14ac:dyDescent="0.3">
      <c r="B12" s="85"/>
      <c r="M12" s="37"/>
    </row>
    <row r="13" spans="2:13" x14ac:dyDescent="0.3">
      <c r="B13" s="85"/>
      <c r="C13" t="s">
        <v>132</v>
      </c>
      <c r="M13" s="37"/>
    </row>
    <row r="14" spans="2:13" x14ac:dyDescent="0.3">
      <c r="B14" s="85"/>
      <c r="M14" s="37"/>
    </row>
    <row r="15" spans="2:13" x14ac:dyDescent="0.3">
      <c r="B15" s="85"/>
      <c r="C15" t="s">
        <v>198</v>
      </c>
      <c r="M15" s="37"/>
    </row>
    <row r="16" spans="2:13" ht="15" thickBot="1" x14ac:dyDescent="0.35">
      <c r="B16" s="60"/>
      <c r="C16" s="39" t="s">
        <v>199</v>
      </c>
      <c r="D16" s="39"/>
      <c r="E16" s="39"/>
      <c r="F16" s="39"/>
      <c r="G16" s="39"/>
      <c r="H16" s="39"/>
      <c r="I16" s="39"/>
      <c r="J16" s="39"/>
      <c r="K16" s="39"/>
      <c r="L16" s="39"/>
      <c r="M16" s="40"/>
    </row>
    <row r="20" spans="5:11" s="25" customFormat="1" x14ac:dyDescent="0.3">
      <c r="E20" s="25" t="s">
        <v>200</v>
      </c>
      <c r="F20" s="25" t="s">
        <v>203</v>
      </c>
      <c r="G20" s="25" t="s">
        <v>204</v>
      </c>
      <c r="H20" s="25" t="s">
        <v>205</v>
      </c>
      <c r="I20" s="25" t="s">
        <v>206</v>
      </c>
    </row>
    <row r="21" spans="5:11" s="20" customFormat="1" x14ac:dyDescent="0.3">
      <c r="E21" s="20" t="s">
        <v>201</v>
      </c>
      <c r="F21" s="136">
        <v>400000</v>
      </c>
      <c r="G21" s="20">
        <f>F21/F23</f>
        <v>0.4</v>
      </c>
      <c r="H21" s="21">
        <v>0.16</v>
      </c>
      <c r="I21" s="21">
        <v>0.24</v>
      </c>
    </row>
    <row r="22" spans="5:11" s="20" customFormat="1" ht="16.2" x14ac:dyDescent="0.45">
      <c r="E22" s="20" t="s">
        <v>202</v>
      </c>
      <c r="F22" s="137">
        <v>600000</v>
      </c>
      <c r="G22" s="20">
        <f>F22/F23</f>
        <v>0.6</v>
      </c>
      <c r="H22" s="21">
        <v>0.08</v>
      </c>
      <c r="I22" s="21">
        <v>0.06</v>
      </c>
    </row>
    <row r="23" spans="5:11" s="20" customFormat="1" x14ac:dyDescent="0.3">
      <c r="F23" s="138">
        <f>F21+F22</f>
        <v>1000000</v>
      </c>
    </row>
    <row r="24" spans="5:11" s="20" customFormat="1" x14ac:dyDescent="0.3">
      <c r="H24" s="20" t="s">
        <v>152</v>
      </c>
      <c r="I24" s="20">
        <v>-0.28000000000000003</v>
      </c>
    </row>
    <row r="26" spans="5:11" ht="15" thickBot="1" x14ac:dyDescent="0.35"/>
    <row r="27" spans="5:11" x14ac:dyDescent="0.3">
      <c r="F27" s="32" t="s">
        <v>207</v>
      </c>
      <c r="G27" s="140">
        <f>SUMPRODUCT(G21:G22,H21:H22)</f>
        <v>0.112</v>
      </c>
      <c r="K27" s="139" t="s">
        <v>208</v>
      </c>
    </row>
    <row r="28" spans="5:11" x14ac:dyDescent="0.3">
      <c r="F28" s="85"/>
      <c r="G28" s="37"/>
    </row>
    <row r="29" spans="5:11" ht="15" thickBot="1" x14ac:dyDescent="0.35">
      <c r="F29" s="60" t="s">
        <v>209</v>
      </c>
      <c r="G29" s="141">
        <f>SQRT(G21^2*I21^2+G22^2*I22^2+2*G21*G22*I21*I22*I24)</f>
        <v>9.2610150631558752E-2</v>
      </c>
      <c r="K29" s="139" t="s">
        <v>210</v>
      </c>
    </row>
    <row r="36" spans="2:11" x14ac:dyDescent="0.3">
      <c r="B36" s="42" t="s">
        <v>211</v>
      </c>
      <c r="C36" t="s">
        <v>212</v>
      </c>
    </row>
    <row r="38" spans="2:11" ht="15" thickBot="1" x14ac:dyDescent="0.35"/>
    <row r="39" spans="2:11" s="20" customFormat="1" x14ac:dyDescent="0.3">
      <c r="D39" s="142" t="s">
        <v>160</v>
      </c>
      <c r="E39" s="20" t="s">
        <v>213</v>
      </c>
      <c r="F39" s="20" t="s">
        <v>214</v>
      </c>
      <c r="H39" s="143"/>
      <c r="I39" s="144"/>
      <c r="J39" s="144"/>
      <c r="K39" s="145"/>
    </row>
    <row r="40" spans="2:11" s="20" customFormat="1" ht="15" x14ac:dyDescent="0.35">
      <c r="D40" s="142" t="s">
        <v>165</v>
      </c>
      <c r="E40" s="43">
        <v>0.25</v>
      </c>
      <c r="F40" s="21">
        <v>0.21</v>
      </c>
      <c r="H40" s="146" t="s">
        <v>215</v>
      </c>
      <c r="I40" s="147"/>
      <c r="J40" s="148" t="s">
        <v>216</v>
      </c>
      <c r="K40" s="149"/>
    </row>
    <row r="41" spans="2:11" s="20" customFormat="1" x14ac:dyDescent="0.3">
      <c r="D41" s="142" t="s">
        <v>164</v>
      </c>
      <c r="E41" s="43">
        <v>0.35</v>
      </c>
      <c r="F41" s="21">
        <v>0.14000000000000001</v>
      </c>
      <c r="H41" s="150"/>
      <c r="I41" s="147"/>
      <c r="J41" s="147"/>
      <c r="K41" s="149"/>
    </row>
    <row r="42" spans="2:11" s="20" customFormat="1" ht="15" x14ac:dyDescent="0.35">
      <c r="D42" s="142" t="s">
        <v>166</v>
      </c>
      <c r="E42" s="43">
        <v>0.4</v>
      </c>
      <c r="F42" s="21">
        <v>7.0000000000000007E-2</v>
      </c>
      <c r="H42" s="146" t="s">
        <v>217</v>
      </c>
      <c r="I42" s="147"/>
      <c r="J42" s="148" t="s">
        <v>218</v>
      </c>
      <c r="K42" s="149"/>
    </row>
    <row r="43" spans="2:11" s="20" customFormat="1" ht="15" thickBot="1" x14ac:dyDescent="0.35">
      <c r="H43" s="151"/>
      <c r="I43" s="152"/>
      <c r="J43" s="152"/>
      <c r="K43" s="153"/>
    </row>
    <row r="49" spans="5:11" s="20" customFormat="1" x14ac:dyDescent="0.3">
      <c r="E49" s="25" t="s">
        <v>160</v>
      </c>
      <c r="F49" s="25" t="s">
        <v>213</v>
      </c>
      <c r="G49" s="25" t="s">
        <v>214</v>
      </c>
      <c r="H49" s="155" t="s">
        <v>219</v>
      </c>
      <c r="I49" s="25" t="s">
        <v>155</v>
      </c>
      <c r="J49" s="25" t="s">
        <v>140</v>
      </c>
      <c r="K49" s="25" t="s">
        <v>220</v>
      </c>
    </row>
    <row r="50" spans="5:11" s="20" customFormat="1" x14ac:dyDescent="0.3">
      <c r="E50" s="20" t="s">
        <v>165</v>
      </c>
      <c r="F50" s="43">
        <v>0.25</v>
      </c>
      <c r="G50" s="21">
        <v>0.21</v>
      </c>
      <c r="H50" s="156">
        <f>G50*F50</f>
        <v>5.2499999999999998E-2</v>
      </c>
      <c r="I50" s="157">
        <f>G50-$H$54</f>
        <v>8.0499999999999988E-2</v>
      </c>
      <c r="J50" s="20">
        <f>I50^2</f>
        <v>6.4802499999999982E-3</v>
      </c>
      <c r="K50" s="158">
        <f>J50*F50</f>
        <v>1.6200624999999995E-3</v>
      </c>
    </row>
    <row r="51" spans="5:11" s="20" customFormat="1" x14ac:dyDescent="0.3">
      <c r="E51" s="20" t="s">
        <v>164</v>
      </c>
      <c r="F51" s="43">
        <v>0.35</v>
      </c>
      <c r="G51" s="21">
        <v>0.14000000000000001</v>
      </c>
      <c r="H51" s="156">
        <f t="shared" ref="H51:H52" si="0">G51*F51</f>
        <v>4.9000000000000002E-2</v>
      </c>
      <c r="I51" s="157">
        <f t="shared" ref="I51:I52" si="1">G51-$H$54</f>
        <v>1.0500000000000009E-2</v>
      </c>
      <c r="J51" s="20">
        <f t="shared" ref="J51:J52" si="2">I51^2</f>
        <v>1.102500000000002E-4</v>
      </c>
      <c r="K51" s="158">
        <f t="shared" ref="K51:K52" si="3">J51*F51</f>
        <v>3.8587500000000071E-5</v>
      </c>
    </row>
    <row r="52" spans="5:11" s="20" customFormat="1" ht="16.2" x14ac:dyDescent="0.45">
      <c r="E52" s="20" t="s">
        <v>166</v>
      </c>
      <c r="F52" s="43">
        <v>0.4</v>
      </c>
      <c r="G52" s="21">
        <v>7.0000000000000007E-2</v>
      </c>
      <c r="H52" s="159">
        <f t="shared" si="0"/>
        <v>2.8000000000000004E-2</v>
      </c>
      <c r="I52" s="157">
        <f t="shared" si="1"/>
        <v>-5.9499999999999997E-2</v>
      </c>
      <c r="J52" s="20">
        <f t="shared" si="2"/>
        <v>3.5402499999999996E-3</v>
      </c>
      <c r="K52" s="160">
        <f t="shared" si="3"/>
        <v>1.4161E-3</v>
      </c>
    </row>
    <row r="53" spans="5:11" s="20" customFormat="1" x14ac:dyDescent="0.3">
      <c r="H53" s="154"/>
    </row>
    <row r="54" spans="5:11" s="20" customFormat="1" x14ac:dyDescent="0.3">
      <c r="H54" s="161">
        <f>SUM(H50:H52)</f>
        <v>0.1295</v>
      </c>
    </row>
    <row r="55" spans="5:11" s="20" customFormat="1" x14ac:dyDescent="0.3">
      <c r="J55" s="20" t="s">
        <v>221</v>
      </c>
      <c r="K55" s="162">
        <f>SUM(K50:K52)</f>
        <v>3.0747499999999994E-3</v>
      </c>
    </row>
    <row r="56" spans="5:11" s="20" customFormat="1" x14ac:dyDescent="0.3"/>
    <row r="57" spans="5:11" s="20" customFormat="1" x14ac:dyDescent="0.3">
      <c r="J57" s="163" t="s">
        <v>222</v>
      </c>
      <c r="K57" s="164">
        <f>SQRT(K55)</f>
        <v>5.5450428312142003E-2</v>
      </c>
    </row>
    <row r="58" spans="5:11" s="20" customForma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BA23-0450-4CCB-818F-3A3B0576AB51}">
  <sheetPr>
    <tabColor theme="9" tint="0.59999389629810485"/>
  </sheetPr>
  <dimension ref="A3:I55"/>
  <sheetViews>
    <sheetView zoomScale="137" zoomScaleNormal="137" workbookViewId="0">
      <selection activeCell="G15" sqref="G15"/>
    </sheetView>
  </sheetViews>
  <sheetFormatPr defaultRowHeight="14.4" x14ac:dyDescent="0.3"/>
  <cols>
    <col min="1" max="1" width="3.33203125" style="42" bestFit="1" customWidth="1"/>
    <col min="6" max="6" width="12" bestFit="1" customWidth="1"/>
  </cols>
  <sheetData>
    <row r="3" spans="1:9" x14ac:dyDescent="0.3">
      <c r="A3" s="42" t="s">
        <v>191</v>
      </c>
      <c r="B3" t="s">
        <v>223</v>
      </c>
    </row>
    <row r="5" spans="1:9" x14ac:dyDescent="0.3">
      <c r="B5" t="s">
        <v>224</v>
      </c>
    </row>
    <row r="8" spans="1:9" ht="15.6" x14ac:dyDescent="0.35">
      <c r="C8" t="s">
        <v>225</v>
      </c>
      <c r="D8">
        <f>50*(1-(1/(1+8%)^3))/8%</f>
        <v>128.85484936239402</v>
      </c>
    </row>
    <row r="10" spans="1:9" ht="15.6" x14ac:dyDescent="0.35">
      <c r="C10" t="s">
        <v>226</v>
      </c>
      <c r="D10">
        <f>D8/(1+8%)</f>
        <v>119.31004570592039</v>
      </c>
      <c r="E10" t="s">
        <v>8</v>
      </c>
      <c r="F10" t="s">
        <v>60</v>
      </c>
      <c r="G10" t="s">
        <v>29</v>
      </c>
      <c r="H10">
        <f>((1+8%)^4-1)/8%</f>
        <v>4.5061120000000034</v>
      </c>
    </row>
    <row r="12" spans="1:9" x14ac:dyDescent="0.3">
      <c r="C12" s="168" t="s">
        <v>60</v>
      </c>
      <c r="D12" s="168" t="s">
        <v>8</v>
      </c>
      <c r="E12" s="169">
        <f>D10/H10</f>
        <v>26.47738132250603</v>
      </c>
    </row>
    <row r="15" spans="1:9" x14ac:dyDescent="0.3">
      <c r="G15" s="21">
        <v>0.08</v>
      </c>
    </row>
    <row r="16" spans="1:9" x14ac:dyDescent="0.3">
      <c r="D16" s="25" t="s">
        <v>84</v>
      </c>
      <c r="E16" s="25" t="s">
        <v>52</v>
      </c>
      <c r="F16" s="25" t="s">
        <v>97</v>
      </c>
      <c r="G16" s="25" t="s">
        <v>86</v>
      </c>
      <c r="H16" s="25" t="s">
        <v>98</v>
      </c>
      <c r="I16" s="25" t="s">
        <v>55</v>
      </c>
    </row>
    <row r="17" spans="1:9" x14ac:dyDescent="0.3">
      <c r="D17" s="20">
        <v>1</v>
      </c>
      <c r="E17" s="67">
        <v>0</v>
      </c>
      <c r="F17" s="165">
        <f>E12</f>
        <v>26.47738132250603</v>
      </c>
      <c r="G17" s="67">
        <v>0</v>
      </c>
      <c r="H17" s="67">
        <v>0</v>
      </c>
      <c r="I17" s="67">
        <f>E17+F17+G17-H17</f>
        <v>26.47738132250603</v>
      </c>
    </row>
    <row r="18" spans="1:9" x14ac:dyDescent="0.3">
      <c r="D18" s="20">
        <v>2</v>
      </c>
      <c r="E18" s="67">
        <f t="shared" ref="E18:E22" si="0">I17</f>
        <v>26.47738132250603</v>
      </c>
      <c r="F18" s="67">
        <f>F17</f>
        <v>26.47738132250603</v>
      </c>
      <c r="G18" s="67">
        <f>E18*G15</f>
        <v>2.1181905058004826</v>
      </c>
      <c r="H18" s="67">
        <v>0</v>
      </c>
      <c r="I18" s="67">
        <f t="shared" ref="I18:I24" si="1">E18+F18+G18-H18</f>
        <v>55.072953150812545</v>
      </c>
    </row>
    <row r="19" spans="1:9" x14ac:dyDescent="0.3">
      <c r="D19" s="20">
        <v>3</v>
      </c>
      <c r="E19" s="67">
        <f t="shared" si="0"/>
        <v>55.072953150812545</v>
      </c>
      <c r="F19" s="67">
        <f>F18</f>
        <v>26.47738132250603</v>
      </c>
      <c r="G19" s="67">
        <f>E19*G15</f>
        <v>4.4058362520650034</v>
      </c>
      <c r="H19" s="67">
        <v>0</v>
      </c>
      <c r="I19" s="67">
        <f t="shared" si="1"/>
        <v>85.956170725383572</v>
      </c>
    </row>
    <row r="20" spans="1:9" x14ac:dyDescent="0.3">
      <c r="D20" s="20">
        <v>4</v>
      </c>
      <c r="E20" s="67">
        <f t="shared" si="0"/>
        <v>85.956170725383572</v>
      </c>
      <c r="F20" s="67">
        <f>F19</f>
        <v>26.47738132250603</v>
      </c>
      <c r="G20" s="67">
        <f>E20*G15</f>
        <v>6.8764936580306859</v>
      </c>
      <c r="H20" s="67">
        <v>0</v>
      </c>
      <c r="I20" s="67">
        <f t="shared" si="1"/>
        <v>119.31004570592029</v>
      </c>
    </row>
    <row r="21" spans="1:9" x14ac:dyDescent="0.3">
      <c r="D21" s="20">
        <v>5</v>
      </c>
      <c r="E21" s="67">
        <f t="shared" si="0"/>
        <v>119.31004570592029</v>
      </c>
      <c r="F21" s="67">
        <v>0</v>
      </c>
      <c r="G21" s="67">
        <f>E21*G15</f>
        <v>9.5448036564736238</v>
      </c>
      <c r="H21" s="67">
        <v>0</v>
      </c>
      <c r="I21" s="67">
        <f t="shared" si="1"/>
        <v>128.85484936239391</v>
      </c>
    </row>
    <row r="22" spans="1:9" x14ac:dyDescent="0.3">
      <c r="D22" s="20">
        <v>6</v>
      </c>
      <c r="E22" s="67">
        <f t="shared" si="0"/>
        <v>128.85484936239391</v>
      </c>
      <c r="F22" s="67">
        <v>0</v>
      </c>
      <c r="G22" s="67">
        <f>E22*G15</f>
        <v>10.308387948991513</v>
      </c>
      <c r="H22" s="67">
        <v>50</v>
      </c>
      <c r="I22" s="67">
        <f t="shared" si="1"/>
        <v>89.163237311385416</v>
      </c>
    </row>
    <row r="23" spans="1:9" x14ac:dyDescent="0.3">
      <c r="D23" s="20">
        <v>7</v>
      </c>
      <c r="E23" s="22">
        <f>I22</f>
        <v>89.163237311385416</v>
      </c>
      <c r="F23" s="67">
        <v>0</v>
      </c>
      <c r="G23" s="67">
        <f>E23*G15</f>
        <v>7.133058984910833</v>
      </c>
      <c r="H23" s="67">
        <v>50</v>
      </c>
      <c r="I23" s="67">
        <f t="shared" si="1"/>
        <v>46.296296296296248</v>
      </c>
    </row>
    <row r="24" spans="1:9" x14ac:dyDescent="0.3">
      <c r="D24" s="20">
        <v>8</v>
      </c>
      <c r="E24" s="22">
        <f>I23</f>
        <v>46.296296296296248</v>
      </c>
      <c r="F24" s="67">
        <v>0</v>
      </c>
      <c r="G24" s="22">
        <f>E24*G15</f>
        <v>3.7037037037036997</v>
      </c>
      <c r="H24" s="67">
        <v>50</v>
      </c>
      <c r="I24" s="67">
        <f t="shared" si="1"/>
        <v>0</v>
      </c>
    </row>
    <row r="28" spans="1:9" x14ac:dyDescent="0.3">
      <c r="A28" s="42" t="s">
        <v>211</v>
      </c>
      <c r="B28" t="s">
        <v>229</v>
      </c>
    </row>
    <row r="30" spans="1:9" x14ac:dyDescent="0.3">
      <c r="C30">
        <v>100</v>
      </c>
      <c r="D30" s="71">
        <v>5</v>
      </c>
    </row>
    <row r="31" spans="1:9" s="20" customFormat="1" x14ac:dyDescent="0.3">
      <c r="A31" s="25"/>
      <c r="D31" s="20" t="s">
        <v>84</v>
      </c>
      <c r="E31" s="20" t="s">
        <v>227</v>
      </c>
      <c r="F31" s="20" t="s">
        <v>117</v>
      </c>
    </row>
    <row r="32" spans="1:9" s="20" customFormat="1" x14ac:dyDescent="0.3">
      <c r="A32" s="25"/>
      <c r="D32" s="20">
        <v>1</v>
      </c>
      <c r="E32" s="43">
        <f>C30+D30</f>
        <v>105</v>
      </c>
      <c r="F32" s="166">
        <f>(E32-C30)/C30</f>
        <v>0.05</v>
      </c>
    </row>
    <row r="33" spans="1:9" s="20" customFormat="1" x14ac:dyDescent="0.3">
      <c r="A33" s="25"/>
      <c r="D33" s="20">
        <v>2</v>
      </c>
      <c r="E33" s="43">
        <f>E32+$D$30</f>
        <v>110</v>
      </c>
      <c r="F33" s="166">
        <f>(E33-E32)/E32</f>
        <v>4.7619047619047616E-2</v>
      </c>
      <c r="H33" s="166"/>
    </row>
    <row r="34" spans="1:9" s="20" customFormat="1" x14ac:dyDescent="0.3">
      <c r="A34" s="25"/>
      <c r="D34" s="20">
        <v>3</v>
      </c>
      <c r="E34" s="43">
        <f t="shared" ref="E34:E36" si="2">E33+$D$30</f>
        <v>115</v>
      </c>
      <c r="F34" s="166">
        <f t="shared" ref="F34:F36" si="3">(E34-E33)/E33</f>
        <v>4.5454545454545456E-2</v>
      </c>
    </row>
    <row r="35" spans="1:9" s="20" customFormat="1" x14ac:dyDescent="0.3">
      <c r="A35" s="25"/>
      <c r="D35" s="20">
        <v>4</v>
      </c>
      <c r="E35" s="43">
        <f t="shared" si="2"/>
        <v>120</v>
      </c>
      <c r="F35" s="166">
        <f t="shared" si="3"/>
        <v>4.3478260869565216E-2</v>
      </c>
    </row>
    <row r="36" spans="1:9" s="20" customFormat="1" x14ac:dyDescent="0.3">
      <c r="A36" s="25"/>
      <c r="D36" s="20">
        <v>5</v>
      </c>
      <c r="E36" s="43">
        <f t="shared" si="2"/>
        <v>125</v>
      </c>
      <c r="F36" s="167">
        <f t="shared" si="3"/>
        <v>4.1666666666666664E-2</v>
      </c>
    </row>
    <row r="37" spans="1:9" s="20" customFormat="1" x14ac:dyDescent="0.3">
      <c r="A37" s="25"/>
    </row>
    <row r="38" spans="1:9" x14ac:dyDescent="0.3">
      <c r="E38" s="168" t="s">
        <v>228</v>
      </c>
      <c r="F38" s="170">
        <f>AVERAGE(F32:F36)</f>
        <v>4.5643704121964987E-2</v>
      </c>
    </row>
    <row r="40" spans="1:9" x14ac:dyDescent="0.3">
      <c r="E40" s="168" t="s">
        <v>122</v>
      </c>
      <c r="F40" s="171" cm="1">
        <f t="array" ref="F40">GEOMEAN(1+F32:F36)-1</f>
        <v>4.5639552591273169E-2</v>
      </c>
    </row>
    <row r="44" spans="1:9" x14ac:dyDescent="0.3">
      <c r="A44" s="42" t="s">
        <v>230</v>
      </c>
    </row>
    <row r="46" spans="1:9" x14ac:dyDescent="0.3">
      <c r="E46" s="25" t="s">
        <v>200</v>
      </c>
      <c r="F46" s="25" t="s">
        <v>203</v>
      </c>
      <c r="G46" s="25" t="s">
        <v>204</v>
      </c>
      <c r="H46" s="25" t="s">
        <v>205</v>
      </c>
      <c r="I46" s="25" t="s">
        <v>206</v>
      </c>
    </row>
    <row r="47" spans="1:9" x14ac:dyDescent="0.3">
      <c r="E47" s="20" t="s">
        <v>201</v>
      </c>
      <c r="F47" s="136">
        <v>480000</v>
      </c>
      <c r="G47" s="20">
        <f>F47/F49</f>
        <v>0.4</v>
      </c>
      <c r="H47" s="21">
        <v>0.14000000000000001</v>
      </c>
      <c r="I47" s="21">
        <v>0.21</v>
      </c>
    </row>
    <row r="48" spans="1:9" ht="16.2" x14ac:dyDescent="0.45">
      <c r="E48" s="20" t="s">
        <v>202</v>
      </c>
      <c r="F48" s="137">
        <v>720000</v>
      </c>
      <c r="G48" s="20">
        <f>F48/F49</f>
        <v>0.6</v>
      </c>
      <c r="H48" s="21">
        <v>0.09</v>
      </c>
      <c r="I48" s="21">
        <v>0.06</v>
      </c>
    </row>
    <row r="49" spans="5:9" x14ac:dyDescent="0.3">
      <c r="E49" s="20"/>
      <c r="F49" s="138">
        <f>F47+F48</f>
        <v>1200000</v>
      </c>
      <c r="G49" s="20"/>
      <c r="H49" s="20"/>
      <c r="I49" s="20"/>
    </row>
    <row r="50" spans="5:9" x14ac:dyDescent="0.3">
      <c r="E50" s="20"/>
      <c r="F50" s="20"/>
      <c r="G50" s="20"/>
      <c r="H50" s="20" t="s">
        <v>152</v>
      </c>
      <c r="I50" s="20">
        <v>-1</v>
      </c>
    </row>
    <row r="52" spans="5:9" ht="15" thickBot="1" x14ac:dyDescent="0.35"/>
    <row r="53" spans="5:9" x14ac:dyDescent="0.3">
      <c r="F53" s="172" t="s">
        <v>207</v>
      </c>
      <c r="G53" s="173">
        <f>SUMPRODUCT(G47:G48,H47:H48)</f>
        <v>0.11000000000000001</v>
      </c>
    </row>
    <row r="54" spans="5:9" x14ac:dyDescent="0.3">
      <c r="F54" s="85"/>
      <c r="G54" s="37"/>
    </row>
    <row r="55" spans="5:9" ht="15" thickBot="1" x14ac:dyDescent="0.35">
      <c r="F55" s="174" t="s">
        <v>209</v>
      </c>
      <c r="G55" s="175">
        <f>SQRT(G47^2*I47^2+G48^2*I48^2+2*G47*G48*I47*I48*I50)</f>
        <v>4.8000000000000015E-2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DD33E-2AE8-4D81-B5D9-63A9B5E0A43E}">
  <sheetPr>
    <tabColor theme="7" tint="0.39997558519241921"/>
  </sheetPr>
  <dimension ref="B3:Q170"/>
  <sheetViews>
    <sheetView topLeftCell="I30" zoomScale="137" zoomScaleNormal="137" workbookViewId="0">
      <selection activeCell="J102" sqref="J102"/>
    </sheetView>
  </sheetViews>
  <sheetFormatPr defaultRowHeight="14.4" x14ac:dyDescent="0.3"/>
  <cols>
    <col min="6" max="6" width="10.21875" bestFit="1" customWidth="1"/>
    <col min="11" max="11" width="9.77734375" bestFit="1" customWidth="1"/>
    <col min="15" max="15" width="9.77734375" bestFit="1" customWidth="1"/>
    <col min="17" max="17" width="9.77734375" bestFit="1" customWidth="1"/>
  </cols>
  <sheetData>
    <row r="3" spans="3:13" ht="15" thickBot="1" x14ac:dyDescent="0.35"/>
    <row r="4" spans="3:13" ht="16.2" thickBot="1" x14ac:dyDescent="0.35">
      <c r="C4" s="131" t="s">
        <v>231</v>
      </c>
      <c r="D4" s="176" t="s">
        <v>232</v>
      </c>
      <c r="E4" s="176"/>
      <c r="F4" s="177"/>
    </row>
    <row r="9" spans="3:13" x14ac:dyDescent="0.3">
      <c r="G9" s="42" t="s">
        <v>233</v>
      </c>
    </row>
    <row r="11" spans="3:13" x14ac:dyDescent="0.3">
      <c r="G11" t="s">
        <v>234</v>
      </c>
    </row>
    <row r="12" spans="3:13" x14ac:dyDescent="0.3">
      <c r="G12" t="s">
        <v>235</v>
      </c>
    </row>
    <row r="14" spans="3:13" ht="15" thickBot="1" x14ac:dyDescent="0.35"/>
    <row r="15" spans="3:13" ht="15" thickBot="1" x14ac:dyDescent="0.35">
      <c r="K15" s="437" t="s">
        <v>241</v>
      </c>
      <c r="L15" s="438"/>
      <c r="M15" s="439"/>
    </row>
    <row r="16" spans="3:13" ht="15" thickBot="1" x14ac:dyDescent="0.35">
      <c r="C16" s="437" t="s">
        <v>236</v>
      </c>
      <c r="D16" s="439"/>
      <c r="F16" s="443" t="s">
        <v>240</v>
      </c>
      <c r="G16" s="444"/>
      <c r="H16" s="445"/>
    </row>
    <row r="17" spans="3:13" ht="15" thickBot="1" x14ac:dyDescent="0.35">
      <c r="K17" s="25" t="s">
        <v>206</v>
      </c>
      <c r="L17" s="25" t="s">
        <v>237</v>
      </c>
      <c r="M17" s="25" t="s">
        <v>239</v>
      </c>
    </row>
    <row r="18" spans="3:13" ht="15" thickBot="1" x14ac:dyDescent="0.35">
      <c r="C18" t="s">
        <v>60</v>
      </c>
      <c r="D18">
        <v>2</v>
      </c>
      <c r="F18" s="178" t="s">
        <v>237</v>
      </c>
      <c r="G18" s="179" t="s">
        <v>8</v>
      </c>
      <c r="H18" s="180">
        <f>D20+1/2*D18*D19^2</f>
        <v>6.0000000000000005E-2</v>
      </c>
      <c r="J18" s="20" t="s">
        <v>242</v>
      </c>
      <c r="K18" s="181">
        <f>D19</f>
        <v>0.1</v>
      </c>
      <c r="L18" s="182">
        <f>H18</f>
        <v>6.0000000000000005E-2</v>
      </c>
      <c r="M18" s="183"/>
    </row>
    <row r="19" spans="3:13" x14ac:dyDescent="0.3">
      <c r="C19" t="s">
        <v>238</v>
      </c>
      <c r="D19" s="44">
        <v>0.1</v>
      </c>
      <c r="J19" s="166">
        <f>$D$20+1/2*$D$18*K19^2</f>
        <v>0.05</v>
      </c>
      <c r="K19" s="21">
        <v>0</v>
      </c>
      <c r="L19" s="166">
        <f t="dataTable" ref="L19:L24" dt2D="0" dtr="0" r1="D19"/>
        <v>0.05</v>
      </c>
      <c r="M19" s="21"/>
    </row>
    <row r="20" spans="3:13" x14ac:dyDescent="0.3">
      <c r="C20" t="s">
        <v>239</v>
      </c>
      <c r="D20">
        <v>0.05</v>
      </c>
      <c r="J20" s="166">
        <f t="shared" ref="J20:J24" si="0">$D$20+1/2*$D$18*K20^2</f>
        <v>5.2500000000000005E-2</v>
      </c>
      <c r="K20" s="21">
        <v>0.05</v>
      </c>
      <c r="L20" s="166">
        <v>5.2500000000000005E-2</v>
      </c>
      <c r="M20" s="21"/>
    </row>
    <row r="21" spans="3:13" x14ac:dyDescent="0.3">
      <c r="J21" s="166">
        <f t="shared" si="0"/>
        <v>6.0000000000000005E-2</v>
      </c>
      <c r="K21" s="21">
        <v>0.1</v>
      </c>
      <c r="L21" s="166">
        <v>6.0000000000000005E-2</v>
      </c>
      <c r="M21" s="21"/>
    </row>
    <row r="22" spans="3:13" x14ac:dyDescent="0.3">
      <c r="J22" s="166">
        <f t="shared" si="0"/>
        <v>7.2500000000000009E-2</v>
      </c>
      <c r="K22" s="21">
        <v>0.15</v>
      </c>
      <c r="L22" s="166">
        <v>7.2500000000000009E-2</v>
      </c>
      <c r="M22" s="21"/>
    </row>
    <row r="23" spans="3:13" x14ac:dyDescent="0.3">
      <c r="J23" s="166">
        <f t="shared" si="0"/>
        <v>9.0000000000000011E-2</v>
      </c>
      <c r="K23" s="21">
        <v>0.2</v>
      </c>
      <c r="L23" s="166">
        <v>9.0000000000000011E-2</v>
      </c>
      <c r="M23" s="21"/>
    </row>
    <row r="24" spans="3:13" x14ac:dyDescent="0.3">
      <c r="J24" s="166">
        <f t="shared" si="0"/>
        <v>0.1125</v>
      </c>
      <c r="K24" s="21">
        <v>0.25</v>
      </c>
      <c r="L24" s="166">
        <v>0.1125</v>
      </c>
      <c r="M24" s="21"/>
    </row>
    <row r="25" spans="3:13" ht="15" thickBot="1" x14ac:dyDescent="0.35"/>
    <row r="26" spans="3:13" ht="15" thickBot="1" x14ac:dyDescent="0.35">
      <c r="K26" s="437" t="s">
        <v>243</v>
      </c>
      <c r="L26" s="438"/>
      <c r="M26" s="439"/>
    </row>
    <row r="27" spans="3:13" ht="15" thickBot="1" x14ac:dyDescent="0.35">
      <c r="C27" t="s">
        <v>60</v>
      </c>
      <c r="D27">
        <v>3</v>
      </c>
      <c r="F27" s="178" t="s">
        <v>237</v>
      </c>
      <c r="G27" s="179" t="s">
        <v>8</v>
      </c>
      <c r="H27" s="180">
        <f>D29+1/2*D27*D28^2</f>
        <v>7.4999999999999997E-2</v>
      </c>
    </row>
    <row r="28" spans="3:13" x14ac:dyDescent="0.3">
      <c r="C28" t="s">
        <v>238</v>
      </c>
      <c r="D28" s="44">
        <v>0.1</v>
      </c>
      <c r="K28" s="25" t="s">
        <v>206</v>
      </c>
      <c r="L28" s="25" t="s">
        <v>237</v>
      </c>
      <c r="M28" s="25" t="s">
        <v>239</v>
      </c>
    </row>
    <row r="29" spans="3:13" x14ac:dyDescent="0.3">
      <c r="C29" t="s">
        <v>239</v>
      </c>
      <c r="D29">
        <v>0.06</v>
      </c>
      <c r="J29" s="20" t="s">
        <v>242</v>
      </c>
      <c r="K29" s="181">
        <f>D28</f>
        <v>0.1</v>
      </c>
      <c r="L29" s="182">
        <f>H27</f>
        <v>7.4999999999999997E-2</v>
      </c>
      <c r="M29" s="183"/>
    </row>
    <row r="30" spans="3:13" x14ac:dyDescent="0.3">
      <c r="J30" s="166">
        <f>$D$29+1/2*$D$27*K30^2</f>
        <v>0.06</v>
      </c>
      <c r="K30" s="21">
        <v>0</v>
      </c>
      <c r="L30" s="166">
        <f t="dataTable" ref="L30:L35" dt2D="0" dtr="0" r1="D28"/>
        <v>0.06</v>
      </c>
      <c r="M30" s="21"/>
    </row>
    <row r="31" spans="3:13" x14ac:dyDescent="0.3">
      <c r="J31" s="166">
        <f t="shared" ref="J31:J35" si="1">$D$29+1/2*$D$27*K31^2</f>
        <v>6.3750000000000001E-2</v>
      </c>
      <c r="K31" s="21">
        <v>0.05</v>
      </c>
      <c r="L31" s="166">
        <v>6.3750000000000001E-2</v>
      </c>
      <c r="M31" s="21"/>
    </row>
    <row r="32" spans="3:13" x14ac:dyDescent="0.3">
      <c r="J32" s="166">
        <f t="shared" si="1"/>
        <v>7.4999999999999997E-2</v>
      </c>
      <c r="K32" s="21">
        <v>0.1</v>
      </c>
      <c r="L32" s="166">
        <v>7.4999999999999997E-2</v>
      </c>
      <c r="M32" s="21"/>
    </row>
    <row r="33" spans="3:13" x14ac:dyDescent="0.3">
      <c r="J33" s="166">
        <f t="shared" si="1"/>
        <v>9.375E-2</v>
      </c>
      <c r="K33" s="21">
        <v>0.15</v>
      </c>
      <c r="L33" s="166">
        <v>9.375E-2</v>
      </c>
      <c r="M33" s="21"/>
    </row>
    <row r="34" spans="3:13" x14ac:dyDescent="0.3">
      <c r="J34" s="166">
        <f t="shared" si="1"/>
        <v>0.12000000000000001</v>
      </c>
      <c r="K34" s="21">
        <v>0.2</v>
      </c>
      <c r="L34" s="166">
        <v>0.12000000000000001</v>
      </c>
      <c r="M34" s="21"/>
    </row>
    <row r="35" spans="3:13" x14ac:dyDescent="0.3">
      <c r="J35" s="166">
        <f t="shared" si="1"/>
        <v>0.15375</v>
      </c>
      <c r="K35" s="21">
        <v>0.25</v>
      </c>
      <c r="L35" s="166">
        <v>0.15375</v>
      </c>
      <c r="M35" s="21"/>
    </row>
    <row r="36" spans="3:13" ht="15" thickBot="1" x14ac:dyDescent="0.35"/>
    <row r="37" spans="3:13" ht="15" thickBot="1" x14ac:dyDescent="0.35">
      <c r="K37" s="437" t="s">
        <v>244</v>
      </c>
      <c r="L37" s="438"/>
      <c r="M37" s="439"/>
    </row>
    <row r="38" spans="3:13" ht="15" thickBot="1" x14ac:dyDescent="0.35">
      <c r="C38" t="s">
        <v>60</v>
      </c>
      <c r="D38">
        <v>4</v>
      </c>
      <c r="F38" s="178" t="s">
        <v>237</v>
      </c>
      <c r="G38" s="179" t="s">
        <v>8</v>
      </c>
      <c r="H38" s="180">
        <f>D40+1/2*D38*D39^2</f>
        <v>9.0000000000000011E-2</v>
      </c>
    </row>
    <row r="39" spans="3:13" x14ac:dyDescent="0.3">
      <c r="C39" t="s">
        <v>238</v>
      </c>
      <c r="D39" s="44">
        <v>0.1</v>
      </c>
      <c r="K39" s="25" t="s">
        <v>206</v>
      </c>
      <c r="L39" s="25" t="s">
        <v>237</v>
      </c>
      <c r="M39" s="25" t="s">
        <v>239</v>
      </c>
    </row>
    <row r="40" spans="3:13" x14ac:dyDescent="0.3">
      <c r="C40" t="s">
        <v>239</v>
      </c>
      <c r="D40">
        <v>7.0000000000000007E-2</v>
      </c>
      <c r="J40" s="20" t="s">
        <v>242</v>
      </c>
      <c r="K40" s="181">
        <f>D39</f>
        <v>0.1</v>
      </c>
      <c r="L40" s="182">
        <f>H38</f>
        <v>9.0000000000000011E-2</v>
      </c>
      <c r="M40" s="183"/>
    </row>
    <row r="41" spans="3:13" x14ac:dyDescent="0.3">
      <c r="J41" s="166">
        <f>$D$40+1/2*$D$38*K41^2</f>
        <v>7.0000000000000007E-2</v>
      </c>
      <c r="K41" s="21">
        <v>0</v>
      </c>
      <c r="L41" s="166">
        <f t="dataTable" ref="L41:L46" dt2D="0" dtr="0" r1="D39"/>
        <v>7.0000000000000007E-2</v>
      </c>
      <c r="M41" s="21"/>
    </row>
    <row r="42" spans="3:13" x14ac:dyDescent="0.3">
      <c r="J42" s="166">
        <f t="shared" ref="J42:J46" si="2">$D$40+1/2*$D$38*K42^2</f>
        <v>7.5000000000000011E-2</v>
      </c>
      <c r="K42" s="21">
        <v>0.05</v>
      </c>
      <c r="L42" s="166">
        <v>7.5000000000000011E-2</v>
      </c>
      <c r="M42" s="21"/>
    </row>
    <row r="43" spans="3:13" x14ac:dyDescent="0.3">
      <c r="J43" s="166">
        <f t="shared" si="2"/>
        <v>9.0000000000000011E-2</v>
      </c>
      <c r="K43" s="21">
        <v>0.1</v>
      </c>
      <c r="L43" s="166">
        <v>9.0000000000000011E-2</v>
      </c>
      <c r="M43" s="21"/>
    </row>
    <row r="44" spans="3:13" x14ac:dyDescent="0.3">
      <c r="J44" s="166">
        <f t="shared" si="2"/>
        <v>0.115</v>
      </c>
      <c r="K44" s="21">
        <v>0.15</v>
      </c>
      <c r="L44" s="166">
        <v>0.115</v>
      </c>
      <c r="M44" s="21"/>
    </row>
    <row r="45" spans="3:13" x14ac:dyDescent="0.3">
      <c r="J45" s="166">
        <f t="shared" si="2"/>
        <v>0.15000000000000002</v>
      </c>
      <c r="K45" s="21">
        <v>0.2</v>
      </c>
      <c r="L45" s="166">
        <v>0.15000000000000002</v>
      </c>
      <c r="M45" s="21"/>
    </row>
    <row r="46" spans="3:13" x14ac:dyDescent="0.3">
      <c r="J46" s="166">
        <f t="shared" si="2"/>
        <v>0.19500000000000001</v>
      </c>
      <c r="K46" s="21">
        <v>0.25</v>
      </c>
      <c r="L46" s="166">
        <v>0.19500000000000001</v>
      </c>
      <c r="M46" s="21"/>
    </row>
    <row r="53" spans="3:13" ht="15" thickBot="1" x14ac:dyDescent="0.35"/>
    <row r="54" spans="3:13" ht="15" thickBot="1" x14ac:dyDescent="0.35">
      <c r="K54" s="437" t="s">
        <v>241</v>
      </c>
      <c r="L54" s="438"/>
      <c r="M54" s="439"/>
    </row>
    <row r="55" spans="3:13" ht="15" thickBot="1" x14ac:dyDescent="0.35">
      <c r="C55" s="437" t="s">
        <v>236</v>
      </c>
      <c r="D55" s="439"/>
      <c r="F55" s="443" t="s">
        <v>240</v>
      </c>
      <c r="G55" s="444"/>
      <c r="H55" s="445"/>
    </row>
    <row r="56" spans="3:13" ht="15" thickBot="1" x14ac:dyDescent="0.35">
      <c r="K56" s="25" t="s">
        <v>206</v>
      </c>
      <c r="L56" s="25" t="s">
        <v>237</v>
      </c>
      <c r="M56" s="25" t="s">
        <v>239</v>
      </c>
    </row>
    <row r="57" spans="3:13" ht="15" thickBot="1" x14ac:dyDescent="0.35">
      <c r="C57" t="s">
        <v>60</v>
      </c>
      <c r="D57">
        <v>2</v>
      </c>
      <c r="F57" s="178" t="s">
        <v>237</v>
      </c>
      <c r="G57" s="179" t="s">
        <v>8</v>
      </c>
      <c r="H57" s="180">
        <f>D59+1/2*D57*D58^2</f>
        <v>6.0000000000000005E-2</v>
      </c>
      <c r="J57" s="20"/>
      <c r="K57" s="181">
        <f>D58</f>
        <v>0.1</v>
      </c>
      <c r="L57" s="182">
        <f>H57</f>
        <v>6.0000000000000005E-2</v>
      </c>
      <c r="M57" s="183"/>
    </row>
    <row r="58" spans="3:13" x14ac:dyDescent="0.3">
      <c r="C58" t="s">
        <v>238</v>
      </c>
      <c r="D58" s="44">
        <v>0.1</v>
      </c>
      <c r="J58" s="166"/>
      <c r="K58" s="21">
        <v>0</v>
      </c>
      <c r="L58" s="166">
        <v>0.05</v>
      </c>
      <c r="M58" s="21"/>
    </row>
    <row r="59" spans="3:13" x14ac:dyDescent="0.3">
      <c r="C59" t="s">
        <v>239</v>
      </c>
      <c r="D59">
        <v>0.05</v>
      </c>
      <c r="J59" s="166"/>
      <c r="K59" s="21">
        <v>0.05</v>
      </c>
      <c r="L59" s="166">
        <v>5.2500000000000005E-2</v>
      </c>
      <c r="M59" s="21"/>
    </row>
    <row r="60" spans="3:13" x14ac:dyDescent="0.3">
      <c r="J60" s="166"/>
      <c r="K60" s="21">
        <v>0.1</v>
      </c>
      <c r="L60" s="166">
        <v>6.0000000000000005E-2</v>
      </c>
      <c r="M60" s="21"/>
    </row>
    <row r="61" spans="3:13" x14ac:dyDescent="0.3">
      <c r="J61" s="166"/>
      <c r="K61" s="21">
        <v>0.15</v>
      </c>
      <c r="L61" s="166">
        <v>7.2500000000000009E-2</v>
      </c>
      <c r="M61" s="21"/>
    </row>
    <row r="62" spans="3:13" x14ac:dyDescent="0.3">
      <c r="J62" s="166"/>
      <c r="K62" s="21">
        <v>0.2</v>
      </c>
      <c r="L62" s="166">
        <v>9.0000000000000011E-2</v>
      </c>
      <c r="M62" s="21"/>
    </row>
    <row r="63" spans="3:13" x14ac:dyDescent="0.3">
      <c r="J63" s="166"/>
      <c r="K63" s="21">
        <v>0.25</v>
      </c>
      <c r="L63" s="166">
        <v>0.1125</v>
      </c>
      <c r="M63" s="21"/>
    </row>
    <row r="64" spans="3:13" ht="15" thickBot="1" x14ac:dyDescent="0.35"/>
    <row r="65" spans="3:13" ht="15" thickBot="1" x14ac:dyDescent="0.35">
      <c r="K65" s="437" t="s">
        <v>245</v>
      </c>
      <c r="L65" s="438"/>
      <c r="M65" s="439"/>
    </row>
    <row r="66" spans="3:13" ht="15" thickBot="1" x14ac:dyDescent="0.35">
      <c r="C66" t="s">
        <v>60</v>
      </c>
      <c r="D66">
        <v>2</v>
      </c>
      <c r="F66" s="178" t="s">
        <v>237</v>
      </c>
      <c r="G66" s="179" t="s">
        <v>8</v>
      </c>
      <c r="H66" s="180">
        <f>D68+1/2*D66*D67^2</f>
        <v>7.0000000000000007E-2</v>
      </c>
    </row>
    <row r="67" spans="3:13" x14ac:dyDescent="0.3">
      <c r="C67" t="s">
        <v>238</v>
      </c>
      <c r="D67" s="44">
        <v>0.1</v>
      </c>
      <c r="K67" s="25" t="s">
        <v>206</v>
      </c>
      <c r="L67" s="25" t="s">
        <v>237</v>
      </c>
      <c r="M67" s="25" t="s">
        <v>239</v>
      </c>
    </row>
    <row r="68" spans="3:13" x14ac:dyDescent="0.3">
      <c r="C68" t="s">
        <v>239</v>
      </c>
      <c r="D68">
        <v>0.06</v>
      </c>
      <c r="J68" s="20"/>
      <c r="K68" s="181">
        <f>D67</f>
        <v>0.1</v>
      </c>
      <c r="L68" s="182">
        <f>H66</f>
        <v>7.0000000000000007E-2</v>
      </c>
      <c r="M68" s="183"/>
    </row>
    <row r="69" spans="3:13" x14ac:dyDescent="0.3">
      <c r="J69" s="166"/>
      <c r="K69" s="21">
        <v>0</v>
      </c>
      <c r="L69" s="166">
        <f t="dataTable" ref="L69:L74" dt2D="0" dtr="0" r1="D67"/>
        <v>0.06</v>
      </c>
      <c r="M69" s="21"/>
    </row>
    <row r="70" spans="3:13" x14ac:dyDescent="0.3">
      <c r="J70" s="166"/>
      <c r="K70" s="21">
        <v>0.05</v>
      </c>
      <c r="L70" s="166">
        <v>6.25E-2</v>
      </c>
      <c r="M70" s="21"/>
    </row>
    <row r="71" spans="3:13" x14ac:dyDescent="0.3">
      <c r="J71" s="166"/>
      <c r="K71" s="21">
        <v>0.1</v>
      </c>
      <c r="L71" s="166">
        <v>7.0000000000000007E-2</v>
      </c>
      <c r="M71" s="21"/>
    </row>
    <row r="72" spans="3:13" x14ac:dyDescent="0.3">
      <c r="J72" s="166"/>
      <c r="K72" s="21">
        <v>0.15</v>
      </c>
      <c r="L72" s="166">
        <v>8.249999999999999E-2</v>
      </c>
      <c r="M72" s="21"/>
    </row>
    <row r="73" spans="3:13" x14ac:dyDescent="0.3">
      <c r="J73" s="166"/>
      <c r="K73" s="21">
        <v>0.2</v>
      </c>
      <c r="L73" s="166">
        <v>0.1</v>
      </c>
      <c r="M73" s="21"/>
    </row>
    <row r="74" spans="3:13" x14ac:dyDescent="0.3">
      <c r="J74" s="166"/>
      <c r="K74" s="21">
        <v>0.25</v>
      </c>
      <c r="L74" s="166">
        <v>0.1225</v>
      </c>
      <c r="M74" s="21"/>
    </row>
    <row r="75" spans="3:13" ht="15" thickBot="1" x14ac:dyDescent="0.35"/>
    <row r="76" spans="3:13" ht="15" thickBot="1" x14ac:dyDescent="0.35">
      <c r="K76" s="437" t="s">
        <v>246</v>
      </c>
      <c r="L76" s="438"/>
      <c r="M76" s="439"/>
    </row>
    <row r="77" spans="3:13" ht="15" thickBot="1" x14ac:dyDescent="0.35">
      <c r="C77" t="s">
        <v>60</v>
      </c>
      <c r="D77">
        <v>2</v>
      </c>
      <c r="F77" s="178" t="s">
        <v>237</v>
      </c>
      <c r="G77" s="179" t="s">
        <v>8</v>
      </c>
      <c r="H77" s="180">
        <f>D79+1/2*D77*D78^2</f>
        <v>8.0000000000000016E-2</v>
      </c>
    </row>
    <row r="78" spans="3:13" x14ac:dyDescent="0.3">
      <c r="C78" t="s">
        <v>238</v>
      </c>
      <c r="D78" s="44">
        <v>0.1</v>
      </c>
      <c r="K78" s="25" t="s">
        <v>206</v>
      </c>
      <c r="L78" s="25" t="s">
        <v>237</v>
      </c>
      <c r="M78" s="25" t="s">
        <v>239</v>
      </c>
    </row>
    <row r="79" spans="3:13" x14ac:dyDescent="0.3">
      <c r="C79" t="s">
        <v>239</v>
      </c>
      <c r="D79">
        <v>7.0000000000000007E-2</v>
      </c>
      <c r="J79" s="20" t="s">
        <v>242</v>
      </c>
      <c r="K79" s="181">
        <f>D78</f>
        <v>0.1</v>
      </c>
      <c r="L79" s="182">
        <f>H77</f>
        <v>8.0000000000000016E-2</v>
      </c>
      <c r="M79" s="183"/>
    </row>
    <row r="80" spans="3:13" x14ac:dyDescent="0.3">
      <c r="J80" s="166">
        <f>$D$40+1/2*$D$38*K80^2</f>
        <v>7.0000000000000007E-2</v>
      </c>
      <c r="K80" s="21">
        <v>0</v>
      </c>
      <c r="L80" s="166">
        <f t="dataTable" ref="L80:L85" dt2D="0" dtr="0" r1="D78"/>
        <v>7.0000000000000007E-2</v>
      </c>
      <c r="M80" s="21"/>
    </row>
    <row r="81" spans="2:14" x14ac:dyDescent="0.3">
      <c r="J81" s="166">
        <f t="shared" ref="J81:J85" si="3">$D$40+1/2*$D$38*K81^2</f>
        <v>7.5000000000000011E-2</v>
      </c>
      <c r="K81" s="21">
        <v>0.05</v>
      </c>
      <c r="L81" s="166">
        <v>7.2500000000000009E-2</v>
      </c>
      <c r="M81" s="21"/>
    </row>
    <row r="82" spans="2:14" x14ac:dyDescent="0.3">
      <c r="J82" s="166">
        <f t="shared" si="3"/>
        <v>9.0000000000000011E-2</v>
      </c>
      <c r="K82" s="21">
        <v>0.1</v>
      </c>
      <c r="L82" s="166">
        <v>8.0000000000000016E-2</v>
      </c>
      <c r="M82" s="21"/>
    </row>
    <row r="83" spans="2:14" x14ac:dyDescent="0.3">
      <c r="J83" s="166">
        <f t="shared" si="3"/>
        <v>0.115</v>
      </c>
      <c r="K83" s="21">
        <v>0.15</v>
      </c>
      <c r="L83" s="166">
        <v>9.2499999999999999E-2</v>
      </c>
      <c r="M83" s="21"/>
    </row>
    <row r="84" spans="2:14" x14ac:dyDescent="0.3">
      <c r="J84" s="166">
        <f t="shared" si="3"/>
        <v>0.15000000000000002</v>
      </c>
      <c r="K84" s="21">
        <v>0.2</v>
      </c>
      <c r="L84" s="166">
        <v>0.11000000000000001</v>
      </c>
      <c r="M84" s="21"/>
    </row>
    <row r="85" spans="2:14" x14ac:dyDescent="0.3">
      <c r="J85" s="166">
        <f t="shared" si="3"/>
        <v>0.19500000000000001</v>
      </c>
      <c r="K85" s="21">
        <v>0.25</v>
      </c>
      <c r="L85" s="166">
        <v>0.13250000000000001</v>
      </c>
      <c r="M85" s="21"/>
    </row>
    <row r="90" spans="2:14" x14ac:dyDescent="0.3"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</row>
    <row r="91" spans="2:14" ht="15.6" x14ac:dyDescent="0.3">
      <c r="B91" s="184"/>
      <c r="C91" s="185" t="s">
        <v>247</v>
      </c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</row>
    <row r="92" spans="2:14" x14ac:dyDescent="0.3"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</row>
    <row r="93" spans="2:14" x14ac:dyDescent="0.3">
      <c r="B93" s="184"/>
      <c r="C93" s="186" t="s">
        <v>248</v>
      </c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</row>
    <row r="94" spans="2:14" x14ac:dyDescent="0.3">
      <c r="B94" s="184"/>
      <c r="C94" s="186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</row>
    <row r="95" spans="2:14" x14ac:dyDescent="0.3">
      <c r="B95" s="184"/>
      <c r="C95" s="186" t="s">
        <v>249</v>
      </c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</row>
    <row r="96" spans="2:14" x14ac:dyDescent="0.3">
      <c r="B96" s="184"/>
      <c r="C96" s="186" t="s">
        <v>250</v>
      </c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</row>
    <row r="97" spans="2:14" x14ac:dyDescent="0.3">
      <c r="B97" s="184"/>
      <c r="C97" s="186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</row>
    <row r="98" spans="2:14" x14ac:dyDescent="0.3">
      <c r="B98" s="184"/>
      <c r="C98" s="186" t="s">
        <v>251</v>
      </c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</row>
    <row r="99" spans="2:14" x14ac:dyDescent="0.3">
      <c r="B99" s="184"/>
      <c r="C99" s="186" t="s">
        <v>252</v>
      </c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</row>
    <row r="100" spans="2:14" x14ac:dyDescent="0.3"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</row>
    <row r="102" spans="2:14" x14ac:dyDescent="0.3">
      <c r="B102" s="46" t="s">
        <v>256</v>
      </c>
    </row>
    <row r="104" spans="2:14" ht="15.6" x14ac:dyDescent="0.35">
      <c r="C104" t="s">
        <v>253</v>
      </c>
      <c r="D104" t="s">
        <v>8</v>
      </c>
      <c r="E104" s="47" t="s">
        <v>254</v>
      </c>
    </row>
    <row r="105" spans="2:14" ht="23.4" x14ac:dyDescent="0.55000000000000004">
      <c r="E105" t="s">
        <v>255</v>
      </c>
    </row>
    <row r="106" spans="2:14" ht="15" thickBot="1" x14ac:dyDescent="0.35"/>
    <row r="107" spans="2:14" x14ac:dyDescent="0.3">
      <c r="B107" s="32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5"/>
    </row>
    <row r="108" spans="2:14" x14ac:dyDescent="0.3">
      <c r="B108" s="85"/>
      <c r="C108" s="46" t="s">
        <v>257</v>
      </c>
      <c r="N108" s="37"/>
    </row>
    <row r="109" spans="2:14" x14ac:dyDescent="0.3">
      <c r="B109" s="85"/>
      <c r="N109" s="37"/>
    </row>
    <row r="110" spans="2:14" x14ac:dyDescent="0.3">
      <c r="B110" s="85"/>
      <c r="C110" t="s">
        <v>258</v>
      </c>
      <c r="N110" s="37"/>
    </row>
    <row r="111" spans="2:14" x14ac:dyDescent="0.3">
      <c r="B111" s="85"/>
      <c r="N111" s="37"/>
    </row>
    <row r="112" spans="2:14" x14ac:dyDescent="0.3">
      <c r="B112" s="85"/>
      <c r="C112" t="s">
        <v>259</v>
      </c>
      <c r="N112" s="37"/>
    </row>
    <row r="113" spans="2:17" x14ac:dyDescent="0.3">
      <c r="B113" s="85"/>
      <c r="N113" s="37"/>
    </row>
    <row r="114" spans="2:17" x14ac:dyDescent="0.3">
      <c r="B114" s="85" t="s">
        <v>260</v>
      </c>
      <c r="C114" t="s">
        <v>261</v>
      </c>
      <c r="N114" s="37"/>
    </row>
    <row r="115" spans="2:17" x14ac:dyDescent="0.3">
      <c r="B115" s="85"/>
      <c r="C115" t="s">
        <v>262</v>
      </c>
      <c r="N115" s="37"/>
    </row>
    <row r="116" spans="2:17" x14ac:dyDescent="0.3">
      <c r="B116" s="85"/>
      <c r="N116" s="37"/>
    </row>
    <row r="117" spans="2:17" x14ac:dyDescent="0.3">
      <c r="B117" s="85" t="s">
        <v>263</v>
      </c>
      <c r="C117" t="s">
        <v>264</v>
      </c>
      <c r="N117" s="37"/>
    </row>
    <row r="118" spans="2:17" ht="15" thickBot="1" x14ac:dyDescent="0.35">
      <c r="B118" s="60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40"/>
    </row>
    <row r="121" spans="2:17" ht="15" thickBot="1" x14ac:dyDescent="0.35"/>
    <row r="122" spans="2:17" ht="15" thickBot="1" x14ac:dyDescent="0.35">
      <c r="D122" s="437" t="s">
        <v>269</v>
      </c>
      <c r="E122" s="438"/>
      <c r="F122" s="438"/>
      <c r="G122" s="439"/>
      <c r="I122" s="437" t="s">
        <v>272</v>
      </c>
      <c r="J122" s="438"/>
      <c r="K122" s="438"/>
      <c r="L122" s="439"/>
      <c r="N122" s="437" t="s">
        <v>273</v>
      </c>
      <c r="O122" s="438"/>
      <c r="P122" s="438"/>
      <c r="Q122" s="439"/>
    </row>
    <row r="124" spans="2:17" x14ac:dyDescent="0.3">
      <c r="D124" t="s">
        <v>200</v>
      </c>
      <c r="E124" t="s">
        <v>117</v>
      </c>
      <c r="F124" t="s">
        <v>267</v>
      </c>
      <c r="G124" t="s">
        <v>204</v>
      </c>
      <c r="I124" t="s">
        <v>200</v>
      </c>
      <c r="J124" t="s">
        <v>117</v>
      </c>
      <c r="K124" t="s">
        <v>267</v>
      </c>
      <c r="L124" t="s">
        <v>204</v>
      </c>
      <c r="N124" t="s">
        <v>200</v>
      </c>
      <c r="O124" t="s">
        <v>117</v>
      </c>
      <c r="P124" t="s">
        <v>267</v>
      </c>
      <c r="Q124" t="s">
        <v>204</v>
      </c>
    </row>
    <row r="125" spans="2:17" x14ac:dyDescent="0.3">
      <c r="D125" t="s">
        <v>265</v>
      </c>
      <c r="E125" s="44">
        <v>0.24</v>
      </c>
      <c r="F125" s="44">
        <v>0.36</v>
      </c>
      <c r="G125">
        <v>0.25</v>
      </c>
      <c r="I125" t="s">
        <v>265</v>
      </c>
      <c r="J125" s="44">
        <v>0.24</v>
      </c>
      <c r="K125" s="44">
        <v>0.36</v>
      </c>
      <c r="L125" s="65">
        <f>(J125-J126)/(4*K125^2)</f>
        <v>0.32793209876543211</v>
      </c>
      <c r="N125" t="s">
        <v>265</v>
      </c>
      <c r="O125" s="44">
        <v>0.24</v>
      </c>
      <c r="P125" s="44">
        <v>0.36</v>
      </c>
      <c r="Q125" s="192">
        <v>0.32793209816760621</v>
      </c>
    </row>
    <row r="126" spans="2:17" x14ac:dyDescent="0.3">
      <c r="D126" t="s">
        <v>266</v>
      </c>
      <c r="E126" s="44">
        <v>7.0000000000000007E-2</v>
      </c>
      <c r="F126" s="44">
        <v>0</v>
      </c>
      <c r="G126">
        <v>0.75</v>
      </c>
      <c r="I126" t="s">
        <v>266</v>
      </c>
      <c r="J126" s="44">
        <v>7.0000000000000007E-2</v>
      </c>
      <c r="K126" s="44">
        <v>0</v>
      </c>
      <c r="L126" s="65">
        <f>1-L125</f>
        <v>0.67206790123456783</v>
      </c>
      <c r="N126" t="s">
        <v>266</v>
      </c>
      <c r="O126" s="44">
        <v>7.0000000000000007E-2</v>
      </c>
      <c r="P126" s="44">
        <v>0</v>
      </c>
      <c r="Q126" s="193">
        <v>0.67206790183239373</v>
      </c>
    </row>
    <row r="127" spans="2:17" x14ac:dyDescent="0.3">
      <c r="Q127" s="92">
        <f>Q125+Q126</f>
        <v>1</v>
      </c>
    </row>
    <row r="129" spans="2:17" x14ac:dyDescent="0.3">
      <c r="E129" t="s">
        <v>268</v>
      </c>
      <c r="G129" s="84">
        <f>SUMPRODUCT(G125:G126,E125:E126)</f>
        <v>0.1125</v>
      </c>
      <c r="J129" t="s">
        <v>268</v>
      </c>
      <c r="L129" s="84">
        <f>SUMPRODUCT(L125:L126,J125:J126)</f>
        <v>0.12574845679012348</v>
      </c>
      <c r="O129" t="s">
        <v>268</v>
      </c>
      <c r="Q129" s="84">
        <f>SUMPRODUCT(Q125:Q126,O125:O126)</f>
        <v>0.12574845668849305</v>
      </c>
    </row>
    <row r="131" spans="2:17" ht="19.8" x14ac:dyDescent="0.4">
      <c r="E131" t="s">
        <v>270</v>
      </c>
      <c r="G131" s="84">
        <f>G125*F125</f>
        <v>0.09</v>
      </c>
      <c r="J131" t="s">
        <v>270</v>
      </c>
      <c r="L131" s="84">
        <f>L125*K125</f>
        <v>0.11805555555555555</v>
      </c>
      <c r="O131" t="s">
        <v>270</v>
      </c>
      <c r="Q131" s="84">
        <f>Q125*P125</f>
        <v>0.11805555534033824</v>
      </c>
    </row>
    <row r="133" spans="2:17" x14ac:dyDescent="0.3">
      <c r="E133" s="187" t="s">
        <v>271</v>
      </c>
      <c r="F133" s="187"/>
      <c r="G133" s="188">
        <f>G129-1/2*4*G131^2</f>
        <v>9.6299999999999997E-2</v>
      </c>
      <c r="J133" s="189" t="s">
        <v>271</v>
      </c>
      <c r="K133" s="189"/>
      <c r="L133" s="190">
        <f>L129-1/2*4*L131^2</f>
        <v>9.7874228395061741E-2</v>
      </c>
      <c r="O133" s="187" t="s">
        <v>271</v>
      </c>
      <c r="P133" s="187"/>
      <c r="Q133" s="188">
        <f>Q129-1/2*4*Q131^2</f>
        <v>9.7874228395061713E-2</v>
      </c>
    </row>
    <row r="136" spans="2:17" ht="15" thickBot="1" x14ac:dyDescent="0.35"/>
    <row r="137" spans="2:17" x14ac:dyDescent="0.3">
      <c r="B137" s="32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5"/>
    </row>
    <row r="138" spans="2:17" x14ac:dyDescent="0.3">
      <c r="B138" s="85"/>
      <c r="C138" s="46" t="s">
        <v>274</v>
      </c>
      <c r="N138" s="37"/>
    </row>
    <row r="139" spans="2:17" x14ac:dyDescent="0.3">
      <c r="B139" s="85"/>
      <c r="N139" s="37"/>
    </row>
    <row r="140" spans="2:17" x14ac:dyDescent="0.3">
      <c r="B140" s="85"/>
      <c r="C140" t="s">
        <v>278</v>
      </c>
      <c r="N140" s="37"/>
    </row>
    <row r="141" spans="2:17" x14ac:dyDescent="0.3">
      <c r="B141" s="85"/>
      <c r="N141" s="37"/>
    </row>
    <row r="142" spans="2:17" x14ac:dyDescent="0.3">
      <c r="B142" s="85"/>
      <c r="C142" t="s">
        <v>275</v>
      </c>
      <c r="N142" s="37"/>
    </row>
    <row r="143" spans="2:17" x14ac:dyDescent="0.3">
      <c r="B143" s="85"/>
      <c r="N143" s="37"/>
    </row>
    <row r="144" spans="2:17" x14ac:dyDescent="0.3">
      <c r="B144" s="85"/>
      <c r="C144" t="s">
        <v>276</v>
      </c>
      <c r="N144" s="37"/>
    </row>
    <row r="145" spans="2:15" x14ac:dyDescent="0.3">
      <c r="B145" s="85"/>
      <c r="N145" s="37"/>
    </row>
    <row r="146" spans="2:15" x14ac:dyDescent="0.3">
      <c r="B146" s="85"/>
      <c r="C146" s="19" t="s">
        <v>277</v>
      </c>
      <c r="N146" s="37"/>
    </row>
    <row r="147" spans="2:15" x14ac:dyDescent="0.3">
      <c r="B147" s="85"/>
      <c r="N147" s="37"/>
    </row>
    <row r="148" spans="2:15" x14ac:dyDescent="0.3">
      <c r="B148" s="85"/>
      <c r="C148" s="46" t="s">
        <v>132</v>
      </c>
      <c r="N148" s="37"/>
    </row>
    <row r="149" spans="2:15" x14ac:dyDescent="0.3">
      <c r="B149" s="85"/>
      <c r="N149" s="37"/>
    </row>
    <row r="150" spans="2:15" x14ac:dyDescent="0.3">
      <c r="B150" s="85"/>
      <c r="C150" t="s">
        <v>279</v>
      </c>
      <c r="N150" s="37"/>
    </row>
    <row r="151" spans="2:15" x14ac:dyDescent="0.3">
      <c r="B151" s="85"/>
      <c r="C151" t="s">
        <v>280</v>
      </c>
      <c r="N151" s="37"/>
    </row>
    <row r="152" spans="2:15" ht="15" thickBot="1" x14ac:dyDescent="0.35">
      <c r="B152" s="60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40"/>
    </row>
    <row r="153" spans="2:15" ht="15" thickBot="1" x14ac:dyDescent="0.35"/>
    <row r="154" spans="2:15" ht="15" thickBot="1" x14ac:dyDescent="0.35">
      <c r="C154" s="437" t="s">
        <v>269</v>
      </c>
      <c r="D154" s="438"/>
      <c r="E154" s="438"/>
      <c r="F154" s="439"/>
      <c r="H154" s="437" t="s">
        <v>284</v>
      </c>
      <c r="I154" s="438"/>
      <c r="J154" s="438"/>
      <c r="K154" s="439"/>
    </row>
    <row r="155" spans="2:15" x14ac:dyDescent="0.3">
      <c r="C155" s="85"/>
      <c r="F155" s="37"/>
      <c r="H155" s="85"/>
      <c r="K155" s="37"/>
    </row>
    <row r="156" spans="2:15" x14ac:dyDescent="0.3">
      <c r="C156" s="85" t="s">
        <v>200</v>
      </c>
      <c r="D156" t="s">
        <v>205</v>
      </c>
      <c r="E156" t="s">
        <v>206</v>
      </c>
      <c r="F156" s="37" t="s">
        <v>204</v>
      </c>
      <c r="H156" s="85" t="s">
        <v>200</v>
      </c>
      <c r="I156" t="s">
        <v>205</v>
      </c>
      <c r="J156" t="s">
        <v>206</v>
      </c>
      <c r="K156" s="37" t="s">
        <v>204</v>
      </c>
    </row>
    <row r="157" spans="2:15" x14ac:dyDescent="0.3">
      <c r="C157" s="85" t="s">
        <v>281</v>
      </c>
      <c r="D157" s="44">
        <v>0.18</v>
      </c>
      <c r="E157" s="44">
        <v>0.27</v>
      </c>
      <c r="F157" s="197">
        <v>0.5</v>
      </c>
      <c r="H157" s="85" t="s">
        <v>281</v>
      </c>
      <c r="I157" s="44">
        <v>0.18</v>
      </c>
      <c r="J157" s="44">
        <v>0.27</v>
      </c>
      <c r="K157" s="37">
        <v>0.50511694990328659</v>
      </c>
      <c r="M157" t="s">
        <v>286</v>
      </c>
      <c r="N157" t="s">
        <v>287</v>
      </c>
      <c r="O157" t="s">
        <v>239</v>
      </c>
    </row>
    <row r="158" spans="2:15" x14ac:dyDescent="0.3">
      <c r="C158" s="85" t="s">
        <v>202</v>
      </c>
      <c r="D158" s="44">
        <v>0.11</v>
      </c>
      <c r="E158" s="44">
        <v>0.06</v>
      </c>
      <c r="F158" s="197">
        <f>1-F157</f>
        <v>0.5</v>
      </c>
      <c r="H158" s="85" t="s">
        <v>202</v>
      </c>
      <c r="I158" s="44">
        <v>0.11</v>
      </c>
      <c r="J158" s="44">
        <v>0.06</v>
      </c>
      <c r="K158" s="196">
        <v>0.49488305009671341</v>
      </c>
      <c r="M158" s="189">
        <f>F157</f>
        <v>0.5</v>
      </c>
      <c r="N158" s="189">
        <f>1-M158</f>
        <v>0.5</v>
      </c>
      <c r="O158" s="198">
        <f>F167</f>
        <v>0.12384999999999999</v>
      </c>
    </row>
    <row r="159" spans="2:15" x14ac:dyDescent="0.3">
      <c r="C159" s="85"/>
      <c r="F159" s="37"/>
      <c r="H159" s="85"/>
      <c r="K159" s="37">
        <f>K157+K158</f>
        <v>1</v>
      </c>
      <c r="M159">
        <v>0</v>
      </c>
      <c r="N159">
        <f t="dataTable" ref="N159:O170" dt2D="0" dtr="0" r1="F157"/>
        <v>1</v>
      </c>
      <c r="O159" s="191">
        <v>0.10639999999999999</v>
      </c>
    </row>
    <row r="160" spans="2:15" x14ac:dyDescent="0.3">
      <c r="C160" s="85"/>
      <c r="E160" t="s">
        <v>152</v>
      </c>
      <c r="F160" s="37">
        <v>0.25</v>
      </c>
      <c r="H160" s="85"/>
      <c r="J160" t="s">
        <v>152</v>
      </c>
      <c r="K160" s="37">
        <v>0.25</v>
      </c>
      <c r="M160">
        <v>0.1</v>
      </c>
      <c r="N160">
        <v>0.9</v>
      </c>
      <c r="O160" s="191">
        <v>0.112626</v>
      </c>
    </row>
    <row r="161" spans="3:15" x14ac:dyDescent="0.3">
      <c r="C161" s="85"/>
      <c r="F161" s="37"/>
      <c r="H161" s="85"/>
      <c r="K161" s="37"/>
      <c r="M161">
        <v>0.2</v>
      </c>
      <c r="N161">
        <v>0.8</v>
      </c>
      <c r="O161" s="191">
        <v>0.11748400000000001</v>
      </c>
    </row>
    <row r="162" spans="3:15" x14ac:dyDescent="0.3">
      <c r="C162" s="85"/>
      <c r="F162" s="37"/>
      <c r="H162" s="85"/>
      <c r="K162" s="37"/>
      <c r="M162">
        <v>0.3</v>
      </c>
      <c r="N162">
        <v>0.7</v>
      </c>
      <c r="O162" s="191">
        <v>0.12097400000000001</v>
      </c>
    </row>
    <row r="163" spans="3:15" x14ac:dyDescent="0.3">
      <c r="C163" s="85"/>
      <c r="D163" t="s">
        <v>282</v>
      </c>
      <c r="F163" s="194">
        <f>SUMPRODUCT(F157:F158,D157:D158)</f>
        <v>0.14499999999999999</v>
      </c>
      <c r="H163" s="85"/>
      <c r="I163" t="s">
        <v>282</v>
      </c>
      <c r="K163" s="194">
        <f>SUMPRODUCT(K157:K158,I157:I158)</f>
        <v>0.14535818649323007</v>
      </c>
      <c r="M163">
        <v>0.4</v>
      </c>
      <c r="N163">
        <v>0.6</v>
      </c>
      <c r="O163" s="191">
        <v>0.12309600000000001</v>
      </c>
    </row>
    <row r="164" spans="3:15" x14ac:dyDescent="0.3">
      <c r="C164" s="85"/>
      <c r="F164" s="37"/>
      <c r="H164" s="85"/>
      <c r="K164" s="37"/>
      <c r="M164">
        <v>0.5</v>
      </c>
      <c r="N164">
        <v>0.5</v>
      </c>
      <c r="O164" s="191">
        <v>0.12384999999999999</v>
      </c>
    </row>
    <row r="165" spans="3:15" ht="15" thickBot="1" x14ac:dyDescent="0.35">
      <c r="C165" s="60"/>
      <c r="D165" s="39" t="s">
        <v>283</v>
      </c>
      <c r="E165" s="39"/>
      <c r="F165" s="195">
        <f>SQRT(F157^2*E157^2+F158^2*E158^2+2*F157*F158*E157*E158*F160)</f>
        <v>0.14543039572248989</v>
      </c>
      <c r="H165" s="60"/>
      <c r="I165" s="39" t="s">
        <v>283</v>
      </c>
      <c r="J165" s="39"/>
      <c r="K165" s="195">
        <f>SQRT(K157^2*J157^2+K158^2*J158^2+2*K157*K158*J157*J158*K160)</f>
        <v>0.14665059003480879</v>
      </c>
      <c r="M165" s="199">
        <v>0.50511694990328659</v>
      </c>
      <c r="N165" s="199">
        <v>0.49488305009671341</v>
      </c>
      <c r="O165" s="200">
        <v>0.1238517909356725</v>
      </c>
    </row>
    <row r="166" spans="3:15" x14ac:dyDescent="0.3">
      <c r="M166">
        <v>0.6</v>
      </c>
      <c r="N166">
        <v>0.4</v>
      </c>
      <c r="O166" s="191">
        <v>0.123236</v>
      </c>
    </row>
    <row r="167" spans="3:15" x14ac:dyDescent="0.3">
      <c r="D167" t="s">
        <v>285</v>
      </c>
      <c r="F167" s="191">
        <f>F163-1/2*2*F165^2</f>
        <v>0.12384999999999999</v>
      </c>
      <c r="I167" t="s">
        <v>285</v>
      </c>
      <c r="K167" s="191">
        <f>K163-1/2*2*K165^2</f>
        <v>0.1238517909356725</v>
      </c>
      <c r="M167">
        <v>0.7</v>
      </c>
      <c r="N167">
        <v>0.30000000000000004</v>
      </c>
      <c r="O167" s="191">
        <v>0.12125400000000001</v>
      </c>
    </row>
    <row r="168" spans="3:15" x14ac:dyDescent="0.3">
      <c r="M168">
        <v>0.8</v>
      </c>
      <c r="N168">
        <v>0.19999999999999996</v>
      </c>
      <c r="O168" s="191">
        <v>0.11790399999999998</v>
      </c>
    </row>
    <row r="169" spans="3:15" x14ac:dyDescent="0.3">
      <c r="M169">
        <v>0.9</v>
      </c>
      <c r="N169">
        <v>9.9999999999999978E-2</v>
      </c>
      <c r="O169" s="191">
        <v>0.11318600000000001</v>
      </c>
    </row>
    <row r="170" spans="3:15" x14ac:dyDescent="0.3">
      <c r="M170">
        <v>1</v>
      </c>
      <c r="N170">
        <v>0</v>
      </c>
      <c r="O170" s="191">
        <v>0.10709999999999999</v>
      </c>
    </row>
  </sheetData>
  <mergeCells count="15">
    <mergeCell ref="N122:Q122"/>
    <mergeCell ref="C154:F154"/>
    <mergeCell ref="H154:K154"/>
    <mergeCell ref="K15:M15"/>
    <mergeCell ref="K26:M26"/>
    <mergeCell ref="K37:M37"/>
    <mergeCell ref="K54:M54"/>
    <mergeCell ref="D122:G122"/>
    <mergeCell ref="I122:L122"/>
    <mergeCell ref="C55:D55"/>
    <mergeCell ref="F55:H55"/>
    <mergeCell ref="K65:M65"/>
    <mergeCell ref="K76:M76"/>
    <mergeCell ref="C16:D16"/>
    <mergeCell ref="F16:H16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EC4A-5348-4470-80F0-2B87E5F03971}">
  <sheetPr>
    <tabColor theme="3" tint="0.59999389629810485"/>
  </sheetPr>
  <dimension ref="B2:P68"/>
  <sheetViews>
    <sheetView topLeftCell="A54" zoomScale="137" zoomScaleNormal="137" workbookViewId="0">
      <selection activeCell="M71" sqref="M71"/>
    </sheetView>
  </sheetViews>
  <sheetFormatPr defaultRowHeight="14.4" x14ac:dyDescent="0.3"/>
  <cols>
    <col min="2" max="2" width="2.33203125" bestFit="1" customWidth="1"/>
  </cols>
  <sheetData>
    <row r="2" spans="2:16" ht="15" thickBot="1" x14ac:dyDescent="0.35"/>
    <row r="3" spans="2:16" x14ac:dyDescent="0.3">
      <c r="B3" s="201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5"/>
    </row>
    <row r="4" spans="2:16" x14ac:dyDescent="0.3">
      <c r="B4" s="202" t="s">
        <v>4</v>
      </c>
      <c r="C4" t="s">
        <v>288</v>
      </c>
      <c r="P4" s="37"/>
    </row>
    <row r="5" spans="2:16" x14ac:dyDescent="0.3">
      <c r="B5" s="202"/>
      <c r="C5" t="s">
        <v>289</v>
      </c>
      <c r="P5" s="37"/>
    </row>
    <row r="6" spans="2:16" x14ac:dyDescent="0.3">
      <c r="B6" s="202"/>
      <c r="P6" s="37"/>
    </row>
    <row r="7" spans="2:16" x14ac:dyDescent="0.3">
      <c r="B7" s="202"/>
      <c r="C7" s="42" t="s">
        <v>290</v>
      </c>
      <c r="P7" s="37"/>
    </row>
    <row r="8" spans="2:16" x14ac:dyDescent="0.3">
      <c r="B8" s="202"/>
      <c r="P8" s="37"/>
    </row>
    <row r="9" spans="2:16" x14ac:dyDescent="0.3">
      <c r="B9" s="202"/>
      <c r="C9" t="s">
        <v>198</v>
      </c>
      <c r="P9" s="37"/>
    </row>
    <row r="10" spans="2:16" x14ac:dyDescent="0.3">
      <c r="B10" s="202"/>
      <c r="C10" t="s">
        <v>199</v>
      </c>
      <c r="P10" s="37"/>
    </row>
    <row r="11" spans="2:16" x14ac:dyDescent="0.3">
      <c r="B11" s="202"/>
      <c r="C11" t="s">
        <v>291</v>
      </c>
      <c r="P11" s="37"/>
    </row>
    <row r="12" spans="2:16" x14ac:dyDescent="0.3">
      <c r="B12" s="202"/>
      <c r="C12" t="s">
        <v>292</v>
      </c>
      <c r="P12" s="37"/>
    </row>
    <row r="13" spans="2:16" ht="15" thickBot="1" x14ac:dyDescent="0.35">
      <c r="B13" s="203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40"/>
    </row>
    <row r="15" spans="2:16" ht="15" thickBot="1" x14ac:dyDescent="0.35"/>
    <row r="16" spans="2:16" ht="15" thickBot="1" x14ac:dyDescent="0.35">
      <c r="F16" s="437" t="s">
        <v>269</v>
      </c>
      <c r="G16" s="438"/>
      <c r="H16" s="438"/>
      <c r="I16" s="439"/>
      <c r="K16" s="437" t="s">
        <v>294</v>
      </c>
      <c r="L16" s="438"/>
      <c r="M16" s="438"/>
      <c r="N16" s="439"/>
    </row>
    <row r="18" spans="6:14" s="25" customFormat="1" x14ac:dyDescent="0.3">
      <c r="F18" s="25" t="s">
        <v>200</v>
      </c>
      <c r="G18" s="25" t="s">
        <v>205</v>
      </c>
      <c r="H18" s="25" t="s">
        <v>206</v>
      </c>
      <c r="I18" s="25" t="s">
        <v>204</v>
      </c>
      <c r="K18" s="25" t="s">
        <v>200</v>
      </c>
      <c r="L18" s="25" t="s">
        <v>205</v>
      </c>
      <c r="M18" s="25" t="s">
        <v>206</v>
      </c>
      <c r="N18" s="25" t="s">
        <v>204</v>
      </c>
    </row>
    <row r="19" spans="6:14" s="20" customFormat="1" x14ac:dyDescent="0.3">
      <c r="F19" s="20" t="s">
        <v>60</v>
      </c>
      <c r="G19" s="21">
        <v>0.24</v>
      </c>
      <c r="H19" s="21">
        <v>0.16</v>
      </c>
      <c r="I19" s="20">
        <v>0.67500000000000004</v>
      </c>
      <c r="K19" s="20" t="s">
        <v>60</v>
      </c>
      <c r="L19" s="21">
        <v>0.24</v>
      </c>
      <c r="M19" s="21">
        <v>0.16</v>
      </c>
      <c r="N19" s="204">
        <v>0.65625000781508802</v>
      </c>
    </row>
    <row r="20" spans="6:14" s="20" customFormat="1" x14ac:dyDescent="0.3">
      <c r="F20" s="20" t="s">
        <v>131</v>
      </c>
      <c r="G20" s="21">
        <v>0.15</v>
      </c>
      <c r="H20" s="21">
        <v>0.24</v>
      </c>
      <c r="I20" s="20">
        <f>1-I19</f>
        <v>0.32499999999999996</v>
      </c>
      <c r="K20" s="20" t="s">
        <v>131</v>
      </c>
      <c r="L20" s="21">
        <v>0.15</v>
      </c>
      <c r="M20" s="21">
        <v>0.24</v>
      </c>
      <c r="N20" s="205">
        <v>0.34374999320379435</v>
      </c>
    </row>
    <row r="21" spans="6:14" s="20" customFormat="1" x14ac:dyDescent="0.3">
      <c r="N21" s="67">
        <f>N19+N20</f>
        <v>1.0000000010188823</v>
      </c>
    </row>
    <row r="22" spans="6:14" x14ac:dyDescent="0.3">
      <c r="H22" t="s">
        <v>152</v>
      </c>
      <c r="I22">
        <v>-0.25</v>
      </c>
      <c r="M22" t="s">
        <v>152</v>
      </c>
      <c r="N22">
        <v>-0.25</v>
      </c>
    </row>
    <row r="25" spans="6:14" x14ac:dyDescent="0.3">
      <c r="G25" t="s">
        <v>268</v>
      </c>
      <c r="I25" s="70">
        <f>SUMPRODUCT(I19:I20,G19:G20)</f>
        <v>0.21074999999999999</v>
      </c>
      <c r="L25" t="s">
        <v>268</v>
      </c>
      <c r="N25" s="70">
        <f>SUMPRODUCT(N19:N20,L19:L20)</f>
        <v>0.20906250085619027</v>
      </c>
    </row>
    <row r="27" spans="6:14" x14ac:dyDescent="0.3">
      <c r="G27" t="s">
        <v>293</v>
      </c>
      <c r="I27" s="70">
        <f>SQRT(I19^2*H19^2+I20^2*H20^2+2*I19*I20*H19*H20*I22)</f>
        <v>0.11634431657799189</v>
      </c>
      <c r="L27" s="65" t="s">
        <v>293</v>
      </c>
      <c r="M27" s="65"/>
      <c r="N27" s="206">
        <f>SQRT(N19^2*M19^2+N20^2*M20^2+2*N19*N20*M19*M20*N22)</f>
        <v>0.11618950050460597</v>
      </c>
    </row>
    <row r="30" spans="6:14" ht="15" thickBot="1" x14ac:dyDescent="0.35"/>
    <row r="31" spans="6:14" ht="15" thickBot="1" x14ac:dyDescent="0.35">
      <c r="H31" s="437" t="s">
        <v>295</v>
      </c>
      <c r="I31" s="438"/>
      <c r="J31" s="438"/>
      <c r="K31" s="439"/>
    </row>
    <row r="33" spans="5:14" x14ac:dyDescent="0.3">
      <c r="H33" s="25" t="s">
        <v>200</v>
      </c>
      <c r="I33" s="25" t="s">
        <v>205</v>
      </c>
      <c r="J33" s="25" t="s">
        <v>206</v>
      </c>
      <c r="K33" s="25" t="s">
        <v>204</v>
      </c>
    </row>
    <row r="34" spans="5:14" x14ac:dyDescent="0.3">
      <c r="H34" s="20" t="s">
        <v>60</v>
      </c>
      <c r="I34" s="21">
        <v>0.24</v>
      </c>
      <c r="J34" s="21">
        <v>0.16</v>
      </c>
      <c r="K34" s="208">
        <v>0.60000001245012158</v>
      </c>
    </row>
    <row r="35" spans="5:14" x14ac:dyDescent="0.3">
      <c r="H35" s="20" t="s">
        <v>131</v>
      </c>
      <c r="I35" s="21">
        <v>0.15</v>
      </c>
      <c r="J35" s="21">
        <v>0.24</v>
      </c>
      <c r="K35" s="209">
        <v>0.39999999162540922</v>
      </c>
    </row>
    <row r="36" spans="5:14" x14ac:dyDescent="0.3">
      <c r="H36" s="20"/>
      <c r="I36" s="20"/>
      <c r="J36" s="20"/>
      <c r="K36" s="20">
        <f>K34+K35</f>
        <v>1.0000000040755308</v>
      </c>
    </row>
    <row r="38" spans="5:14" x14ac:dyDescent="0.3">
      <c r="J38" s="210" t="s">
        <v>152</v>
      </c>
      <c r="K38" s="210">
        <v>-1</v>
      </c>
    </row>
    <row r="40" spans="5:14" x14ac:dyDescent="0.3">
      <c r="I40" t="s">
        <v>268</v>
      </c>
      <c r="K40" s="70">
        <f>SUMPRODUCT(K34:K35,I34:I35)</f>
        <v>0.20400000173184055</v>
      </c>
    </row>
    <row r="42" spans="5:14" x14ac:dyDescent="0.3">
      <c r="I42" s="94" t="s">
        <v>293</v>
      </c>
      <c r="J42" s="94"/>
      <c r="K42" s="207">
        <f>SQRT(K34^2*J34^2+K35^2*J35^2+2*K34*K35*J34*J35*K38)</f>
        <v>3.7252902984619141E-9</v>
      </c>
    </row>
    <row r="46" spans="5:14" x14ac:dyDescent="0.3">
      <c r="E46" s="46" t="s">
        <v>296</v>
      </c>
      <c r="L46" s="46" t="s">
        <v>301</v>
      </c>
    </row>
    <row r="48" spans="5:14" ht="16.2" thickBot="1" x14ac:dyDescent="0.4">
      <c r="L48" s="25" t="s">
        <v>302</v>
      </c>
      <c r="M48" s="25" t="s">
        <v>303</v>
      </c>
      <c r="N48" s="25" t="s">
        <v>206</v>
      </c>
    </row>
    <row r="49" spans="3:16" ht="23.4" x14ac:dyDescent="0.55000000000000004">
      <c r="G49" s="32" t="s">
        <v>297</v>
      </c>
      <c r="H49" s="33" t="s">
        <v>8</v>
      </c>
      <c r="I49" s="211" t="s">
        <v>298</v>
      </c>
      <c r="L49" s="214">
        <f>F60</f>
        <v>0.67500000000000004</v>
      </c>
      <c r="M49" s="214">
        <f>1-L49</f>
        <v>0.32499999999999996</v>
      </c>
      <c r="N49" s="215">
        <f>F68</f>
        <v>3.0000000000000023E-2</v>
      </c>
    </row>
    <row r="50" spans="3:16" ht="16.2" thickBot="1" x14ac:dyDescent="0.4">
      <c r="G50" s="60"/>
      <c r="H50" s="39"/>
      <c r="I50" s="40" t="s">
        <v>299</v>
      </c>
      <c r="L50" s="20">
        <v>0</v>
      </c>
      <c r="M50" s="20">
        <f t="dataTable" ref="M50:N60" dt2D="0" dtr="0" r1="F60"/>
        <v>1</v>
      </c>
      <c r="N50" s="216">
        <v>0.24</v>
      </c>
    </row>
    <row r="51" spans="3:16" x14ac:dyDescent="0.3">
      <c r="L51" s="20">
        <v>0.1</v>
      </c>
      <c r="M51" s="20">
        <v>0.9</v>
      </c>
      <c r="N51" s="216">
        <v>0.2</v>
      </c>
    </row>
    <row r="52" spans="3:16" x14ac:dyDescent="0.3">
      <c r="L52" s="20">
        <v>0.2</v>
      </c>
      <c r="M52" s="20">
        <v>0.8</v>
      </c>
      <c r="N52" s="216">
        <v>0.16</v>
      </c>
    </row>
    <row r="53" spans="3:16" ht="15" thickBot="1" x14ac:dyDescent="0.35">
      <c r="L53" s="20">
        <v>0.3</v>
      </c>
      <c r="M53" s="20">
        <v>0.7</v>
      </c>
      <c r="N53" s="216">
        <v>0.11999999999999998</v>
      </c>
    </row>
    <row r="54" spans="3:16" ht="15.6" x14ac:dyDescent="0.35">
      <c r="G54" s="32" t="s">
        <v>297</v>
      </c>
      <c r="H54" s="33" t="s">
        <v>8</v>
      </c>
      <c r="I54" s="212">
        <f>H20/(H19+H20)</f>
        <v>0.6</v>
      </c>
      <c r="L54" s="20">
        <v>0.4</v>
      </c>
      <c r="M54" s="20">
        <v>0.6</v>
      </c>
      <c r="N54" s="216">
        <v>8.0000000000000016E-2</v>
      </c>
    </row>
    <row r="55" spans="3:16" ht="16.2" thickBot="1" x14ac:dyDescent="0.4">
      <c r="G55" s="60" t="s">
        <v>300</v>
      </c>
      <c r="H55" s="39" t="s">
        <v>8</v>
      </c>
      <c r="I55" s="213">
        <f>1-I54</f>
        <v>0.4</v>
      </c>
      <c r="L55" s="20">
        <v>0.5</v>
      </c>
      <c r="M55" s="20">
        <v>0.5</v>
      </c>
      <c r="N55" s="216">
        <v>4.0000000000000008E-2</v>
      </c>
    </row>
    <row r="56" spans="3:16" ht="15" thickBot="1" x14ac:dyDescent="0.35">
      <c r="L56" s="217">
        <v>0.6</v>
      </c>
      <c r="M56" s="217">
        <v>0.4</v>
      </c>
      <c r="N56" s="218">
        <v>2.6341780319308772E-9</v>
      </c>
    </row>
    <row r="57" spans="3:16" ht="15" thickBot="1" x14ac:dyDescent="0.35">
      <c r="C57" s="437" t="s">
        <v>304</v>
      </c>
      <c r="D57" s="438"/>
      <c r="E57" s="438"/>
      <c r="F57" s="439"/>
      <c r="L57" s="20">
        <v>0.7</v>
      </c>
      <c r="M57" s="20">
        <v>0.30000000000000004</v>
      </c>
      <c r="N57" s="216">
        <v>3.9999999999999966E-2</v>
      </c>
    </row>
    <row r="58" spans="3:16" x14ac:dyDescent="0.3">
      <c r="L58" s="20">
        <v>0.8</v>
      </c>
      <c r="M58" s="20">
        <v>0.19999999999999996</v>
      </c>
      <c r="N58" s="216">
        <v>8.0000000000000029E-2</v>
      </c>
    </row>
    <row r="59" spans="3:16" x14ac:dyDescent="0.3">
      <c r="C59" s="25" t="s">
        <v>200</v>
      </c>
      <c r="D59" s="25" t="s">
        <v>205</v>
      </c>
      <c r="E59" s="25" t="s">
        <v>206</v>
      </c>
      <c r="F59" s="25" t="s">
        <v>204</v>
      </c>
      <c r="L59" s="20">
        <v>0.9</v>
      </c>
      <c r="M59" s="20">
        <v>9.9999999999999978E-2</v>
      </c>
      <c r="N59" s="216">
        <v>0.12000000000000001</v>
      </c>
    </row>
    <row r="60" spans="3:16" x14ac:dyDescent="0.3">
      <c r="C60" s="20" t="s">
        <v>60</v>
      </c>
      <c r="D60" s="21">
        <v>0.24</v>
      </c>
      <c r="E60" s="21">
        <v>0.16</v>
      </c>
      <c r="F60" s="20">
        <v>0.67500000000000004</v>
      </c>
      <c r="L60" s="20">
        <v>1</v>
      </c>
      <c r="M60" s="20">
        <v>0</v>
      </c>
      <c r="N60" s="216">
        <v>0.16</v>
      </c>
    </row>
    <row r="61" spans="3:16" ht="15" thickBot="1" x14ac:dyDescent="0.35">
      <c r="C61" s="20" t="s">
        <v>131</v>
      </c>
      <c r="D61" s="21">
        <v>0.15</v>
      </c>
      <c r="E61" s="21">
        <v>0.24</v>
      </c>
      <c r="F61" s="20">
        <f>1-F60</f>
        <v>0.32499999999999996</v>
      </c>
    </row>
    <row r="62" spans="3:16" ht="15" thickBot="1" x14ac:dyDescent="0.35">
      <c r="C62" s="20"/>
      <c r="D62" s="20"/>
      <c r="E62" s="20"/>
      <c r="F62" s="20"/>
      <c r="K62" s="219"/>
    </row>
    <row r="63" spans="3:16" x14ac:dyDescent="0.3">
      <c r="E63" t="s">
        <v>152</v>
      </c>
      <c r="F63">
        <v>-1</v>
      </c>
      <c r="L63" s="220"/>
      <c r="M63" s="220"/>
      <c r="N63" s="220"/>
      <c r="O63" s="220"/>
      <c r="P63" s="221"/>
    </row>
    <row r="64" spans="3:16" x14ac:dyDescent="0.3">
      <c r="K64" s="222"/>
      <c r="L64" s="223" t="s">
        <v>305</v>
      </c>
      <c r="M64" s="66"/>
      <c r="N64" s="66"/>
      <c r="O64" s="66"/>
      <c r="P64" s="224"/>
    </row>
    <row r="65" spans="4:16" x14ac:dyDescent="0.3">
      <c r="K65" s="222"/>
      <c r="L65" s="223" t="s">
        <v>306</v>
      </c>
      <c r="M65" s="66"/>
      <c r="N65" s="66"/>
      <c r="O65" s="66"/>
      <c r="P65" s="224"/>
    </row>
    <row r="66" spans="4:16" x14ac:dyDescent="0.3">
      <c r="D66" t="s">
        <v>268</v>
      </c>
      <c r="F66" s="70">
        <f>SUMPRODUCT(F60:F61,D60:D61)</f>
        <v>0.21074999999999999</v>
      </c>
      <c r="K66" s="222"/>
      <c r="L66" s="223" t="s">
        <v>307</v>
      </c>
      <c r="M66" s="66"/>
      <c r="N66" s="66"/>
      <c r="O66" s="66"/>
      <c r="P66" s="224"/>
    </row>
    <row r="67" spans="4:16" ht="15" thickBot="1" x14ac:dyDescent="0.35">
      <c r="K67" s="225"/>
      <c r="L67" s="226"/>
      <c r="M67" s="226"/>
      <c r="N67" s="226"/>
      <c r="O67" s="226"/>
      <c r="P67" s="227"/>
    </row>
    <row r="68" spans="4:16" x14ac:dyDescent="0.3">
      <c r="D68" t="s">
        <v>293</v>
      </c>
      <c r="F68" s="70">
        <f>SQRT(F60^2*E60^2+F61^2*E61^2+2*F60*F61*E60*E61*F63)</f>
        <v>3.0000000000000023E-2</v>
      </c>
    </row>
  </sheetData>
  <mergeCells count="4">
    <mergeCell ref="F16:I16"/>
    <mergeCell ref="K16:N16"/>
    <mergeCell ref="H31:K31"/>
    <mergeCell ref="C57:F5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B4D6-3A15-4478-8251-A8EEF564B266}">
  <sheetPr>
    <tabColor theme="3" tint="0.59999389629810485"/>
  </sheetPr>
  <dimension ref="C3:R39"/>
  <sheetViews>
    <sheetView topLeftCell="A21" zoomScale="115" zoomScaleNormal="137" workbookViewId="0">
      <selection activeCell="P33" sqref="P33"/>
    </sheetView>
  </sheetViews>
  <sheetFormatPr defaultRowHeight="14.4" x14ac:dyDescent="0.3"/>
  <cols>
    <col min="1" max="1" width="4" customWidth="1"/>
    <col min="2" max="2" width="3.88671875" customWidth="1"/>
    <col min="8" max="8" width="7.109375" bestFit="1" customWidth="1"/>
    <col min="9" max="9" width="2.109375" customWidth="1"/>
    <col min="13" max="13" width="7.6640625" bestFit="1" customWidth="1"/>
    <col min="14" max="14" width="1.5546875" customWidth="1"/>
    <col min="18" max="18" width="7.6640625" bestFit="1" customWidth="1"/>
  </cols>
  <sheetData>
    <row r="3" spans="3:6" x14ac:dyDescent="0.3">
      <c r="C3" s="76" t="s">
        <v>308</v>
      </c>
    </row>
    <row r="4" spans="3:6" x14ac:dyDescent="0.3">
      <c r="C4" s="20"/>
    </row>
    <row r="5" spans="3:6" ht="15" thickBot="1" x14ac:dyDescent="0.35">
      <c r="C5" s="20"/>
    </row>
    <row r="6" spans="3:6" x14ac:dyDescent="0.3">
      <c r="C6" s="20"/>
      <c r="D6" s="135" t="s">
        <v>200</v>
      </c>
      <c r="E6" s="228" t="s">
        <v>309</v>
      </c>
      <c r="F6" s="229" t="s">
        <v>310</v>
      </c>
    </row>
    <row r="7" spans="3:6" x14ac:dyDescent="0.3">
      <c r="C7" s="20"/>
      <c r="D7" s="85" t="s">
        <v>202</v>
      </c>
      <c r="E7" s="21">
        <v>0.06</v>
      </c>
      <c r="F7" s="230">
        <f>10%</f>
        <v>0.1</v>
      </c>
    </row>
    <row r="8" spans="3:6" ht="15" thickBot="1" x14ac:dyDescent="0.35">
      <c r="C8" s="20"/>
      <c r="D8" s="60" t="s">
        <v>201</v>
      </c>
      <c r="E8" s="231">
        <v>0.13</v>
      </c>
      <c r="F8" s="232">
        <f>30%</f>
        <v>0.3</v>
      </c>
    </row>
    <row r="9" spans="3:6" x14ac:dyDescent="0.3">
      <c r="C9" s="20"/>
    </row>
    <row r="10" spans="3:6" x14ac:dyDescent="0.3">
      <c r="C10" s="20"/>
      <c r="D10" t="s">
        <v>311</v>
      </c>
    </row>
    <row r="11" spans="3:6" x14ac:dyDescent="0.3">
      <c r="C11" s="20"/>
    </row>
    <row r="12" spans="3:6" x14ac:dyDescent="0.3">
      <c r="C12" s="20"/>
      <c r="D12" t="s">
        <v>312</v>
      </c>
    </row>
    <row r="13" spans="3:6" x14ac:dyDescent="0.3">
      <c r="C13" s="20"/>
      <c r="D13" t="s">
        <v>313</v>
      </c>
    </row>
    <row r="14" spans="3:6" x14ac:dyDescent="0.3">
      <c r="C14" s="20"/>
      <c r="D14" t="s">
        <v>314</v>
      </c>
    </row>
    <row r="15" spans="3:6" ht="15.6" x14ac:dyDescent="0.35">
      <c r="C15" s="20"/>
      <c r="D15" t="s">
        <v>315</v>
      </c>
    </row>
    <row r="16" spans="3:6" ht="15" thickBot="1" x14ac:dyDescent="0.35">
      <c r="C16" s="20"/>
    </row>
    <row r="17" spans="5:18" ht="15" thickBot="1" x14ac:dyDescent="0.35">
      <c r="E17" s="437" t="s">
        <v>269</v>
      </c>
      <c r="F17" s="438"/>
      <c r="G17" s="438"/>
      <c r="H17" s="439"/>
      <c r="J17" s="437" t="s">
        <v>294</v>
      </c>
      <c r="K17" s="438"/>
      <c r="L17" s="438"/>
      <c r="M17" s="439"/>
      <c r="O17" s="437" t="s">
        <v>316</v>
      </c>
      <c r="P17" s="438"/>
      <c r="Q17" s="438"/>
      <c r="R17" s="439"/>
    </row>
    <row r="18" spans="5:18" ht="15" thickBot="1" x14ac:dyDescent="0.35"/>
    <row r="19" spans="5:18" x14ac:dyDescent="0.3">
      <c r="E19" s="135" t="s">
        <v>200</v>
      </c>
      <c r="F19" s="228" t="s">
        <v>309</v>
      </c>
      <c r="G19" s="228" t="s">
        <v>310</v>
      </c>
      <c r="H19" s="229" t="s">
        <v>204</v>
      </c>
      <c r="J19" s="135" t="s">
        <v>200</v>
      </c>
      <c r="K19" s="228" t="s">
        <v>309</v>
      </c>
      <c r="L19" s="228" t="s">
        <v>310</v>
      </c>
      <c r="M19" s="229" t="s">
        <v>204</v>
      </c>
      <c r="O19" s="135" t="s">
        <v>200</v>
      </c>
      <c r="P19" s="228" t="s">
        <v>309</v>
      </c>
      <c r="Q19" s="228" t="s">
        <v>310</v>
      </c>
      <c r="R19" s="229" t="s">
        <v>204</v>
      </c>
    </row>
    <row r="20" spans="5:18" x14ac:dyDescent="0.3">
      <c r="E20" s="85" t="s">
        <v>202</v>
      </c>
      <c r="F20" s="21">
        <v>0.06</v>
      </c>
      <c r="G20" s="21">
        <f>10%</f>
        <v>0.1</v>
      </c>
      <c r="H20" s="197">
        <v>0.25</v>
      </c>
      <c r="J20" s="85" t="s">
        <v>202</v>
      </c>
      <c r="K20" s="21">
        <v>0.06</v>
      </c>
      <c r="L20" s="21">
        <f>10%</f>
        <v>0.1</v>
      </c>
      <c r="M20" s="234">
        <v>0.82258064519720075</v>
      </c>
      <c r="O20" s="85" t="s">
        <v>202</v>
      </c>
      <c r="P20" s="21">
        <v>0.06</v>
      </c>
      <c r="Q20" s="21">
        <f>10%</f>
        <v>0.1</v>
      </c>
      <c r="R20" s="234">
        <v>0.74144486676823473</v>
      </c>
    </row>
    <row r="21" spans="5:18" ht="15" thickBot="1" x14ac:dyDescent="0.35">
      <c r="E21" s="60" t="s">
        <v>201</v>
      </c>
      <c r="F21" s="231">
        <v>0.13</v>
      </c>
      <c r="G21" s="231">
        <f>30%</f>
        <v>0.3</v>
      </c>
      <c r="H21" s="233">
        <f>1-H20</f>
        <v>0.75</v>
      </c>
      <c r="J21" s="60" t="s">
        <v>201</v>
      </c>
      <c r="K21" s="231">
        <v>0.13</v>
      </c>
      <c r="L21" s="231">
        <f>30%</f>
        <v>0.3</v>
      </c>
      <c r="M21" s="235">
        <v>0.17741935480279919</v>
      </c>
      <c r="O21" s="60" t="s">
        <v>201</v>
      </c>
      <c r="P21" s="231">
        <v>0.13</v>
      </c>
      <c r="Q21" s="231">
        <f>30%</f>
        <v>0.3</v>
      </c>
      <c r="R21" s="235">
        <v>0.2585551332317651</v>
      </c>
    </row>
    <row r="22" spans="5:18" x14ac:dyDescent="0.3">
      <c r="H22" s="71"/>
      <c r="M22" s="71"/>
      <c r="R22" s="71"/>
    </row>
    <row r="23" spans="5:18" x14ac:dyDescent="0.3">
      <c r="H23" s="71">
        <f>H20+H21</f>
        <v>1</v>
      </c>
      <c r="M23" s="71">
        <f>M20+M21</f>
        <v>1</v>
      </c>
      <c r="R23" s="71">
        <f>R20+R21</f>
        <v>0.99999999999999978</v>
      </c>
    </row>
    <row r="25" spans="5:18" x14ac:dyDescent="0.3">
      <c r="G25" t="s">
        <v>152</v>
      </c>
      <c r="H25">
        <v>-0.4</v>
      </c>
      <c r="L25" t="s">
        <v>152</v>
      </c>
      <c r="M25">
        <v>-0.4</v>
      </c>
      <c r="Q25" t="s">
        <v>152</v>
      </c>
      <c r="R25">
        <v>-0.4</v>
      </c>
    </row>
    <row r="28" spans="5:18" x14ac:dyDescent="0.3">
      <c r="F28" t="s">
        <v>268</v>
      </c>
      <c r="H28" s="84">
        <f>SUMPRODUCT(H20:H21,F20:F21)</f>
        <v>0.1125</v>
      </c>
      <c r="K28" t="s">
        <v>268</v>
      </c>
      <c r="M28" s="84">
        <f>SUMPRODUCT(M20:M21,K20:K21)</f>
        <v>7.2419354836195937E-2</v>
      </c>
      <c r="P28" t="s">
        <v>268</v>
      </c>
      <c r="R28" s="84">
        <f>SUMPRODUCT(R20:R21,P20:P21)</f>
        <v>7.8098859326223541E-2</v>
      </c>
    </row>
    <row r="30" spans="5:18" x14ac:dyDescent="0.3">
      <c r="F30" t="s">
        <v>293</v>
      </c>
      <c r="H30" s="84">
        <f>SQRT(H20^2*G20^2+H21^2*G21^2+2*H20*H21*G20*G21*H25)</f>
        <v>0.21621748310439654</v>
      </c>
      <c r="K30" t="s">
        <v>293</v>
      </c>
      <c r="M30" s="84">
        <f>SQRT(M20^2*L20^2+M21^2*L21^2+2*M20*M21*L20*L21*M25)</f>
        <v>7.8081842918494099E-2</v>
      </c>
      <c r="P30" t="s">
        <v>293</v>
      </c>
      <c r="R30" s="84">
        <f>SQRT(R20^2*Q20^2+R21^2*Q21^2+2*R20*R21*Q20*Q21*R25)</f>
        <v>8.3144861512566198E-2</v>
      </c>
    </row>
    <row r="32" spans="5:18" x14ac:dyDescent="0.3">
      <c r="P32" s="236" t="s">
        <v>317</v>
      </c>
      <c r="Q32" s="236"/>
      <c r="R32" s="237">
        <f>(R28-3%)/R30</f>
        <v>0.57849467124260068</v>
      </c>
    </row>
    <row r="34" spans="10:12" ht="15" thickBot="1" x14ac:dyDescent="0.35"/>
    <row r="35" spans="10:12" x14ac:dyDescent="0.3">
      <c r="J35" s="238"/>
      <c r="K35" s="239" t="s">
        <v>214</v>
      </c>
      <c r="L35" s="240" t="s">
        <v>206</v>
      </c>
    </row>
    <row r="36" spans="10:12" x14ac:dyDescent="0.3">
      <c r="J36" s="241" t="s">
        <v>318</v>
      </c>
      <c r="K36" s="242">
        <f>M28</f>
        <v>7.2419354836195937E-2</v>
      </c>
      <c r="L36" s="243">
        <f>M30</f>
        <v>7.8081842918494099E-2</v>
      </c>
    </row>
    <row r="37" spans="10:12" x14ac:dyDescent="0.3">
      <c r="J37" s="241" t="s">
        <v>319</v>
      </c>
      <c r="K37" s="244">
        <f>R28</f>
        <v>7.8098859326223541E-2</v>
      </c>
      <c r="L37" s="245">
        <f>R30</f>
        <v>8.3144861512566198E-2</v>
      </c>
    </row>
    <row r="38" spans="10:12" x14ac:dyDescent="0.3">
      <c r="J38" s="241"/>
      <c r="K38" s="184"/>
      <c r="L38" s="246"/>
    </row>
    <row r="39" spans="10:12" ht="15" thickBot="1" x14ac:dyDescent="0.35">
      <c r="J39" s="247" t="s">
        <v>320</v>
      </c>
      <c r="K39" s="248">
        <f>K37-K36</f>
        <v>5.6795044900276037E-3</v>
      </c>
      <c r="L39" s="249">
        <f>L37-L36</f>
        <v>5.0630185940720995E-3</v>
      </c>
    </row>
  </sheetData>
  <mergeCells count="3">
    <mergeCell ref="E17:H17"/>
    <mergeCell ref="J17:M17"/>
    <mergeCell ref="O17:R1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0C3D-5023-4ABF-B92A-86AD7E8431D0}">
  <sheetPr>
    <tabColor theme="3" tint="0.59999389629810485"/>
  </sheetPr>
  <dimension ref="B3:I35"/>
  <sheetViews>
    <sheetView topLeftCell="AG41" zoomScale="137" zoomScaleNormal="137" workbookViewId="0">
      <selection activeCell="AN60" sqref="AN60"/>
    </sheetView>
  </sheetViews>
  <sheetFormatPr defaultRowHeight="14.4" x14ac:dyDescent="0.3"/>
  <sheetData>
    <row r="3" spans="2:7" ht="15" thickBot="1" x14ac:dyDescent="0.35">
      <c r="C3" s="20"/>
      <c r="D3" s="20"/>
      <c r="E3" s="446" t="s">
        <v>321</v>
      </c>
      <c r="F3" s="446"/>
      <c r="G3" s="446"/>
    </row>
    <row r="4" spans="2:7" ht="15" thickBot="1" x14ac:dyDescent="0.35">
      <c r="C4" s="250" t="s">
        <v>204</v>
      </c>
      <c r="D4" s="251" t="s">
        <v>237</v>
      </c>
      <c r="E4" s="252" t="s">
        <v>322</v>
      </c>
      <c r="F4" s="253" t="s">
        <v>323</v>
      </c>
      <c r="G4" s="254" t="s">
        <v>324</v>
      </c>
    </row>
    <row r="5" spans="2:7" x14ac:dyDescent="0.3">
      <c r="B5" t="s">
        <v>322</v>
      </c>
      <c r="C5" s="255">
        <v>0.33329999999999999</v>
      </c>
      <c r="D5" s="256">
        <v>0.2</v>
      </c>
      <c r="E5" s="257">
        <v>0.09</v>
      </c>
      <c r="F5" s="258">
        <v>4.4999999999999998E-2</v>
      </c>
      <c r="G5" s="259">
        <v>0.05</v>
      </c>
    </row>
    <row r="6" spans="2:7" x14ac:dyDescent="0.3">
      <c r="B6" t="s">
        <v>323</v>
      </c>
      <c r="C6" s="255">
        <v>0.33339999999999997</v>
      </c>
      <c r="D6" s="256">
        <v>0.12</v>
      </c>
      <c r="E6" s="260">
        <v>4.4999999999999998E-2</v>
      </c>
      <c r="F6" s="261">
        <v>7.0000000000000007E-2</v>
      </c>
      <c r="G6" s="262">
        <v>0.04</v>
      </c>
    </row>
    <row r="7" spans="2:7" ht="15" thickBot="1" x14ac:dyDescent="0.35">
      <c r="B7" t="s">
        <v>324</v>
      </c>
      <c r="C7" s="263">
        <f>1-SUM(C5:C6)</f>
        <v>0.33330000000000004</v>
      </c>
      <c r="D7" s="264">
        <v>0.15</v>
      </c>
      <c r="E7" s="265">
        <v>0.05</v>
      </c>
      <c r="F7" s="266">
        <v>0.04</v>
      </c>
      <c r="G7" s="267">
        <v>0.06</v>
      </c>
    </row>
    <row r="8" spans="2:7" x14ac:dyDescent="0.3">
      <c r="C8" s="268">
        <f>SUM(C5:C7)</f>
        <v>1</v>
      </c>
    </row>
    <row r="11" spans="2:7" x14ac:dyDescent="0.3">
      <c r="B11" s="42" t="s">
        <v>325</v>
      </c>
      <c r="C11" t="s">
        <v>326</v>
      </c>
    </row>
    <row r="13" spans="2:7" x14ac:dyDescent="0.3">
      <c r="D13" t="s">
        <v>268</v>
      </c>
      <c r="F13" s="84">
        <f>SUMPRODUCT(C5:C7,D5:D7)</f>
        <v>0.156663</v>
      </c>
    </row>
    <row r="15" spans="2:7" x14ac:dyDescent="0.3">
      <c r="D15" t="s">
        <v>293</v>
      </c>
      <c r="F15" s="84">
        <f>SQRT(C5^2*E5+C6^2*F6+C7^2*G7+2*C5*C6*F5+2*C6*C7*G6+2*C7*C5*E7)</f>
        <v>0.23333214330648919</v>
      </c>
    </row>
    <row r="19" spans="2:9" x14ac:dyDescent="0.3">
      <c r="B19" s="42" t="s">
        <v>327</v>
      </c>
      <c r="C19" t="s">
        <v>328</v>
      </c>
    </row>
    <row r="23" spans="2:9" ht="15" thickBot="1" x14ac:dyDescent="0.35">
      <c r="E23" s="20"/>
      <c r="F23" s="20"/>
      <c r="G23" s="446" t="s">
        <v>321</v>
      </c>
      <c r="H23" s="446"/>
      <c r="I23" s="446"/>
    </row>
    <row r="24" spans="2:9" ht="15" thickBot="1" x14ac:dyDescent="0.35">
      <c r="E24" s="250" t="s">
        <v>204</v>
      </c>
      <c r="F24" s="251" t="s">
        <v>237</v>
      </c>
      <c r="G24" s="252" t="s">
        <v>322</v>
      </c>
      <c r="H24" s="253" t="s">
        <v>323</v>
      </c>
      <c r="I24" s="254" t="s">
        <v>324</v>
      </c>
    </row>
    <row r="25" spans="2:9" x14ac:dyDescent="0.3">
      <c r="D25" t="s">
        <v>322</v>
      </c>
      <c r="E25" s="255">
        <v>8.7912021747442143E-2</v>
      </c>
      <c r="F25" s="256">
        <v>0.2</v>
      </c>
      <c r="G25" s="257">
        <v>0.09</v>
      </c>
      <c r="H25" s="258">
        <v>4.4999999999999998E-2</v>
      </c>
      <c r="I25" s="259">
        <v>0.05</v>
      </c>
    </row>
    <row r="26" spans="2:9" x14ac:dyDescent="0.3">
      <c r="D26" t="s">
        <v>323</v>
      </c>
      <c r="E26" s="255">
        <v>0.37362601032538811</v>
      </c>
      <c r="F26" s="256">
        <v>0.12</v>
      </c>
      <c r="G26" s="260">
        <v>4.4999999999999998E-2</v>
      </c>
      <c r="H26" s="261">
        <v>7.0000000000000007E-2</v>
      </c>
      <c r="I26" s="262">
        <v>0.04</v>
      </c>
    </row>
    <row r="27" spans="2:9" ht="15" thickBot="1" x14ac:dyDescent="0.35">
      <c r="D27" t="s">
        <v>324</v>
      </c>
      <c r="E27" s="263">
        <v>0.53846196792716972</v>
      </c>
      <c r="F27" s="264">
        <v>0.15</v>
      </c>
      <c r="G27" s="265">
        <v>0.05</v>
      </c>
      <c r="H27" s="266">
        <v>0.04</v>
      </c>
      <c r="I27" s="267">
        <v>0.06</v>
      </c>
    </row>
    <row r="28" spans="2:9" x14ac:dyDescent="0.3">
      <c r="E28" s="268">
        <f>SUM(E25:E27)</f>
        <v>1</v>
      </c>
    </row>
    <row r="33" spans="6:8" x14ac:dyDescent="0.3">
      <c r="F33" t="s">
        <v>268</v>
      </c>
      <c r="H33" s="84">
        <f>SUMPRODUCT(E25:E27,F25:F27)</f>
        <v>0.14318682077761047</v>
      </c>
    </row>
    <row r="35" spans="6:8" x14ac:dyDescent="0.3">
      <c r="F35" t="s">
        <v>293</v>
      </c>
      <c r="H35" s="84">
        <f>SQRT(E25^2*G25+E26^2*H26+E27^2*I27+2*E25*E26*H25+2*E26*E27*I26+2*E27*E25*G27)</f>
        <v>0.22726273704318353</v>
      </c>
    </row>
  </sheetData>
  <mergeCells count="2">
    <mergeCell ref="E3:G3"/>
    <mergeCell ref="G23:I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F3CD-AA07-4B69-9292-EC35D2DC9AAD}">
  <sheetPr>
    <tabColor theme="3" tint="0.59999389629810485"/>
  </sheetPr>
  <dimension ref="A3:Z499"/>
  <sheetViews>
    <sheetView topLeftCell="A487" zoomScale="137" zoomScaleNormal="137" workbookViewId="0"/>
  </sheetViews>
  <sheetFormatPr defaultRowHeight="14.4" x14ac:dyDescent="0.3"/>
  <cols>
    <col min="1" max="1" width="3.33203125" bestFit="1" customWidth="1"/>
    <col min="2" max="2" width="9.88671875" bestFit="1" customWidth="1"/>
    <col min="3" max="3" width="10.21875" bestFit="1" customWidth="1"/>
    <col min="5" max="5" width="9.21875" bestFit="1" customWidth="1"/>
    <col min="7" max="7" width="1.44140625" customWidth="1"/>
    <col min="8" max="8" width="10" bestFit="1" customWidth="1"/>
    <col min="13" max="13" width="1.77734375" customWidth="1"/>
    <col min="14" max="14" width="10" bestFit="1" customWidth="1"/>
    <col min="23" max="24" width="9.77734375" bestFit="1" customWidth="1"/>
    <col min="25" max="26" width="10.44140625" bestFit="1" customWidth="1"/>
  </cols>
  <sheetData>
    <row r="3" spans="1:26" x14ac:dyDescent="0.3">
      <c r="A3" s="42" t="s">
        <v>191</v>
      </c>
      <c r="B3" t="s">
        <v>334</v>
      </c>
      <c r="U3" s="282" t="s">
        <v>337</v>
      </c>
      <c r="V3" s="282"/>
      <c r="W3" s="282" t="s">
        <v>338</v>
      </c>
      <c r="X3" s="282"/>
      <c r="Y3" s="282" t="s">
        <v>339</v>
      </c>
    </row>
    <row r="4" spans="1:26" ht="15" thickBot="1" x14ac:dyDescent="0.35">
      <c r="A4" s="42"/>
    </row>
    <row r="5" spans="1:26" ht="15" thickBot="1" x14ac:dyDescent="0.35">
      <c r="A5" s="42"/>
      <c r="H5" s="437" t="s">
        <v>335</v>
      </c>
      <c r="I5" s="438"/>
      <c r="J5" s="438"/>
      <c r="K5" s="438"/>
      <c r="L5" s="439"/>
      <c r="N5" s="437" t="s">
        <v>336</v>
      </c>
      <c r="O5" s="438"/>
      <c r="P5" s="438"/>
      <c r="Q5" s="438"/>
      <c r="R5" s="439"/>
      <c r="S5" s="25"/>
      <c r="T5" s="25"/>
      <c r="V5" s="437" t="s">
        <v>341</v>
      </c>
      <c r="W5" s="438"/>
      <c r="X5" s="438"/>
      <c r="Y5" s="438"/>
      <c r="Z5" s="439"/>
    </row>
    <row r="6" spans="1:26" ht="15" thickBot="1" x14ac:dyDescent="0.35">
      <c r="U6" s="20"/>
      <c r="V6" s="20"/>
      <c r="W6" s="20">
        <v>0.25</v>
      </c>
      <c r="X6" s="20">
        <v>0.25</v>
      </c>
      <c r="Y6" s="20">
        <v>0.25</v>
      </c>
      <c r="Z6" s="20">
        <v>0.25</v>
      </c>
    </row>
    <row r="7" spans="1:26" x14ac:dyDescent="0.3">
      <c r="B7" s="201" t="s">
        <v>329</v>
      </c>
      <c r="C7" s="269" t="s">
        <v>330</v>
      </c>
      <c r="D7" s="269" t="s">
        <v>331</v>
      </c>
      <c r="E7" s="269" t="s">
        <v>332</v>
      </c>
      <c r="F7" s="270" t="s">
        <v>333</v>
      </c>
      <c r="H7" s="201" t="s">
        <v>329</v>
      </c>
      <c r="I7" s="269" t="s">
        <v>330</v>
      </c>
      <c r="J7" s="269" t="s">
        <v>331</v>
      </c>
      <c r="K7" s="269" t="s">
        <v>332</v>
      </c>
      <c r="L7" s="270" t="s">
        <v>333</v>
      </c>
      <c r="N7" s="201" t="s">
        <v>329</v>
      </c>
      <c r="O7" s="269" t="s">
        <v>330</v>
      </c>
      <c r="P7" s="269" t="s">
        <v>331</v>
      </c>
      <c r="Q7" s="269" t="s">
        <v>332</v>
      </c>
      <c r="R7" s="270" t="s">
        <v>333</v>
      </c>
      <c r="S7" s="25"/>
      <c r="T7" s="25"/>
      <c r="U7" s="20"/>
      <c r="V7" s="283"/>
      <c r="W7" s="269" t="s">
        <v>330</v>
      </c>
      <c r="X7" s="269" t="s">
        <v>331</v>
      </c>
      <c r="Y7" s="269" t="s">
        <v>332</v>
      </c>
      <c r="Z7" s="270" t="s">
        <v>333</v>
      </c>
    </row>
    <row r="8" spans="1:26" x14ac:dyDescent="0.3">
      <c r="B8" s="271">
        <v>43395</v>
      </c>
      <c r="C8" s="273">
        <v>2240.15</v>
      </c>
      <c r="D8" s="273">
        <v>213.55</v>
      </c>
      <c r="E8" s="273">
        <v>1200.4000000000001</v>
      </c>
      <c r="F8" s="274">
        <v>211.5</v>
      </c>
      <c r="H8" s="271">
        <v>43395</v>
      </c>
      <c r="I8" s="273"/>
      <c r="J8" s="273"/>
      <c r="K8" s="273"/>
      <c r="L8" s="274"/>
      <c r="N8" s="271">
        <v>43395</v>
      </c>
      <c r="O8" s="273"/>
      <c r="P8" s="273"/>
      <c r="Q8" s="273"/>
      <c r="R8" s="274"/>
      <c r="S8" s="273"/>
      <c r="T8" s="273"/>
      <c r="U8" s="20">
        <v>0.25</v>
      </c>
      <c r="V8" s="284" t="s">
        <v>330</v>
      </c>
      <c r="W8" s="286" cm="1">
        <f t="array" ref="W8:Z11">MMULT(TRANSPOSE(O9:R497),O9:R497)/(489-1)</f>
        <v>7.6315767058219577E-4</v>
      </c>
      <c r="X8" s="286">
        <v>2.61484302297605E-4</v>
      </c>
      <c r="Y8" s="286">
        <v>1.626954290803684E-4</v>
      </c>
      <c r="Z8" s="287">
        <v>2.1881416408533922E-5</v>
      </c>
    </row>
    <row r="9" spans="1:26" x14ac:dyDescent="0.3">
      <c r="B9" s="271">
        <v>43396</v>
      </c>
      <c r="C9" s="273">
        <v>2198.4499999999998</v>
      </c>
      <c r="D9" s="273">
        <v>210.35</v>
      </c>
      <c r="E9" s="273">
        <v>1138.45</v>
      </c>
      <c r="F9" s="274">
        <v>213.2</v>
      </c>
      <c r="H9" s="271">
        <v>43396</v>
      </c>
      <c r="I9" s="277">
        <f>(C9-C8)/C8</f>
        <v>-1.8614824900118416E-2</v>
      </c>
      <c r="J9" s="277">
        <f t="shared" ref="J9:L9" si="0">(D9-D8)/D8</f>
        <v>-1.4984781081713963E-2</v>
      </c>
      <c r="K9" s="277">
        <f t="shared" si="0"/>
        <v>-5.1607797400866413E-2</v>
      </c>
      <c r="L9" s="278">
        <f t="shared" si="0"/>
        <v>8.0378250591016005E-3</v>
      </c>
      <c r="N9" s="271">
        <v>43396</v>
      </c>
      <c r="O9" s="277">
        <f>I9-I$499</f>
        <v>-2.1840727631418477E-2</v>
      </c>
      <c r="P9" s="277">
        <f t="shared" ref="P9:R9" si="1">J9-J$499</f>
        <v>-1.3966447839108725E-2</v>
      </c>
      <c r="Q9" s="277">
        <f t="shared" si="1"/>
        <v>-5.2895080463895502E-2</v>
      </c>
      <c r="R9" s="278">
        <f t="shared" si="1"/>
        <v>1.1086914561441901E-2</v>
      </c>
      <c r="S9" s="277"/>
      <c r="T9" s="277"/>
      <c r="U9" s="20">
        <v>0.25</v>
      </c>
      <c r="V9" s="284" t="s">
        <v>331</v>
      </c>
      <c r="W9" s="286">
        <v>2.61484302297605E-4</v>
      </c>
      <c r="X9" s="286">
        <v>1.043018310695095E-3</v>
      </c>
      <c r="Y9" s="286">
        <v>1.6971787503974219E-4</v>
      </c>
      <c r="Z9" s="287">
        <v>1.1846837501777544E-4</v>
      </c>
    </row>
    <row r="10" spans="1:26" x14ac:dyDescent="0.3">
      <c r="B10" s="271">
        <v>43397</v>
      </c>
      <c r="C10" s="273">
        <v>2170.75</v>
      </c>
      <c r="D10" s="273">
        <v>211.9</v>
      </c>
      <c r="E10" s="273">
        <v>1186.9000000000001</v>
      </c>
      <c r="F10" s="274">
        <v>204</v>
      </c>
      <c r="H10" s="271">
        <v>43397</v>
      </c>
      <c r="I10" s="277">
        <f t="shared" ref="I10:I73" si="2">(C10-C9)/C9</f>
        <v>-1.2599786213013633E-2</v>
      </c>
      <c r="J10" s="277">
        <f t="shared" ref="J10:J73" si="3">(D10-D9)/D9</f>
        <v>7.3686712621821322E-3</v>
      </c>
      <c r="K10" s="277">
        <f t="shared" ref="K10:K73" si="4">(E10-E9)/E9</f>
        <v>4.2557863762132761E-2</v>
      </c>
      <c r="L10" s="278">
        <f t="shared" ref="L10:L73" si="5">(F10-F9)/F9</f>
        <v>-4.3151969981238221E-2</v>
      </c>
      <c r="N10" s="271">
        <v>43397</v>
      </c>
      <c r="O10" s="277">
        <f t="shared" ref="O10:O73" si="6">I10-I$499</f>
        <v>-1.5825688944313694E-2</v>
      </c>
      <c r="P10" s="277">
        <f t="shared" ref="P10:P73" si="7">J10-J$499</f>
        <v>8.3870045047873699E-3</v>
      </c>
      <c r="Q10" s="277">
        <f t="shared" ref="Q10:Q73" si="8">K10-K$499</f>
        <v>4.1270580699103672E-2</v>
      </c>
      <c r="R10" s="278">
        <f t="shared" ref="R10:R73" si="9">L10-L$499</f>
        <v>-4.0102880478897922E-2</v>
      </c>
      <c r="S10" s="277"/>
      <c r="T10" s="277"/>
      <c r="U10" s="20">
        <v>0.25</v>
      </c>
      <c r="V10" s="284" t="s">
        <v>332</v>
      </c>
      <c r="W10" s="286">
        <v>1.626954290803684E-4</v>
      </c>
      <c r="X10" s="286">
        <v>1.6971787503974219E-4</v>
      </c>
      <c r="Y10" s="286">
        <v>3.5417231507442004E-4</v>
      </c>
      <c r="Z10" s="287">
        <v>-1.0467924619684052E-5</v>
      </c>
    </row>
    <row r="11" spans="1:26" ht="15" thickBot="1" x14ac:dyDescent="0.35">
      <c r="B11" s="271">
        <v>43398</v>
      </c>
      <c r="C11" s="273">
        <v>2105.3000000000002</v>
      </c>
      <c r="D11" s="273">
        <v>204.6</v>
      </c>
      <c r="E11" s="273">
        <v>1200.05</v>
      </c>
      <c r="F11" s="274">
        <v>198.35</v>
      </c>
      <c r="H11" s="271">
        <v>43398</v>
      </c>
      <c r="I11" s="277">
        <f t="shared" si="2"/>
        <v>-3.0150869515144452E-2</v>
      </c>
      <c r="J11" s="277">
        <f t="shared" si="3"/>
        <v>-3.4450212364322844E-2</v>
      </c>
      <c r="K11" s="277">
        <f t="shared" si="4"/>
        <v>1.1079282163619397E-2</v>
      </c>
      <c r="L11" s="278">
        <f t="shared" si="5"/>
        <v>-2.7696078431372576E-2</v>
      </c>
      <c r="N11" s="271">
        <v>43398</v>
      </c>
      <c r="O11" s="277">
        <f t="shared" si="6"/>
        <v>-3.3376772246444517E-2</v>
      </c>
      <c r="P11" s="277">
        <f t="shared" si="7"/>
        <v>-3.3431879121717606E-2</v>
      </c>
      <c r="Q11" s="277">
        <f t="shared" si="8"/>
        <v>9.7919991005903078E-3</v>
      </c>
      <c r="R11" s="278">
        <f t="shared" si="9"/>
        <v>-2.4646988929032273E-2</v>
      </c>
      <c r="S11" s="277"/>
      <c r="T11" s="277"/>
      <c r="U11" s="20">
        <v>0.25</v>
      </c>
      <c r="V11" s="285" t="s">
        <v>333</v>
      </c>
      <c r="W11" s="288">
        <v>2.1881416408533922E-5</v>
      </c>
      <c r="X11" s="288">
        <v>1.1846837501777544E-4</v>
      </c>
      <c r="Y11" s="288">
        <v>-1.0467924619684052E-5</v>
      </c>
      <c r="Z11" s="289">
        <v>5.2417904280285836E-3</v>
      </c>
    </row>
    <row r="12" spans="1:26" x14ac:dyDescent="0.3">
      <c r="B12" s="271">
        <v>43399</v>
      </c>
      <c r="C12" s="273">
        <v>2084.25</v>
      </c>
      <c r="D12" s="273">
        <v>203.65</v>
      </c>
      <c r="E12" s="273">
        <v>1190.3</v>
      </c>
      <c r="F12" s="274">
        <v>180.7</v>
      </c>
      <c r="H12" s="271">
        <v>43399</v>
      </c>
      <c r="I12" s="277">
        <f t="shared" si="2"/>
        <v>-9.9985750249371487E-3</v>
      </c>
      <c r="J12" s="277">
        <f t="shared" si="3"/>
        <v>-4.6432062561094266E-3</v>
      </c>
      <c r="K12" s="277">
        <f t="shared" si="4"/>
        <v>-8.124661472438649E-3</v>
      </c>
      <c r="L12" s="278">
        <f t="shared" si="5"/>
        <v>-8.898411898159822E-2</v>
      </c>
      <c r="N12" s="271">
        <v>43399</v>
      </c>
      <c r="O12" s="277">
        <f t="shared" si="6"/>
        <v>-1.322447775623721E-2</v>
      </c>
      <c r="P12" s="277">
        <f t="shared" si="7"/>
        <v>-3.6248730135041889E-3</v>
      </c>
      <c r="Q12" s="277">
        <f t="shared" si="8"/>
        <v>-9.4119445354677381E-3</v>
      </c>
      <c r="R12" s="278">
        <f t="shared" si="9"/>
        <v>-8.5935029479257921E-2</v>
      </c>
      <c r="S12" s="277"/>
      <c r="T12" s="277"/>
      <c r="U12" s="20"/>
      <c r="V12" s="20"/>
      <c r="W12" s="20"/>
      <c r="X12" s="20"/>
      <c r="Y12" s="20"/>
      <c r="Z12" s="20"/>
    </row>
    <row r="13" spans="1:26" x14ac:dyDescent="0.3">
      <c r="B13" s="271">
        <v>43402</v>
      </c>
      <c r="C13" s="273">
        <v>2102.1999999999998</v>
      </c>
      <c r="D13" s="273">
        <v>211.4</v>
      </c>
      <c r="E13" s="273">
        <v>1196.05</v>
      </c>
      <c r="F13" s="274">
        <v>181.3</v>
      </c>
      <c r="H13" s="271">
        <v>43402</v>
      </c>
      <c r="I13" s="277">
        <f t="shared" si="2"/>
        <v>8.6122106273238894E-3</v>
      </c>
      <c r="J13" s="277">
        <f t="shared" si="3"/>
        <v>3.8055487355757422E-2</v>
      </c>
      <c r="K13" s="277">
        <f t="shared" si="4"/>
        <v>4.8307149458119807E-3</v>
      </c>
      <c r="L13" s="278">
        <f t="shared" si="5"/>
        <v>3.3204205866077629E-3</v>
      </c>
      <c r="N13" s="271">
        <v>43402</v>
      </c>
      <c r="O13" s="277">
        <f t="shared" si="6"/>
        <v>5.386307896023828E-3</v>
      </c>
      <c r="P13" s="277">
        <f t="shared" si="7"/>
        <v>3.907382059836266E-2</v>
      </c>
      <c r="Q13" s="277">
        <f t="shared" si="8"/>
        <v>3.543431882782892E-3</v>
      </c>
      <c r="R13" s="278">
        <f t="shared" si="9"/>
        <v>6.3695100889480643E-3</v>
      </c>
      <c r="S13" s="277"/>
      <c r="T13" s="277"/>
      <c r="V13" s="290" t="s">
        <v>340</v>
      </c>
      <c r="W13">
        <f>SUMPRODUCT($U$8:$U$11,W8:W11)</f>
        <v>3.0230470459217582E-4</v>
      </c>
      <c r="X13">
        <f t="shared" ref="X13:Z13" si="10">SUMPRODUCT($U$8:$U$11,X8:X11)</f>
        <v>3.9817221576255438E-4</v>
      </c>
      <c r="Y13">
        <f t="shared" si="10"/>
        <v>1.6902942364371165E-4</v>
      </c>
      <c r="Z13">
        <f t="shared" si="10"/>
        <v>1.3429180737088023E-3</v>
      </c>
    </row>
    <row r="14" spans="1:26" x14ac:dyDescent="0.3">
      <c r="B14" s="271">
        <v>43403</v>
      </c>
      <c r="C14" s="273">
        <v>2080.0500000000002</v>
      </c>
      <c r="D14" s="273">
        <v>211.2</v>
      </c>
      <c r="E14" s="273">
        <v>1196.3</v>
      </c>
      <c r="F14" s="274">
        <v>182.05</v>
      </c>
      <c r="H14" s="271">
        <v>43403</v>
      </c>
      <c r="I14" s="277">
        <f t="shared" si="2"/>
        <v>-1.0536580724954637E-2</v>
      </c>
      <c r="J14" s="277">
        <f t="shared" si="3"/>
        <v>-9.4607379375599363E-4</v>
      </c>
      <c r="K14" s="277">
        <f t="shared" si="4"/>
        <v>2.0902136198319468E-4</v>
      </c>
      <c r="L14" s="278">
        <f t="shared" si="5"/>
        <v>4.1367898510755651E-3</v>
      </c>
      <c r="N14" s="271">
        <v>43403</v>
      </c>
      <c r="O14" s="277">
        <f t="shared" si="6"/>
        <v>-1.3762483456254698E-2</v>
      </c>
      <c r="P14" s="277">
        <f t="shared" si="7"/>
        <v>7.2259448849244312E-5</v>
      </c>
      <c r="Q14" s="277">
        <f t="shared" si="8"/>
        <v>-1.0782617010458939E-3</v>
      </c>
      <c r="R14" s="278">
        <f t="shared" si="9"/>
        <v>7.1858793534158669E-3</v>
      </c>
      <c r="S14" s="277"/>
      <c r="T14" s="277"/>
    </row>
    <row r="15" spans="1:26" x14ac:dyDescent="0.3">
      <c r="B15" s="271">
        <v>43404</v>
      </c>
      <c r="C15" s="273">
        <v>2094.4</v>
      </c>
      <c r="D15" s="273">
        <v>211.15</v>
      </c>
      <c r="E15" s="273">
        <v>1230.4000000000001</v>
      </c>
      <c r="F15" s="274">
        <v>188.1</v>
      </c>
      <c r="H15" s="271">
        <v>43404</v>
      </c>
      <c r="I15" s="277">
        <f t="shared" si="2"/>
        <v>6.8988726232542047E-3</v>
      </c>
      <c r="J15" s="277">
        <f t="shared" si="3"/>
        <v>-2.367424242423435E-4</v>
      </c>
      <c r="K15" s="277">
        <f t="shared" si="4"/>
        <v>2.8504555713449918E-2</v>
      </c>
      <c r="L15" s="278">
        <f t="shared" si="5"/>
        <v>3.3232628398791444E-2</v>
      </c>
      <c r="N15" s="271">
        <v>43404</v>
      </c>
      <c r="O15" s="277">
        <f t="shared" si="6"/>
        <v>3.6729698919541432E-3</v>
      </c>
      <c r="P15" s="277">
        <f t="shared" si="7"/>
        <v>7.8159081836289446E-4</v>
      </c>
      <c r="Q15" s="277">
        <f t="shared" si="8"/>
        <v>2.7217272650420829E-2</v>
      </c>
      <c r="R15" s="278">
        <f t="shared" si="9"/>
        <v>3.6281717901131744E-2</v>
      </c>
      <c r="S15" s="277"/>
      <c r="T15" s="277"/>
      <c r="X15" t="s">
        <v>342</v>
      </c>
      <c r="Z15">
        <f>SUMPRODUCT(W6:Z6,W13:Z13)</f>
        <v>5.5310610442681099E-4</v>
      </c>
    </row>
    <row r="16" spans="1:26" x14ac:dyDescent="0.3">
      <c r="B16" s="271">
        <v>43405</v>
      </c>
      <c r="C16" s="273">
        <v>2098.85</v>
      </c>
      <c r="D16" s="273">
        <v>212.8</v>
      </c>
      <c r="E16" s="273">
        <v>1217.8</v>
      </c>
      <c r="F16" s="274">
        <v>204.05</v>
      </c>
      <c r="H16" s="271">
        <v>43405</v>
      </c>
      <c r="I16" s="277">
        <f t="shared" si="2"/>
        <v>2.1247135217722585E-3</v>
      </c>
      <c r="J16" s="277">
        <f t="shared" si="3"/>
        <v>7.8143499881601023E-3</v>
      </c>
      <c r="K16" s="277">
        <f t="shared" si="4"/>
        <v>-1.0240572171651606E-2</v>
      </c>
      <c r="L16" s="278">
        <f t="shared" si="5"/>
        <v>8.4795321637426993E-2</v>
      </c>
      <c r="N16" s="271">
        <v>43405</v>
      </c>
      <c r="O16" s="277">
        <f t="shared" si="6"/>
        <v>-1.1011892095278029E-3</v>
      </c>
      <c r="P16" s="277">
        <f t="shared" si="7"/>
        <v>8.83268323076534E-3</v>
      </c>
      <c r="Q16" s="277">
        <f t="shared" si="8"/>
        <v>-1.1527855234680695E-2</v>
      </c>
      <c r="R16" s="278">
        <f t="shared" si="9"/>
        <v>8.7844411139767292E-2</v>
      </c>
      <c r="S16" s="277"/>
      <c r="T16" s="277"/>
    </row>
    <row r="17" spans="2:26" ht="19.8" x14ac:dyDescent="0.4">
      <c r="B17" s="271">
        <v>43406</v>
      </c>
      <c r="C17" s="273">
        <v>2140.3000000000002</v>
      </c>
      <c r="D17" s="273">
        <v>225.9</v>
      </c>
      <c r="E17" s="273">
        <v>1247</v>
      </c>
      <c r="F17" s="274">
        <v>209.1</v>
      </c>
      <c r="H17" s="271">
        <v>43406</v>
      </c>
      <c r="I17" s="277">
        <f t="shared" si="2"/>
        <v>1.9748910117445399E-2</v>
      </c>
      <c r="J17" s="277">
        <f t="shared" si="3"/>
        <v>6.1560150375939822E-2</v>
      </c>
      <c r="K17" s="277">
        <f t="shared" si="4"/>
        <v>2.3977664641156221E-2</v>
      </c>
      <c r="L17" s="278">
        <f t="shared" si="5"/>
        <v>2.4748836069590701E-2</v>
      </c>
      <c r="N17" s="271">
        <v>43406</v>
      </c>
      <c r="O17" s="277">
        <f t="shared" si="6"/>
        <v>1.6523007386145337E-2</v>
      </c>
      <c r="P17" s="277">
        <f t="shared" si="7"/>
        <v>6.2578483618545067E-2</v>
      </c>
      <c r="Q17" s="277">
        <f t="shared" si="8"/>
        <v>2.2690381578127132E-2</v>
      </c>
      <c r="R17" s="278">
        <f t="shared" si="9"/>
        <v>2.7797925571931004E-2</v>
      </c>
      <c r="S17" s="277"/>
      <c r="T17" s="277"/>
      <c r="W17" s="25" t="s">
        <v>343</v>
      </c>
      <c r="X17" t="s">
        <v>270</v>
      </c>
      <c r="Z17" s="70">
        <f>SQRT(Z15)</f>
        <v>2.3518207933998947E-2</v>
      </c>
    </row>
    <row r="18" spans="2:26" x14ac:dyDescent="0.3">
      <c r="B18" s="271">
        <v>43409</v>
      </c>
      <c r="C18" s="273">
        <v>2149.8000000000002</v>
      </c>
      <c r="D18" s="273">
        <v>222.45</v>
      </c>
      <c r="E18" s="273">
        <v>1244.05</v>
      </c>
      <c r="F18" s="274">
        <v>210.1</v>
      </c>
      <c r="H18" s="271">
        <v>43409</v>
      </c>
      <c r="I18" s="277">
        <f t="shared" si="2"/>
        <v>4.4386300985843098E-3</v>
      </c>
      <c r="J18" s="277">
        <f t="shared" si="3"/>
        <v>-1.5272244355909769E-2</v>
      </c>
      <c r="K18" s="277">
        <f t="shared" si="4"/>
        <v>-2.3656776263031639E-3</v>
      </c>
      <c r="L18" s="278">
        <f t="shared" si="5"/>
        <v>4.7824007651841227E-3</v>
      </c>
      <c r="N18" s="271">
        <v>43409</v>
      </c>
      <c r="O18" s="277">
        <f t="shared" si="6"/>
        <v>1.2127273672842484E-3</v>
      </c>
      <c r="P18" s="277">
        <f t="shared" si="7"/>
        <v>-1.4253911113304532E-2</v>
      </c>
      <c r="Q18" s="277">
        <f t="shared" si="8"/>
        <v>-3.6529606893322525E-3</v>
      </c>
      <c r="R18" s="278">
        <f t="shared" si="9"/>
        <v>7.8314902675244245E-3</v>
      </c>
      <c r="S18" s="277"/>
      <c r="T18" s="277"/>
    </row>
    <row r="19" spans="2:26" ht="19.8" x14ac:dyDescent="0.4">
      <c r="B19" s="271">
        <v>43410</v>
      </c>
      <c r="C19" s="273">
        <v>2124.4499999999998</v>
      </c>
      <c r="D19" s="273">
        <v>207.4</v>
      </c>
      <c r="E19" s="273">
        <v>1238.5</v>
      </c>
      <c r="F19" s="274">
        <v>214.45</v>
      </c>
      <c r="H19" s="271">
        <v>43410</v>
      </c>
      <c r="I19" s="277">
        <f t="shared" si="2"/>
        <v>-1.1791794585543009E-2</v>
      </c>
      <c r="J19" s="277">
        <f t="shared" si="3"/>
        <v>-6.7655652955720319E-2</v>
      </c>
      <c r="K19" s="277">
        <f t="shared" si="4"/>
        <v>-4.4612354808889953E-3</v>
      </c>
      <c r="L19" s="278">
        <f t="shared" si="5"/>
        <v>2.0704426463588742E-2</v>
      </c>
      <c r="N19" s="271">
        <v>43410</v>
      </c>
      <c r="O19" s="277">
        <f t="shared" si="6"/>
        <v>-1.5017697316843071E-2</v>
      </c>
      <c r="P19" s="277">
        <f t="shared" si="7"/>
        <v>-6.6637319713115081E-2</v>
      </c>
      <c r="Q19" s="277">
        <f t="shared" si="8"/>
        <v>-5.7485185439180835E-3</v>
      </c>
      <c r="R19" s="278">
        <f t="shared" si="9"/>
        <v>2.3753515965929044E-2</v>
      </c>
      <c r="S19" s="277"/>
      <c r="T19" s="277"/>
      <c r="W19" s="25" t="s">
        <v>344</v>
      </c>
      <c r="X19" t="s">
        <v>270</v>
      </c>
      <c r="Z19" s="70">
        <f>Z17*SQRT(252)</f>
        <v>0.37333997685160425</v>
      </c>
    </row>
    <row r="20" spans="2:26" x14ac:dyDescent="0.3">
      <c r="B20" s="271">
        <v>43411</v>
      </c>
      <c r="C20" s="273">
        <v>2136.25</v>
      </c>
      <c r="D20" s="273">
        <v>209.75</v>
      </c>
      <c r="E20" s="273">
        <v>1250.95</v>
      </c>
      <c r="F20" s="274">
        <v>215.95</v>
      </c>
      <c r="H20" s="271">
        <v>43411</v>
      </c>
      <c r="I20" s="277">
        <f t="shared" si="2"/>
        <v>5.5543787803903049E-3</v>
      </c>
      <c r="J20" s="277">
        <f t="shared" si="3"/>
        <v>1.1330761812921862E-2</v>
      </c>
      <c r="K20" s="277">
        <f t="shared" si="4"/>
        <v>1.0052482842147796E-2</v>
      </c>
      <c r="L20" s="278">
        <f t="shared" si="5"/>
        <v>6.9946374446257873E-3</v>
      </c>
      <c r="N20" s="271">
        <v>43411</v>
      </c>
      <c r="O20" s="277">
        <f t="shared" si="6"/>
        <v>2.3284760490902435E-3</v>
      </c>
      <c r="P20" s="277">
        <f t="shared" si="7"/>
        <v>1.2349095055527099E-2</v>
      </c>
      <c r="Q20" s="277">
        <f t="shared" si="8"/>
        <v>8.7651997791187066E-3</v>
      </c>
      <c r="R20" s="278">
        <f t="shared" si="9"/>
        <v>1.0043726946966088E-2</v>
      </c>
      <c r="S20" s="277"/>
      <c r="T20" s="277"/>
    </row>
    <row r="21" spans="2:26" x14ac:dyDescent="0.3">
      <c r="B21" s="271">
        <v>43413</v>
      </c>
      <c r="C21" s="273">
        <v>2140.6</v>
      </c>
      <c r="D21" s="273">
        <v>209.05</v>
      </c>
      <c r="E21" s="273">
        <v>1295.5999999999999</v>
      </c>
      <c r="F21" s="274">
        <v>227.9</v>
      </c>
      <c r="H21" s="271">
        <v>43413</v>
      </c>
      <c r="I21" s="277">
        <f t="shared" si="2"/>
        <v>2.0362785254534389E-3</v>
      </c>
      <c r="J21" s="277">
        <f t="shared" si="3"/>
        <v>-3.3373063170440459E-3</v>
      </c>
      <c r="K21" s="277">
        <f t="shared" si="4"/>
        <v>3.5692873416203572E-2</v>
      </c>
      <c r="L21" s="278">
        <f t="shared" si="5"/>
        <v>5.5336883537856069E-2</v>
      </c>
      <c r="N21" s="271">
        <v>43413</v>
      </c>
      <c r="O21" s="277">
        <f t="shared" si="6"/>
        <v>-1.1896242058466225E-3</v>
      </c>
      <c r="P21" s="277">
        <f t="shared" si="7"/>
        <v>-2.3189730744388078E-3</v>
      </c>
      <c r="Q21" s="277">
        <f t="shared" si="8"/>
        <v>3.4405590353174482E-2</v>
      </c>
      <c r="R21" s="278">
        <f t="shared" si="9"/>
        <v>5.8385973040196368E-2</v>
      </c>
      <c r="S21" s="277"/>
      <c r="T21" s="277"/>
      <c r="X21" t="s">
        <v>268</v>
      </c>
      <c r="Z21" s="70">
        <f>SUMPRODUCT(W6:Z6,I499:L499)*252</f>
        <v>2.8083072111167492E-2</v>
      </c>
    </row>
    <row r="22" spans="2:26" x14ac:dyDescent="0.3">
      <c r="B22" s="271">
        <v>43416</v>
      </c>
      <c r="C22" s="273">
        <v>2142.1999999999998</v>
      </c>
      <c r="D22" s="273">
        <v>203.15</v>
      </c>
      <c r="E22" s="273">
        <v>1278.8</v>
      </c>
      <c r="F22" s="274">
        <v>223.05</v>
      </c>
      <c r="H22" s="271">
        <v>43416</v>
      </c>
      <c r="I22" s="277">
        <f t="shared" si="2"/>
        <v>7.4745398486401437E-4</v>
      </c>
      <c r="J22" s="277">
        <f t="shared" si="3"/>
        <v>-2.8222913178665418E-2</v>
      </c>
      <c r="K22" s="277">
        <f t="shared" si="4"/>
        <v>-1.2966965112689067E-2</v>
      </c>
      <c r="L22" s="278">
        <f t="shared" si="5"/>
        <v>-2.1281263712154427E-2</v>
      </c>
      <c r="N22" s="271">
        <v>43416</v>
      </c>
      <c r="O22" s="277">
        <f t="shared" si="6"/>
        <v>-2.4784487464360469E-3</v>
      </c>
      <c r="P22" s="277">
        <f t="shared" si="7"/>
        <v>-2.720457993606018E-2</v>
      </c>
      <c r="Q22" s="277">
        <f t="shared" si="8"/>
        <v>-1.4254248175718156E-2</v>
      </c>
      <c r="R22" s="278">
        <f t="shared" si="9"/>
        <v>-1.8232174209814125E-2</v>
      </c>
      <c r="S22" s="277"/>
      <c r="T22" s="277"/>
    </row>
    <row r="23" spans="2:26" x14ac:dyDescent="0.3">
      <c r="B23" s="271">
        <v>43417</v>
      </c>
      <c r="C23" s="273">
        <v>2116.35</v>
      </c>
      <c r="D23" s="273">
        <v>205.6</v>
      </c>
      <c r="E23" s="273">
        <v>1284.9000000000001</v>
      </c>
      <c r="F23" s="274">
        <v>225.45</v>
      </c>
      <c r="H23" s="271">
        <v>43417</v>
      </c>
      <c r="I23" s="277">
        <f t="shared" si="2"/>
        <v>-1.2067033890393012E-2</v>
      </c>
      <c r="J23" s="277">
        <f t="shared" si="3"/>
        <v>1.206005414718183E-2</v>
      </c>
      <c r="K23" s="277">
        <f t="shared" si="4"/>
        <v>4.7700969659056434E-3</v>
      </c>
      <c r="L23" s="278">
        <f t="shared" si="5"/>
        <v>1.0759919300605143E-2</v>
      </c>
      <c r="N23" s="271">
        <v>43417</v>
      </c>
      <c r="O23" s="277">
        <f t="shared" si="6"/>
        <v>-1.5292936621693074E-2</v>
      </c>
      <c r="P23" s="277">
        <f t="shared" si="7"/>
        <v>1.3078387389787068E-2</v>
      </c>
      <c r="Q23" s="277">
        <f t="shared" si="8"/>
        <v>3.4828139028765547E-3</v>
      </c>
      <c r="R23" s="278">
        <f t="shared" si="9"/>
        <v>1.3809008802945444E-2</v>
      </c>
      <c r="S23" s="277"/>
      <c r="T23" s="277"/>
    </row>
    <row r="24" spans="2:26" x14ac:dyDescent="0.3">
      <c r="B24" s="271">
        <v>43418</v>
      </c>
      <c r="C24" s="273">
        <v>2104.5</v>
      </c>
      <c r="D24" s="273">
        <v>204.1</v>
      </c>
      <c r="E24" s="273">
        <v>1320.55</v>
      </c>
      <c r="F24" s="274">
        <v>222.4</v>
      </c>
      <c r="H24" s="271">
        <v>43418</v>
      </c>
      <c r="I24" s="277">
        <f t="shared" si="2"/>
        <v>-5.5992628818484231E-3</v>
      </c>
      <c r="J24" s="277">
        <f t="shared" si="3"/>
        <v>-7.2957198443579768E-3</v>
      </c>
      <c r="K24" s="277">
        <f t="shared" si="4"/>
        <v>2.7745349832671694E-2</v>
      </c>
      <c r="L24" s="278">
        <f t="shared" si="5"/>
        <v>-1.3528498558438603E-2</v>
      </c>
      <c r="N24" s="271">
        <v>43418</v>
      </c>
      <c r="O24" s="277">
        <f t="shared" si="6"/>
        <v>-8.8251656131484845E-3</v>
      </c>
      <c r="P24" s="277">
        <f t="shared" si="7"/>
        <v>-6.277386601752739E-3</v>
      </c>
      <c r="Q24" s="277">
        <f t="shared" si="8"/>
        <v>2.6458066769642605E-2</v>
      </c>
      <c r="R24" s="278">
        <f t="shared" si="9"/>
        <v>-1.0479409056098302E-2</v>
      </c>
      <c r="S24" s="277"/>
      <c r="T24" s="277"/>
    </row>
    <row r="25" spans="2:26" x14ac:dyDescent="0.3">
      <c r="B25" s="271">
        <v>43419</v>
      </c>
      <c r="C25" s="273">
        <v>2055.6999999999998</v>
      </c>
      <c r="D25" s="273">
        <v>207.55</v>
      </c>
      <c r="E25" s="273">
        <v>1318.3</v>
      </c>
      <c r="F25" s="274">
        <v>205.85</v>
      </c>
      <c r="H25" s="271">
        <v>43419</v>
      </c>
      <c r="I25" s="277">
        <f t="shared" si="2"/>
        <v>-2.3188405797101536E-2</v>
      </c>
      <c r="J25" s="277">
        <f t="shared" si="3"/>
        <v>1.6903478686918261E-2</v>
      </c>
      <c r="K25" s="277">
        <f t="shared" si="4"/>
        <v>-1.7038355230775057E-3</v>
      </c>
      <c r="L25" s="278">
        <f t="shared" si="5"/>
        <v>-7.4415467625899331E-2</v>
      </c>
      <c r="N25" s="271">
        <v>43419</v>
      </c>
      <c r="O25" s="277">
        <f t="shared" si="6"/>
        <v>-2.6414308528401598E-2</v>
      </c>
      <c r="P25" s="277">
        <f t="shared" si="7"/>
        <v>1.7921811929523499E-2</v>
      </c>
      <c r="Q25" s="277">
        <f t="shared" si="8"/>
        <v>-2.9911185861065943E-3</v>
      </c>
      <c r="R25" s="278">
        <f t="shared" si="9"/>
        <v>-7.1366378123559032E-2</v>
      </c>
      <c r="S25" s="277"/>
      <c r="T25" s="277"/>
    </row>
    <row r="26" spans="2:26" x14ac:dyDescent="0.3">
      <c r="B26" s="271">
        <v>43420</v>
      </c>
      <c r="C26" s="273">
        <v>1994.1</v>
      </c>
      <c r="D26" s="273">
        <v>206.8</v>
      </c>
      <c r="E26" s="273">
        <v>1321.3</v>
      </c>
      <c r="F26" s="274">
        <v>191</v>
      </c>
      <c r="H26" s="271">
        <v>43420</v>
      </c>
      <c r="I26" s="277">
        <f t="shared" si="2"/>
        <v>-2.9965461886461989E-2</v>
      </c>
      <c r="J26" s="277">
        <f t="shared" si="3"/>
        <v>-3.6135870874488074E-3</v>
      </c>
      <c r="K26" s="277">
        <f t="shared" si="4"/>
        <v>2.2756580444511874E-3</v>
      </c>
      <c r="L26" s="278">
        <f t="shared" si="5"/>
        <v>-7.2139907699781375E-2</v>
      </c>
      <c r="N26" s="271">
        <v>43420</v>
      </c>
      <c r="O26" s="277">
        <f t="shared" si="6"/>
        <v>-3.3191364617762051E-2</v>
      </c>
      <c r="P26" s="277">
        <f t="shared" si="7"/>
        <v>-2.5952538448435697E-3</v>
      </c>
      <c r="Q26" s="277">
        <f t="shared" si="8"/>
        <v>9.8837498142209873E-4</v>
      </c>
      <c r="R26" s="278">
        <f t="shared" si="9"/>
        <v>-6.9090818197441076E-2</v>
      </c>
      <c r="S26" s="277"/>
      <c r="T26" s="277"/>
    </row>
    <row r="27" spans="2:26" x14ac:dyDescent="0.3">
      <c r="B27" s="271">
        <v>43423</v>
      </c>
      <c r="C27" s="273">
        <v>2049.0500000000002</v>
      </c>
      <c r="D27" s="273">
        <v>211.35</v>
      </c>
      <c r="E27" s="273">
        <v>1312.15</v>
      </c>
      <c r="F27" s="274">
        <v>204.8</v>
      </c>
      <c r="H27" s="271">
        <v>43423</v>
      </c>
      <c r="I27" s="277">
        <f t="shared" si="2"/>
        <v>2.7556291058623075E-2</v>
      </c>
      <c r="J27" s="277">
        <f t="shared" si="3"/>
        <v>2.2001934235976704E-2</v>
      </c>
      <c r="K27" s="277">
        <f t="shared" si="4"/>
        <v>-6.924998107923911E-3</v>
      </c>
      <c r="L27" s="278">
        <f t="shared" si="5"/>
        <v>7.2251308900523614E-2</v>
      </c>
      <c r="N27" s="271">
        <v>43423</v>
      </c>
      <c r="O27" s="277">
        <f t="shared" si="6"/>
        <v>2.4330388327323014E-2</v>
      </c>
      <c r="P27" s="277">
        <f t="shared" si="7"/>
        <v>2.3020267478581942E-2</v>
      </c>
      <c r="Q27" s="277">
        <f t="shared" si="8"/>
        <v>-8.2122811709530001E-3</v>
      </c>
      <c r="R27" s="278">
        <f t="shared" si="9"/>
        <v>7.5300398402863913E-2</v>
      </c>
      <c r="S27" s="277"/>
      <c r="T27" s="277"/>
    </row>
    <row r="28" spans="2:26" x14ac:dyDescent="0.3">
      <c r="B28" s="271">
        <v>43424</v>
      </c>
      <c r="C28" s="273">
        <v>2033.5</v>
      </c>
      <c r="D28" s="273">
        <v>205.25</v>
      </c>
      <c r="E28" s="273">
        <v>1306.8499999999999</v>
      </c>
      <c r="F28" s="274">
        <v>192.1</v>
      </c>
      <c r="H28" s="271">
        <v>43424</v>
      </c>
      <c r="I28" s="277">
        <f t="shared" si="2"/>
        <v>-7.5888826529368148E-3</v>
      </c>
      <c r="J28" s="277">
        <f t="shared" si="3"/>
        <v>-2.8862077123255239E-2</v>
      </c>
      <c r="K28" s="277">
        <f t="shared" si="4"/>
        <v>-4.0391723507222357E-3</v>
      </c>
      <c r="L28" s="278">
        <f t="shared" si="5"/>
        <v>-6.2011718750000083E-2</v>
      </c>
      <c r="N28" s="271">
        <v>43424</v>
      </c>
      <c r="O28" s="277">
        <f t="shared" si="6"/>
        <v>-1.0814785384236875E-2</v>
      </c>
      <c r="P28" s="277">
        <f t="shared" si="7"/>
        <v>-2.7843743880650001E-2</v>
      </c>
      <c r="Q28" s="277">
        <f t="shared" si="8"/>
        <v>-5.3264554137513239E-3</v>
      </c>
      <c r="R28" s="278">
        <f t="shared" si="9"/>
        <v>-5.8962629247659784E-2</v>
      </c>
      <c r="S28" s="277"/>
      <c r="T28" s="277"/>
    </row>
    <row r="29" spans="2:26" x14ac:dyDescent="0.3">
      <c r="B29" s="271">
        <v>43425</v>
      </c>
      <c r="C29" s="273">
        <v>2039.75</v>
      </c>
      <c r="D29" s="273">
        <v>201.9</v>
      </c>
      <c r="E29" s="273">
        <v>1324.2</v>
      </c>
      <c r="F29" s="274">
        <v>198.15</v>
      </c>
      <c r="H29" s="271">
        <v>43425</v>
      </c>
      <c r="I29" s="277">
        <f t="shared" si="2"/>
        <v>3.073518564052127E-3</v>
      </c>
      <c r="J29" s="277">
        <f t="shared" si="3"/>
        <v>-1.6321559074299608E-2</v>
      </c>
      <c r="K29" s="277">
        <f t="shared" si="4"/>
        <v>1.3276198492558547E-2</v>
      </c>
      <c r="L29" s="278">
        <f t="shared" si="5"/>
        <v>3.1494013534617449E-2</v>
      </c>
      <c r="N29" s="271">
        <v>43425</v>
      </c>
      <c r="O29" s="277">
        <f t="shared" si="6"/>
        <v>-1.5238416724793445E-4</v>
      </c>
      <c r="P29" s="277">
        <f t="shared" si="7"/>
        <v>-1.530322583169437E-2</v>
      </c>
      <c r="Q29" s="277">
        <f t="shared" si="8"/>
        <v>1.1988915429529458E-2</v>
      </c>
      <c r="R29" s="278">
        <f t="shared" si="9"/>
        <v>3.4543103036957748E-2</v>
      </c>
      <c r="S29" s="277"/>
      <c r="T29" s="277"/>
    </row>
    <row r="30" spans="2:26" x14ac:dyDescent="0.3">
      <c r="B30" s="271">
        <v>43426</v>
      </c>
      <c r="C30" s="273">
        <v>2059.8000000000002</v>
      </c>
      <c r="D30" s="273">
        <v>199.6</v>
      </c>
      <c r="E30" s="273">
        <v>1314.4</v>
      </c>
      <c r="F30" s="274">
        <v>195.55</v>
      </c>
      <c r="H30" s="271">
        <v>43426</v>
      </c>
      <c r="I30" s="277">
        <f t="shared" si="2"/>
        <v>9.8296359848021476E-3</v>
      </c>
      <c r="J30" s="277">
        <f t="shared" si="3"/>
        <v>-1.1391778107974301E-2</v>
      </c>
      <c r="K30" s="277">
        <f t="shared" si="4"/>
        <v>-7.4006947590997988E-3</v>
      </c>
      <c r="L30" s="278">
        <f t="shared" si="5"/>
        <v>-1.3121372697451396E-2</v>
      </c>
      <c r="N30" s="271">
        <v>43426</v>
      </c>
      <c r="O30" s="277">
        <f t="shared" si="6"/>
        <v>6.6037332535020862E-3</v>
      </c>
      <c r="P30" s="277">
        <f t="shared" si="7"/>
        <v>-1.0373444865369064E-2</v>
      </c>
      <c r="Q30" s="277">
        <f t="shared" si="8"/>
        <v>-8.687977822128887E-3</v>
      </c>
      <c r="R30" s="278">
        <f t="shared" si="9"/>
        <v>-1.0072283195111095E-2</v>
      </c>
      <c r="S30" s="277"/>
      <c r="T30" s="277"/>
    </row>
    <row r="31" spans="2:26" x14ac:dyDescent="0.3">
      <c r="B31" s="271">
        <v>43430</v>
      </c>
      <c r="C31" s="273">
        <v>2050.5500000000002</v>
      </c>
      <c r="D31" s="273">
        <v>195.8</v>
      </c>
      <c r="E31" s="273">
        <v>1349.5</v>
      </c>
      <c r="F31" s="274">
        <v>187.9</v>
      </c>
      <c r="H31" s="271">
        <v>43430</v>
      </c>
      <c r="I31" s="277">
        <f t="shared" si="2"/>
        <v>-4.4907272550733079E-3</v>
      </c>
      <c r="J31" s="277">
        <f t="shared" si="3"/>
        <v>-1.9038076152304524E-2</v>
      </c>
      <c r="K31" s="277">
        <f t="shared" si="4"/>
        <v>2.6704199634814293E-2</v>
      </c>
      <c r="L31" s="278">
        <f t="shared" si="5"/>
        <v>-3.9120429557657918E-2</v>
      </c>
      <c r="N31" s="271">
        <v>43430</v>
      </c>
      <c r="O31" s="277">
        <f t="shared" si="6"/>
        <v>-7.7166299863733693E-3</v>
      </c>
      <c r="P31" s="277">
        <f t="shared" si="7"/>
        <v>-1.8019742909699286E-2</v>
      </c>
      <c r="Q31" s="277">
        <f t="shared" si="8"/>
        <v>2.5416916571785204E-2</v>
      </c>
      <c r="R31" s="278">
        <f t="shared" si="9"/>
        <v>-3.6071340055317619E-2</v>
      </c>
      <c r="S31" s="277"/>
      <c r="T31" s="277"/>
    </row>
    <row r="32" spans="2:26" x14ac:dyDescent="0.3">
      <c r="B32" s="271">
        <v>43431</v>
      </c>
      <c r="C32" s="273">
        <v>2066.8000000000002</v>
      </c>
      <c r="D32" s="273">
        <v>195</v>
      </c>
      <c r="E32" s="273">
        <v>1339.6</v>
      </c>
      <c r="F32" s="274">
        <v>182.65</v>
      </c>
      <c r="H32" s="271">
        <v>43431</v>
      </c>
      <c r="I32" s="277">
        <f t="shared" si="2"/>
        <v>7.9247031284289567E-3</v>
      </c>
      <c r="J32" s="277">
        <f t="shared" si="3"/>
        <v>-4.0858018386108856E-3</v>
      </c>
      <c r="K32" s="277">
        <f t="shared" si="4"/>
        <v>-7.336050389033043E-3</v>
      </c>
      <c r="L32" s="278">
        <f t="shared" si="5"/>
        <v>-2.7940393826503457E-2</v>
      </c>
      <c r="N32" s="271">
        <v>43431</v>
      </c>
      <c r="O32" s="277">
        <f t="shared" si="6"/>
        <v>4.6988003971288952E-3</v>
      </c>
      <c r="P32" s="277">
        <f t="shared" si="7"/>
        <v>-3.0674685960056479E-3</v>
      </c>
      <c r="Q32" s="277">
        <f t="shared" si="8"/>
        <v>-8.6233334520621312E-3</v>
      </c>
      <c r="R32" s="278">
        <f t="shared" si="9"/>
        <v>-2.4891304324163154E-2</v>
      </c>
      <c r="S32" s="277"/>
      <c r="T32" s="277"/>
    </row>
    <row r="33" spans="2:20" x14ac:dyDescent="0.3">
      <c r="B33" s="271">
        <v>43432</v>
      </c>
      <c r="C33" s="273">
        <v>2049.4</v>
      </c>
      <c r="D33" s="273">
        <v>192.95</v>
      </c>
      <c r="E33" s="273">
        <v>1324.25</v>
      </c>
      <c r="F33" s="274">
        <v>162.1</v>
      </c>
      <c r="H33" s="271">
        <v>43432</v>
      </c>
      <c r="I33" s="277">
        <f t="shared" si="2"/>
        <v>-8.4188116895684579E-3</v>
      </c>
      <c r="J33" s="277">
        <f t="shared" si="3"/>
        <v>-1.0512820512820572E-2</v>
      </c>
      <c r="K33" s="277">
        <f t="shared" si="4"/>
        <v>-1.1458644371454099E-2</v>
      </c>
      <c r="L33" s="278">
        <f t="shared" si="5"/>
        <v>-0.11251026553517662</v>
      </c>
      <c r="N33" s="271">
        <v>43432</v>
      </c>
      <c r="O33" s="277">
        <f t="shared" si="6"/>
        <v>-1.1644714420868519E-2</v>
      </c>
      <c r="P33" s="277">
        <f t="shared" si="7"/>
        <v>-9.4944872702153339E-3</v>
      </c>
      <c r="Q33" s="277">
        <f t="shared" si="8"/>
        <v>-1.2745927434483188E-2</v>
      </c>
      <c r="R33" s="278">
        <f t="shared" si="9"/>
        <v>-0.10946117603283632</v>
      </c>
      <c r="S33" s="277"/>
      <c r="T33" s="277"/>
    </row>
    <row r="34" spans="2:20" x14ac:dyDescent="0.3">
      <c r="B34" s="271">
        <v>43433</v>
      </c>
      <c r="C34" s="273">
        <v>2065</v>
      </c>
      <c r="D34" s="273">
        <v>198.8</v>
      </c>
      <c r="E34" s="273">
        <v>1350.3</v>
      </c>
      <c r="F34" s="274">
        <v>160.44999999999999</v>
      </c>
      <c r="H34" s="271">
        <v>43433</v>
      </c>
      <c r="I34" s="277">
        <f t="shared" si="2"/>
        <v>7.6119839953156573E-3</v>
      </c>
      <c r="J34" s="277">
        <f t="shared" si="3"/>
        <v>3.0318735423685014E-2</v>
      </c>
      <c r="K34" s="277">
        <f t="shared" si="4"/>
        <v>1.9671512176703761E-2</v>
      </c>
      <c r="L34" s="278">
        <f t="shared" si="5"/>
        <v>-1.0178901912399788E-2</v>
      </c>
      <c r="N34" s="271">
        <v>43433</v>
      </c>
      <c r="O34" s="277">
        <f t="shared" si="6"/>
        <v>4.3860812640155959E-3</v>
      </c>
      <c r="P34" s="277">
        <f t="shared" si="7"/>
        <v>3.1337068666290255E-2</v>
      </c>
      <c r="Q34" s="277">
        <f t="shared" si="8"/>
        <v>1.8384229113674672E-2</v>
      </c>
      <c r="R34" s="278">
        <f t="shared" si="9"/>
        <v>-7.1298124100594874E-3</v>
      </c>
      <c r="S34" s="277"/>
      <c r="T34" s="277"/>
    </row>
    <row r="35" spans="2:20" x14ac:dyDescent="0.3">
      <c r="B35" s="271">
        <v>43434</v>
      </c>
      <c r="C35" s="273">
        <v>2038.05</v>
      </c>
      <c r="D35" s="273">
        <v>195.85</v>
      </c>
      <c r="E35" s="273">
        <v>1345.95</v>
      </c>
      <c r="F35" s="274">
        <v>169.8</v>
      </c>
      <c r="H35" s="271">
        <v>43434</v>
      </c>
      <c r="I35" s="277">
        <f t="shared" si="2"/>
        <v>-1.305084745762714E-2</v>
      </c>
      <c r="J35" s="277">
        <f t="shared" si="3"/>
        <v>-1.4839034205231473E-2</v>
      </c>
      <c r="K35" s="277">
        <f t="shared" si="4"/>
        <v>-3.2215063319261713E-3</v>
      </c>
      <c r="L35" s="278">
        <f t="shared" si="5"/>
        <v>5.8273605484574782E-2</v>
      </c>
      <c r="N35" s="271">
        <v>43434</v>
      </c>
      <c r="O35" s="277">
        <f t="shared" si="6"/>
        <v>-1.62767501889272E-2</v>
      </c>
      <c r="P35" s="277">
        <f t="shared" si="7"/>
        <v>-1.3820700962626236E-2</v>
      </c>
      <c r="Q35" s="277">
        <f t="shared" si="8"/>
        <v>-4.5087893949552604E-3</v>
      </c>
      <c r="R35" s="278">
        <f t="shared" si="9"/>
        <v>6.1322694986915081E-2</v>
      </c>
      <c r="S35" s="277"/>
      <c r="T35" s="277"/>
    </row>
    <row r="36" spans="2:20" x14ac:dyDescent="0.3">
      <c r="B36" s="271">
        <v>43437</v>
      </c>
      <c r="C36" s="273">
        <v>2051.1999999999998</v>
      </c>
      <c r="D36" s="273">
        <v>202.95</v>
      </c>
      <c r="E36" s="273">
        <v>1338.7</v>
      </c>
      <c r="F36" s="274">
        <v>178</v>
      </c>
      <c r="H36" s="271">
        <v>43437</v>
      </c>
      <c r="I36" s="277">
        <f t="shared" si="2"/>
        <v>6.4522460194793374E-3</v>
      </c>
      <c r="J36" s="277">
        <f t="shared" si="3"/>
        <v>3.6252233852438059E-2</v>
      </c>
      <c r="K36" s="277">
        <f t="shared" si="4"/>
        <v>-5.3865299602511236E-3</v>
      </c>
      <c r="L36" s="278">
        <f t="shared" si="5"/>
        <v>4.8292108362779668E-2</v>
      </c>
      <c r="N36" s="271">
        <v>43437</v>
      </c>
      <c r="O36" s="277">
        <f t="shared" si="6"/>
        <v>3.226343288179276E-3</v>
      </c>
      <c r="P36" s="277">
        <f t="shared" si="7"/>
        <v>3.7270567095043297E-2</v>
      </c>
      <c r="Q36" s="277">
        <f t="shared" si="8"/>
        <v>-6.6738130232802118E-3</v>
      </c>
      <c r="R36" s="278">
        <f t="shared" si="9"/>
        <v>5.1341197865119967E-2</v>
      </c>
      <c r="S36" s="277"/>
      <c r="T36" s="277"/>
    </row>
    <row r="37" spans="2:20" x14ac:dyDescent="0.3">
      <c r="B37" s="271">
        <v>43438</v>
      </c>
      <c r="C37" s="273">
        <v>2053.1</v>
      </c>
      <c r="D37" s="273">
        <v>206.2</v>
      </c>
      <c r="E37" s="273">
        <v>1329.45</v>
      </c>
      <c r="F37" s="274">
        <v>176.5</v>
      </c>
      <c r="H37" s="271">
        <v>43438</v>
      </c>
      <c r="I37" s="277">
        <f t="shared" si="2"/>
        <v>9.2628705148210366E-4</v>
      </c>
      <c r="J37" s="277">
        <f t="shared" si="3"/>
        <v>1.6013796501601382E-2</v>
      </c>
      <c r="K37" s="277">
        <f t="shared" si="4"/>
        <v>-6.9096885037723162E-3</v>
      </c>
      <c r="L37" s="278">
        <f t="shared" si="5"/>
        <v>-8.4269662921348312E-3</v>
      </c>
      <c r="N37" s="271">
        <v>43438</v>
      </c>
      <c r="O37" s="277">
        <f t="shared" si="6"/>
        <v>-2.2996156798179576E-3</v>
      </c>
      <c r="P37" s="277">
        <f t="shared" si="7"/>
        <v>1.703212974420662E-2</v>
      </c>
      <c r="Q37" s="277">
        <f t="shared" si="8"/>
        <v>-8.1969715668014052E-3</v>
      </c>
      <c r="R37" s="278">
        <f t="shared" si="9"/>
        <v>-5.3778767897945303E-3</v>
      </c>
      <c r="S37" s="277"/>
      <c r="T37" s="277"/>
    </row>
    <row r="38" spans="2:20" x14ac:dyDescent="0.3">
      <c r="B38" s="271">
        <v>43439</v>
      </c>
      <c r="C38" s="273">
        <v>2027.1</v>
      </c>
      <c r="D38" s="273">
        <v>198.4</v>
      </c>
      <c r="E38" s="273">
        <v>1329.5</v>
      </c>
      <c r="F38" s="274">
        <v>173.4</v>
      </c>
      <c r="H38" s="271">
        <v>43439</v>
      </c>
      <c r="I38" s="277">
        <f t="shared" si="2"/>
        <v>-1.2663776727874922E-2</v>
      </c>
      <c r="J38" s="277">
        <f t="shared" si="3"/>
        <v>-3.7827352085353948E-2</v>
      </c>
      <c r="K38" s="277">
        <f t="shared" si="4"/>
        <v>3.7609537778746494E-5</v>
      </c>
      <c r="L38" s="278">
        <f t="shared" si="5"/>
        <v>-1.7563739376770506E-2</v>
      </c>
      <c r="N38" s="271">
        <v>43439</v>
      </c>
      <c r="O38" s="277">
        <f t="shared" si="6"/>
        <v>-1.5889679459174983E-2</v>
      </c>
      <c r="P38" s="277">
        <f t="shared" si="7"/>
        <v>-3.680901884274871E-2</v>
      </c>
      <c r="Q38" s="277">
        <f t="shared" si="8"/>
        <v>-1.2496735252503421E-3</v>
      </c>
      <c r="R38" s="278">
        <f t="shared" si="9"/>
        <v>-1.4514649874430205E-2</v>
      </c>
      <c r="S38" s="277"/>
      <c r="T38" s="277"/>
    </row>
    <row r="39" spans="2:20" x14ac:dyDescent="0.3">
      <c r="B39" s="271">
        <v>43440</v>
      </c>
      <c r="C39" s="273">
        <v>1983.2</v>
      </c>
      <c r="D39" s="273">
        <v>195.35</v>
      </c>
      <c r="E39" s="273">
        <v>1295.0999999999999</v>
      </c>
      <c r="F39" s="274">
        <v>168.45</v>
      </c>
      <c r="H39" s="271">
        <v>43440</v>
      </c>
      <c r="I39" s="277">
        <f t="shared" si="2"/>
        <v>-2.165655369740016E-2</v>
      </c>
      <c r="J39" s="277">
        <f t="shared" si="3"/>
        <v>-1.5372983870967799E-2</v>
      </c>
      <c r="K39" s="277">
        <f t="shared" si="4"/>
        <v>-2.5874388867995556E-2</v>
      </c>
      <c r="L39" s="278">
        <f t="shared" si="5"/>
        <v>-2.8546712802768263E-2</v>
      </c>
      <c r="N39" s="271">
        <v>43440</v>
      </c>
      <c r="O39" s="277">
        <f t="shared" si="6"/>
        <v>-2.4882456428700222E-2</v>
      </c>
      <c r="P39" s="277">
        <f t="shared" si="7"/>
        <v>-1.4354650628362562E-2</v>
      </c>
      <c r="Q39" s="277">
        <f t="shared" si="8"/>
        <v>-2.7161671931024645E-2</v>
      </c>
      <c r="R39" s="278">
        <f t="shared" si="9"/>
        <v>-2.5497623300427961E-2</v>
      </c>
      <c r="S39" s="277"/>
      <c r="T39" s="277"/>
    </row>
    <row r="40" spans="2:20" x14ac:dyDescent="0.3">
      <c r="B40" s="271">
        <v>43441</v>
      </c>
      <c r="C40" s="273">
        <v>1957.3</v>
      </c>
      <c r="D40" s="273">
        <v>195.7</v>
      </c>
      <c r="E40" s="273">
        <v>1318.65</v>
      </c>
      <c r="F40" s="274">
        <v>166.2</v>
      </c>
      <c r="H40" s="271">
        <v>43441</v>
      </c>
      <c r="I40" s="277">
        <f t="shared" si="2"/>
        <v>-1.305970149253736E-2</v>
      </c>
      <c r="J40" s="277">
        <f t="shared" si="3"/>
        <v>1.7916560020475778E-3</v>
      </c>
      <c r="K40" s="277">
        <f t="shared" si="4"/>
        <v>1.8183924021311238E-2</v>
      </c>
      <c r="L40" s="278">
        <f t="shared" si="5"/>
        <v>-1.3357079252003563E-2</v>
      </c>
      <c r="N40" s="271">
        <v>43441</v>
      </c>
      <c r="O40" s="277">
        <f t="shared" si="6"/>
        <v>-1.6285604223837423E-2</v>
      </c>
      <c r="P40" s="277">
        <f t="shared" si="7"/>
        <v>2.809989244652816E-3</v>
      </c>
      <c r="Q40" s="277">
        <f t="shared" si="8"/>
        <v>1.6896640958282149E-2</v>
      </c>
      <c r="R40" s="278">
        <f t="shared" si="9"/>
        <v>-1.0307989749663262E-2</v>
      </c>
      <c r="S40" s="277"/>
      <c r="T40" s="277"/>
    </row>
    <row r="41" spans="2:20" x14ac:dyDescent="0.3">
      <c r="B41" s="271">
        <v>43444</v>
      </c>
      <c r="C41" s="273">
        <v>1914.8</v>
      </c>
      <c r="D41" s="273">
        <v>192.55</v>
      </c>
      <c r="E41" s="273">
        <v>1274.2</v>
      </c>
      <c r="F41" s="274">
        <v>165.65</v>
      </c>
      <c r="H41" s="271">
        <v>43444</v>
      </c>
      <c r="I41" s="277">
        <f t="shared" si="2"/>
        <v>-2.1713585040617177E-2</v>
      </c>
      <c r="J41" s="277">
        <f t="shared" si="3"/>
        <v>-1.6096065406233918E-2</v>
      </c>
      <c r="K41" s="277">
        <f t="shared" si="4"/>
        <v>-3.3708717248701357E-2</v>
      </c>
      <c r="L41" s="278">
        <f t="shared" si="5"/>
        <v>-3.3092659446449036E-3</v>
      </c>
      <c r="N41" s="271">
        <v>43444</v>
      </c>
      <c r="O41" s="277">
        <f t="shared" si="6"/>
        <v>-2.4939487771917238E-2</v>
      </c>
      <c r="P41" s="277">
        <f t="shared" si="7"/>
        <v>-1.507773216362868E-2</v>
      </c>
      <c r="Q41" s="277">
        <f t="shared" si="8"/>
        <v>-3.4996000311730446E-2</v>
      </c>
      <c r="R41" s="278">
        <f t="shared" si="9"/>
        <v>-2.6017644230460222E-4</v>
      </c>
      <c r="S41" s="277"/>
      <c r="T41" s="277"/>
    </row>
    <row r="42" spans="2:20" x14ac:dyDescent="0.3">
      <c r="B42" s="271">
        <v>43445</v>
      </c>
      <c r="C42" s="273">
        <v>1933.1</v>
      </c>
      <c r="D42" s="273">
        <v>193.55</v>
      </c>
      <c r="E42" s="273">
        <v>1323.6</v>
      </c>
      <c r="F42" s="274">
        <v>177.85</v>
      </c>
      <c r="H42" s="271">
        <v>43445</v>
      </c>
      <c r="I42" s="277">
        <f t="shared" si="2"/>
        <v>9.5571339043241874E-3</v>
      </c>
      <c r="J42" s="277">
        <f t="shared" si="3"/>
        <v>5.1934562451311341E-3</v>
      </c>
      <c r="K42" s="277">
        <f t="shared" si="4"/>
        <v>3.876942395228368E-2</v>
      </c>
      <c r="L42" s="278">
        <f t="shared" si="5"/>
        <v>7.3649260488982723E-2</v>
      </c>
      <c r="N42" s="271">
        <v>43445</v>
      </c>
      <c r="O42" s="277">
        <f t="shared" si="6"/>
        <v>6.3312311730241259E-3</v>
      </c>
      <c r="P42" s="277">
        <f t="shared" si="7"/>
        <v>6.2117894877363718E-3</v>
      </c>
      <c r="Q42" s="277">
        <f t="shared" si="8"/>
        <v>3.7482140889254591E-2</v>
      </c>
      <c r="R42" s="278">
        <f t="shared" si="9"/>
        <v>7.6698349991323023E-2</v>
      </c>
      <c r="S42" s="277"/>
      <c r="T42" s="277"/>
    </row>
    <row r="43" spans="2:20" x14ac:dyDescent="0.3">
      <c r="B43" s="271">
        <v>43446</v>
      </c>
      <c r="C43" s="273">
        <v>1952.55</v>
      </c>
      <c r="D43" s="273">
        <v>199.3</v>
      </c>
      <c r="E43" s="273">
        <v>1330.9</v>
      </c>
      <c r="F43" s="274">
        <v>186.6</v>
      </c>
      <c r="H43" s="271">
        <v>43446</v>
      </c>
      <c r="I43" s="277">
        <f t="shared" si="2"/>
        <v>1.0061559153690986E-2</v>
      </c>
      <c r="J43" s="277">
        <f t="shared" si="3"/>
        <v>2.970808576595195E-2</v>
      </c>
      <c r="K43" s="277">
        <f t="shared" si="4"/>
        <v>5.5152614082805852E-3</v>
      </c>
      <c r="L43" s="278">
        <f t="shared" si="5"/>
        <v>4.9198763002530226E-2</v>
      </c>
      <c r="N43" s="271">
        <v>43446</v>
      </c>
      <c r="O43" s="277">
        <f t="shared" si="6"/>
        <v>6.835656422390925E-3</v>
      </c>
      <c r="P43" s="277">
        <f t="shared" si="7"/>
        <v>3.0726419008557188E-2</v>
      </c>
      <c r="Q43" s="277">
        <f t="shared" si="8"/>
        <v>4.2279783452514961E-3</v>
      </c>
      <c r="R43" s="278">
        <f t="shared" si="9"/>
        <v>5.2247852504870525E-2</v>
      </c>
      <c r="S43" s="277"/>
      <c r="T43" s="277"/>
    </row>
    <row r="44" spans="2:20" x14ac:dyDescent="0.3">
      <c r="B44" s="271">
        <v>43447</v>
      </c>
      <c r="C44" s="273">
        <v>1964.25</v>
      </c>
      <c r="D44" s="273">
        <v>200.65</v>
      </c>
      <c r="E44" s="273">
        <v>1320.2</v>
      </c>
      <c r="F44" s="274">
        <v>174.7</v>
      </c>
      <c r="H44" s="271">
        <v>43447</v>
      </c>
      <c r="I44" s="277">
        <f t="shared" si="2"/>
        <v>5.9921640931090347E-3</v>
      </c>
      <c r="J44" s="277">
        <f t="shared" si="3"/>
        <v>6.7737079779227006E-3</v>
      </c>
      <c r="K44" s="277">
        <f t="shared" si="4"/>
        <v>-8.039672402133928E-3</v>
      </c>
      <c r="L44" s="278">
        <f t="shared" si="5"/>
        <v>-6.3772775991425543E-2</v>
      </c>
      <c r="N44" s="271">
        <v>43447</v>
      </c>
      <c r="O44" s="277">
        <f t="shared" si="6"/>
        <v>2.7662613618089733E-3</v>
      </c>
      <c r="P44" s="277">
        <f t="shared" si="7"/>
        <v>7.7920412205279383E-3</v>
      </c>
      <c r="Q44" s="277">
        <f t="shared" si="8"/>
        <v>-9.3269554651630171E-3</v>
      </c>
      <c r="R44" s="278">
        <f t="shared" si="9"/>
        <v>-6.0723686489085243E-2</v>
      </c>
      <c r="S44" s="277"/>
      <c r="T44" s="277"/>
    </row>
    <row r="45" spans="2:20" x14ac:dyDescent="0.3">
      <c r="B45" s="271">
        <v>43448</v>
      </c>
      <c r="C45" s="273">
        <v>1960.4</v>
      </c>
      <c r="D45" s="273">
        <v>201.6</v>
      </c>
      <c r="E45" s="273">
        <v>1340.95</v>
      </c>
      <c r="F45" s="274">
        <v>180.35</v>
      </c>
      <c r="H45" s="271">
        <v>43448</v>
      </c>
      <c r="I45" s="277">
        <f t="shared" si="2"/>
        <v>-1.9600356370115357E-3</v>
      </c>
      <c r="J45" s="277">
        <f t="shared" si="3"/>
        <v>4.7346125093445735E-3</v>
      </c>
      <c r="K45" s="277">
        <f t="shared" si="4"/>
        <v>1.5717315558248748E-2</v>
      </c>
      <c r="L45" s="278">
        <f t="shared" si="5"/>
        <v>3.234115626788784E-2</v>
      </c>
      <c r="N45" s="271">
        <v>43448</v>
      </c>
      <c r="O45" s="277">
        <f t="shared" si="6"/>
        <v>-5.1859383683115975E-3</v>
      </c>
      <c r="P45" s="277">
        <f t="shared" si="7"/>
        <v>5.7529457519498112E-3</v>
      </c>
      <c r="Q45" s="277">
        <f t="shared" si="8"/>
        <v>1.4430032495219659E-2</v>
      </c>
      <c r="R45" s="278">
        <f t="shared" si="9"/>
        <v>3.5390245770228139E-2</v>
      </c>
      <c r="S45" s="277"/>
      <c r="T45" s="277"/>
    </row>
    <row r="46" spans="2:20" x14ac:dyDescent="0.3">
      <c r="B46" s="271">
        <v>43451</v>
      </c>
      <c r="C46" s="273">
        <v>2011.85</v>
      </c>
      <c r="D46" s="273">
        <v>205.5</v>
      </c>
      <c r="E46" s="273">
        <v>1335.85</v>
      </c>
      <c r="F46" s="274">
        <v>181</v>
      </c>
      <c r="H46" s="271">
        <v>43451</v>
      </c>
      <c r="I46" s="277">
        <f t="shared" si="2"/>
        <v>2.6244643950214148E-2</v>
      </c>
      <c r="J46" s="277">
        <f t="shared" si="3"/>
        <v>1.9345238095238124E-2</v>
      </c>
      <c r="K46" s="277">
        <f t="shared" si="4"/>
        <v>-3.8032737984265903E-3</v>
      </c>
      <c r="L46" s="278">
        <f t="shared" si="5"/>
        <v>3.6041031327973703E-3</v>
      </c>
      <c r="N46" s="271">
        <v>43451</v>
      </c>
      <c r="O46" s="277">
        <f t="shared" si="6"/>
        <v>2.3018741218914087E-2</v>
      </c>
      <c r="P46" s="277">
        <f t="shared" si="7"/>
        <v>2.0363571337843361E-2</v>
      </c>
      <c r="Q46" s="277">
        <f t="shared" si="8"/>
        <v>-5.0905568614556789E-3</v>
      </c>
      <c r="R46" s="278">
        <f t="shared" si="9"/>
        <v>6.6531926351376721E-3</v>
      </c>
      <c r="S46" s="277"/>
      <c r="T46" s="277"/>
    </row>
    <row r="47" spans="2:20" x14ac:dyDescent="0.3">
      <c r="B47" s="271">
        <v>43452</v>
      </c>
      <c r="C47" s="273">
        <v>2030.75</v>
      </c>
      <c r="D47" s="273">
        <v>208.55</v>
      </c>
      <c r="E47" s="273">
        <v>1355.7</v>
      </c>
      <c r="F47" s="274">
        <v>179</v>
      </c>
      <c r="H47" s="271">
        <v>43452</v>
      </c>
      <c r="I47" s="277">
        <f t="shared" si="2"/>
        <v>9.3943385441260987E-3</v>
      </c>
      <c r="J47" s="277">
        <f t="shared" si="3"/>
        <v>1.4841849148418547E-2</v>
      </c>
      <c r="K47" s="277">
        <f t="shared" si="4"/>
        <v>1.4859452782872432E-2</v>
      </c>
      <c r="L47" s="278">
        <f t="shared" si="5"/>
        <v>-1.1049723756906077E-2</v>
      </c>
      <c r="N47" s="271">
        <v>43452</v>
      </c>
      <c r="O47" s="277">
        <f t="shared" si="6"/>
        <v>6.1684358128260373E-3</v>
      </c>
      <c r="P47" s="277">
        <f t="shared" si="7"/>
        <v>1.5860182391023787E-2</v>
      </c>
      <c r="Q47" s="277">
        <f t="shared" si="8"/>
        <v>1.3572169719843343E-2</v>
      </c>
      <c r="R47" s="278">
        <f t="shared" si="9"/>
        <v>-8.000634254565776E-3</v>
      </c>
      <c r="S47" s="277"/>
      <c r="T47" s="277"/>
    </row>
    <row r="48" spans="2:20" x14ac:dyDescent="0.3">
      <c r="B48" s="271">
        <v>43453</v>
      </c>
      <c r="C48" s="273">
        <v>2121.65</v>
      </c>
      <c r="D48" s="273">
        <v>206.85</v>
      </c>
      <c r="E48" s="273">
        <v>1400.25</v>
      </c>
      <c r="F48" s="274">
        <v>179.55</v>
      </c>
      <c r="H48" s="271">
        <v>43453</v>
      </c>
      <c r="I48" s="277">
        <f t="shared" si="2"/>
        <v>4.476178751692729E-2</v>
      </c>
      <c r="J48" s="277">
        <f t="shared" si="3"/>
        <v>-8.1515224166867264E-3</v>
      </c>
      <c r="K48" s="277">
        <f t="shared" si="4"/>
        <v>3.286125248948879E-2</v>
      </c>
      <c r="L48" s="278">
        <f t="shared" si="5"/>
        <v>3.0726256983240859E-3</v>
      </c>
      <c r="N48" s="271">
        <v>43453</v>
      </c>
      <c r="O48" s="277">
        <f t="shared" si="6"/>
        <v>4.1535884785627225E-2</v>
      </c>
      <c r="P48" s="277">
        <f t="shared" si="7"/>
        <v>-7.1331891740814887E-3</v>
      </c>
      <c r="Q48" s="277">
        <f t="shared" si="8"/>
        <v>3.1573969426459701E-2</v>
      </c>
      <c r="R48" s="278">
        <f t="shared" si="9"/>
        <v>6.1217152006643877E-3</v>
      </c>
      <c r="S48" s="277"/>
      <c r="T48" s="277"/>
    </row>
    <row r="49" spans="2:20" x14ac:dyDescent="0.3">
      <c r="B49" s="271">
        <v>43454</v>
      </c>
      <c r="C49" s="273">
        <v>2111</v>
      </c>
      <c r="D49" s="273">
        <v>202.75</v>
      </c>
      <c r="E49" s="273">
        <v>1425.8</v>
      </c>
      <c r="F49" s="274">
        <v>186.75</v>
      </c>
      <c r="H49" s="271">
        <v>43454</v>
      </c>
      <c r="I49" s="277">
        <f t="shared" si="2"/>
        <v>-5.0196780807390904E-3</v>
      </c>
      <c r="J49" s="277">
        <f t="shared" si="3"/>
        <v>-1.9821126420111166E-2</v>
      </c>
      <c r="K49" s="277">
        <f t="shared" si="4"/>
        <v>1.824674165327617E-2</v>
      </c>
      <c r="L49" s="278">
        <f t="shared" si="5"/>
        <v>4.0100250626566351E-2</v>
      </c>
      <c r="N49" s="271">
        <v>43454</v>
      </c>
      <c r="O49" s="277">
        <f t="shared" si="6"/>
        <v>-8.2455808120391518E-3</v>
      </c>
      <c r="P49" s="277">
        <f t="shared" si="7"/>
        <v>-1.8802793177505928E-2</v>
      </c>
      <c r="Q49" s="277">
        <f t="shared" si="8"/>
        <v>1.6959458590247081E-2</v>
      </c>
      <c r="R49" s="278">
        <f t="shared" si="9"/>
        <v>4.3149340128906651E-2</v>
      </c>
      <c r="S49" s="277"/>
      <c r="T49" s="277"/>
    </row>
    <row r="50" spans="2:20" x14ac:dyDescent="0.3">
      <c r="B50" s="271">
        <v>43455</v>
      </c>
      <c r="C50" s="273">
        <v>2144.9499999999998</v>
      </c>
      <c r="D50" s="273">
        <v>200.05</v>
      </c>
      <c r="E50" s="273">
        <v>1388.2</v>
      </c>
      <c r="F50" s="274">
        <v>182.95</v>
      </c>
      <c r="H50" s="271">
        <v>43455</v>
      </c>
      <c r="I50" s="277">
        <f t="shared" si="2"/>
        <v>1.6082425390809958E-2</v>
      </c>
      <c r="J50" s="277">
        <f t="shared" si="3"/>
        <v>-1.331689272503077E-2</v>
      </c>
      <c r="K50" s="277">
        <f t="shared" si="4"/>
        <v>-2.6371160050497902E-2</v>
      </c>
      <c r="L50" s="278">
        <f t="shared" si="5"/>
        <v>-2.0348058902275829E-2</v>
      </c>
      <c r="N50" s="271">
        <v>43455</v>
      </c>
      <c r="O50" s="277">
        <f t="shared" si="6"/>
        <v>1.2856522659509897E-2</v>
      </c>
      <c r="P50" s="277">
        <f t="shared" si="7"/>
        <v>-1.2298559482425532E-2</v>
      </c>
      <c r="Q50" s="277">
        <f t="shared" si="8"/>
        <v>-2.7658443113526991E-2</v>
      </c>
      <c r="R50" s="278">
        <f t="shared" si="9"/>
        <v>-1.7298969399935527E-2</v>
      </c>
      <c r="S50" s="277"/>
      <c r="T50" s="277"/>
    </row>
    <row r="51" spans="2:20" x14ac:dyDescent="0.3">
      <c r="B51" s="271">
        <v>43458</v>
      </c>
      <c r="C51" s="273">
        <v>2101.1</v>
      </c>
      <c r="D51" s="273">
        <v>196.4</v>
      </c>
      <c r="E51" s="273">
        <v>1357.05</v>
      </c>
      <c r="F51" s="274">
        <v>182.3</v>
      </c>
      <c r="H51" s="271">
        <v>43458</v>
      </c>
      <c r="I51" s="277">
        <f t="shared" si="2"/>
        <v>-2.04433669782512E-2</v>
      </c>
      <c r="J51" s="277">
        <f t="shared" si="3"/>
        <v>-1.8245438640339944E-2</v>
      </c>
      <c r="K51" s="277">
        <f t="shared" si="4"/>
        <v>-2.2439129808385024E-2</v>
      </c>
      <c r="L51" s="278">
        <f t="shared" si="5"/>
        <v>-3.5528833014483591E-3</v>
      </c>
      <c r="N51" s="271">
        <v>43458</v>
      </c>
      <c r="O51" s="277">
        <f t="shared" si="6"/>
        <v>-2.3669269709551261E-2</v>
      </c>
      <c r="P51" s="277">
        <f t="shared" si="7"/>
        <v>-1.7227105397734706E-2</v>
      </c>
      <c r="Q51" s="277">
        <f t="shared" si="8"/>
        <v>-2.3726412871414113E-2</v>
      </c>
      <c r="R51" s="278">
        <f t="shared" si="9"/>
        <v>-5.0379379910805771E-4</v>
      </c>
      <c r="S51" s="277"/>
      <c r="T51" s="277"/>
    </row>
    <row r="52" spans="2:20" x14ac:dyDescent="0.3">
      <c r="B52" s="271">
        <v>43460</v>
      </c>
      <c r="C52" s="273">
        <v>2059.1999999999998</v>
      </c>
      <c r="D52" s="273">
        <v>196.4</v>
      </c>
      <c r="E52" s="273">
        <v>1363</v>
      </c>
      <c r="F52" s="274">
        <v>179.45</v>
      </c>
      <c r="H52" s="271">
        <v>43460</v>
      </c>
      <c r="I52" s="277">
        <f t="shared" si="2"/>
        <v>-1.9941935176812191E-2</v>
      </c>
      <c r="J52" s="277">
        <f t="shared" si="3"/>
        <v>0</v>
      </c>
      <c r="K52" s="277">
        <f t="shared" si="4"/>
        <v>4.3845105191408166E-3</v>
      </c>
      <c r="L52" s="278">
        <f t="shared" si="5"/>
        <v>-1.5633571036752728E-2</v>
      </c>
      <c r="N52" s="271">
        <v>43460</v>
      </c>
      <c r="O52" s="277">
        <f t="shared" si="6"/>
        <v>-2.3167837908112252E-2</v>
      </c>
      <c r="P52" s="277">
        <f t="shared" si="7"/>
        <v>1.0183332426052379E-3</v>
      </c>
      <c r="Q52" s="277">
        <f t="shared" si="8"/>
        <v>3.097227456111728E-3</v>
      </c>
      <c r="R52" s="278">
        <f t="shared" si="9"/>
        <v>-1.2584481534412427E-2</v>
      </c>
      <c r="S52" s="277"/>
      <c r="T52" s="277"/>
    </row>
    <row r="53" spans="2:20" x14ac:dyDescent="0.3">
      <c r="B53" s="271">
        <v>43461</v>
      </c>
      <c r="C53" s="273">
        <v>2079.5</v>
      </c>
      <c r="D53" s="273">
        <v>195.85</v>
      </c>
      <c r="E53" s="273">
        <v>1372.5</v>
      </c>
      <c r="F53" s="274">
        <v>178.1</v>
      </c>
      <c r="H53" s="271">
        <v>43461</v>
      </c>
      <c r="I53" s="277">
        <f t="shared" si="2"/>
        <v>9.8581973581974482E-3</v>
      </c>
      <c r="J53" s="277">
        <f t="shared" si="3"/>
        <v>-2.800407331975618E-3</v>
      </c>
      <c r="K53" s="277">
        <f t="shared" si="4"/>
        <v>6.9699192956713136E-3</v>
      </c>
      <c r="L53" s="278">
        <f t="shared" si="5"/>
        <v>-7.522986904430172E-3</v>
      </c>
      <c r="N53" s="271">
        <v>43461</v>
      </c>
      <c r="O53" s="277">
        <f t="shared" si="6"/>
        <v>6.6322946268973868E-3</v>
      </c>
      <c r="P53" s="277">
        <f t="shared" si="7"/>
        <v>-1.78207408937038E-3</v>
      </c>
      <c r="Q53" s="277">
        <f t="shared" si="8"/>
        <v>5.6826362326422245E-3</v>
      </c>
      <c r="R53" s="278">
        <f t="shared" si="9"/>
        <v>-4.4738974020898711E-3</v>
      </c>
      <c r="S53" s="277"/>
      <c r="T53" s="277"/>
    </row>
    <row r="54" spans="2:20" x14ac:dyDescent="0.3">
      <c r="B54" s="271">
        <v>43462</v>
      </c>
      <c r="C54" s="273">
        <v>2062.1</v>
      </c>
      <c r="D54" s="273">
        <v>199.4</v>
      </c>
      <c r="E54" s="273">
        <v>1366</v>
      </c>
      <c r="F54" s="274">
        <v>181.45</v>
      </c>
      <c r="H54" s="271">
        <v>43462</v>
      </c>
      <c r="I54" s="277">
        <f t="shared" si="2"/>
        <v>-8.3673960086559709E-3</v>
      </c>
      <c r="J54" s="277">
        <f t="shared" si="3"/>
        <v>1.8126116926219103E-2</v>
      </c>
      <c r="K54" s="277">
        <f t="shared" si="4"/>
        <v>-4.7358834244080146E-3</v>
      </c>
      <c r="L54" s="278">
        <f t="shared" si="5"/>
        <v>1.8809657495788851E-2</v>
      </c>
      <c r="N54" s="271">
        <v>43462</v>
      </c>
      <c r="O54" s="277">
        <f t="shared" si="6"/>
        <v>-1.1593298739956032E-2</v>
      </c>
      <c r="P54" s="277">
        <f t="shared" si="7"/>
        <v>1.914445016882434E-2</v>
      </c>
      <c r="Q54" s="277">
        <f t="shared" si="8"/>
        <v>-6.0231664874371028E-3</v>
      </c>
      <c r="R54" s="278">
        <f t="shared" si="9"/>
        <v>2.1858746998129154E-2</v>
      </c>
      <c r="S54" s="277"/>
      <c r="T54" s="277"/>
    </row>
    <row r="55" spans="2:20" x14ac:dyDescent="0.3">
      <c r="B55" s="271">
        <v>43465</v>
      </c>
      <c r="C55" s="273">
        <v>2062.9</v>
      </c>
      <c r="D55" s="273">
        <v>202.2</v>
      </c>
      <c r="E55" s="273">
        <v>1373.05</v>
      </c>
      <c r="F55" s="274">
        <v>181.8</v>
      </c>
      <c r="H55" s="271">
        <v>43465</v>
      </c>
      <c r="I55" s="277">
        <f t="shared" si="2"/>
        <v>3.8795402744783565E-4</v>
      </c>
      <c r="J55" s="277">
        <f t="shared" si="3"/>
        <v>1.4042126379137326E-2</v>
      </c>
      <c r="K55" s="277">
        <f t="shared" si="4"/>
        <v>5.1610541727671704E-3</v>
      </c>
      <c r="L55" s="278">
        <f t="shared" si="5"/>
        <v>1.928906034720434E-3</v>
      </c>
      <c r="N55" s="271">
        <v>43465</v>
      </c>
      <c r="O55" s="277">
        <f t="shared" si="6"/>
        <v>-2.8379487038522259E-3</v>
      </c>
      <c r="P55" s="277">
        <f t="shared" si="7"/>
        <v>1.5060459621742564E-2</v>
      </c>
      <c r="Q55" s="277">
        <f t="shared" si="8"/>
        <v>3.8737711097380817E-3</v>
      </c>
      <c r="R55" s="278">
        <f t="shared" si="9"/>
        <v>4.9779955370607351E-3</v>
      </c>
      <c r="S55" s="277"/>
      <c r="T55" s="277"/>
    </row>
    <row r="56" spans="2:20" x14ac:dyDescent="0.3">
      <c r="B56" s="271">
        <v>43466</v>
      </c>
      <c r="C56" s="273">
        <v>2043.1</v>
      </c>
      <c r="D56" s="273">
        <v>202.1</v>
      </c>
      <c r="E56" s="273">
        <v>1371.55</v>
      </c>
      <c r="F56" s="274">
        <v>184.25</v>
      </c>
      <c r="H56" s="271">
        <v>43466</v>
      </c>
      <c r="I56" s="277">
        <f t="shared" si="2"/>
        <v>-9.5981385428281461E-3</v>
      </c>
      <c r="J56" s="277">
        <f t="shared" si="3"/>
        <v>-4.9455984174082254E-4</v>
      </c>
      <c r="K56" s="277">
        <f t="shared" si="4"/>
        <v>-1.0924583955427697E-3</v>
      </c>
      <c r="L56" s="278">
        <f t="shared" si="5"/>
        <v>1.3476347634763413E-2</v>
      </c>
      <c r="N56" s="271">
        <v>43466</v>
      </c>
      <c r="O56" s="277">
        <f t="shared" si="6"/>
        <v>-1.2824041274128208E-2</v>
      </c>
      <c r="P56" s="277">
        <f t="shared" si="7"/>
        <v>5.2377340086441539E-4</v>
      </c>
      <c r="Q56" s="277">
        <f t="shared" si="8"/>
        <v>-2.3797414585718583E-3</v>
      </c>
      <c r="R56" s="278">
        <f t="shared" si="9"/>
        <v>1.6525437137103714E-2</v>
      </c>
      <c r="S56" s="277"/>
      <c r="T56" s="277"/>
    </row>
    <row r="57" spans="2:20" x14ac:dyDescent="0.3">
      <c r="B57" s="271">
        <v>43467</v>
      </c>
      <c r="C57" s="273">
        <v>2010.55</v>
      </c>
      <c r="D57" s="273">
        <v>193.15</v>
      </c>
      <c r="E57" s="273">
        <v>1383.3</v>
      </c>
      <c r="F57" s="274">
        <v>184.65</v>
      </c>
      <c r="H57" s="271">
        <v>43467</v>
      </c>
      <c r="I57" s="277">
        <f t="shared" si="2"/>
        <v>-1.5931672458518897E-2</v>
      </c>
      <c r="J57" s="277">
        <f t="shared" si="3"/>
        <v>-4.4285007422068229E-2</v>
      </c>
      <c r="K57" s="277">
        <f t="shared" si="4"/>
        <v>8.5669498013196746E-3</v>
      </c>
      <c r="L57" s="278">
        <f t="shared" si="5"/>
        <v>2.1709633649932467E-3</v>
      </c>
      <c r="N57" s="271">
        <v>43467</v>
      </c>
      <c r="O57" s="277">
        <f t="shared" si="6"/>
        <v>-1.9157575189818959E-2</v>
      </c>
      <c r="P57" s="277">
        <f t="shared" si="7"/>
        <v>-4.3266674179462991E-2</v>
      </c>
      <c r="Q57" s="277">
        <f t="shared" si="8"/>
        <v>7.2796667382905855E-3</v>
      </c>
      <c r="R57" s="278">
        <f t="shared" si="9"/>
        <v>5.2200528673335481E-3</v>
      </c>
      <c r="S57" s="277"/>
      <c r="T57" s="277"/>
    </row>
    <row r="58" spans="2:20" x14ac:dyDescent="0.3">
      <c r="B58" s="271">
        <v>43468</v>
      </c>
      <c r="C58" s="273">
        <v>2036.25</v>
      </c>
      <c r="D58" s="273">
        <v>187.95</v>
      </c>
      <c r="E58" s="273">
        <v>1388.3</v>
      </c>
      <c r="F58" s="274">
        <v>184.1</v>
      </c>
      <c r="H58" s="271">
        <v>43468</v>
      </c>
      <c r="I58" s="277">
        <f t="shared" si="2"/>
        <v>1.2782571933053167E-2</v>
      </c>
      <c r="J58" s="277">
        <f t="shared" si="3"/>
        <v>-2.6922081283976274E-2</v>
      </c>
      <c r="K58" s="277">
        <f t="shared" si="4"/>
        <v>3.6145449287934652E-3</v>
      </c>
      <c r="L58" s="278">
        <f t="shared" si="5"/>
        <v>-2.9786081776334221E-3</v>
      </c>
      <c r="N58" s="271">
        <v>43468</v>
      </c>
      <c r="O58" s="277">
        <f t="shared" si="6"/>
        <v>9.5566692017531058E-3</v>
      </c>
      <c r="P58" s="277">
        <f t="shared" si="7"/>
        <v>-2.5903748041371036E-2</v>
      </c>
      <c r="Q58" s="277">
        <f t="shared" si="8"/>
        <v>2.3272618657643766E-3</v>
      </c>
      <c r="R58" s="278">
        <f t="shared" si="9"/>
        <v>7.0481324706879282E-5</v>
      </c>
      <c r="S58" s="277"/>
      <c r="T58" s="277"/>
    </row>
    <row r="59" spans="2:20" x14ac:dyDescent="0.3">
      <c r="B59" s="271">
        <v>43469</v>
      </c>
      <c r="C59" s="273">
        <v>2044.2</v>
      </c>
      <c r="D59" s="273">
        <v>192.9</v>
      </c>
      <c r="E59" s="273">
        <v>1385.85</v>
      </c>
      <c r="F59" s="274">
        <v>189.65</v>
      </c>
      <c r="H59" s="271">
        <v>43469</v>
      </c>
      <c r="I59" s="277">
        <f t="shared" si="2"/>
        <v>3.9042357274401696E-3</v>
      </c>
      <c r="J59" s="277">
        <f t="shared" si="3"/>
        <v>2.6336791699920283E-2</v>
      </c>
      <c r="K59" s="277">
        <f t="shared" si="4"/>
        <v>-1.7647482532594148E-3</v>
      </c>
      <c r="L59" s="278">
        <f t="shared" si="5"/>
        <v>3.0146659424226029E-2</v>
      </c>
      <c r="N59" s="271">
        <v>43469</v>
      </c>
      <c r="O59" s="277">
        <f t="shared" si="6"/>
        <v>6.7833299614010814E-4</v>
      </c>
      <c r="P59" s="277">
        <f t="shared" si="7"/>
        <v>2.7355124942525521E-2</v>
      </c>
      <c r="Q59" s="277">
        <f t="shared" si="8"/>
        <v>-3.0520313162885034E-3</v>
      </c>
      <c r="R59" s="278">
        <f t="shared" si="9"/>
        <v>3.3195748926566328E-2</v>
      </c>
      <c r="S59" s="277"/>
      <c r="T59" s="277"/>
    </row>
    <row r="60" spans="2:20" x14ac:dyDescent="0.3">
      <c r="B60" s="271">
        <v>43472</v>
      </c>
      <c r="C60" s="273">
        <v>2007.9</v>
      </c>
      <c r="D60" s="273">
        <v>193.45</v>
      </c>
      <c r="E60" s="273">
        <v>1396</v>
      </c>
      <c r="F60" s="274">
        <v>187.15</v>
      </c>
      <c r="H60" s="271">
        <v>43472</v>
      </c>
      <c r="I60" s="277">
        <f t="shared" si="2"/>
        <v>-1.7757557968887561E-2</v>
      </c>
      <c r="J60" s="277">
        <f t="shared" si="3"/>
        <v>2.8512182477966972E-3</v>
      </c>
      <c r="K60" s="277">
        <f t="shared" si="4"/>
        <v>7.3240249666270459E-3</v>
      </c>
      <c r="L60" s="278">
        <f t="shared" si="5"/>
        <v>-1.3182177695755339E-2</v>
      </c>
      <c r="N60" s="271">
        <v>43472</v>
      </c>
      <c r="O60" s="277">
        <f t="shared" si="6"/>
        <v>-2.0983460700187622E-2</v>
      </c>
      <c r="P60" s="277">
        <f t="shared" si="7"/>
        <v>3.8695514904019349E-3</v>
      </c>
      <c r="Q60" s="277">
        <f t="shared" si="8"/>
        <v>6.0367419035979569E-3</v>
      </c>
      <c r="R60" s="278">
        <f t="shared" si="9"/>
        <v>-1.0133088193415038E-2</v>
      </c>
      <c r="S60" s="277"/>
      <c r="T60" s="277"/>
    </row>
    <row r="61" spans="2:20" x14ac:dyDescent="0.3">
      <c r="B61" s="271">
        <v>43473</v>
      </c>
      <c r="C61" s="273">
        <v>2015.3</v>
      </c>
      <c r="D61" s="273">
        <v>195.65</v>
      </c>
      <c r="E61" s="273">
        <v>1401.25</v>
      </c>
      <c r="F61" s="274">
        <v>192.35</v>
      </c>
      <c r="H61" s="271">
        <v>43473</v>
      </c>
      <c r="I61" s="277">
        <f t="shared" si="2"/>
        <v>3.6854425021165711E-3</v>
      </c>
      <c r="J61" s="277">
        <f t="shared" si="3"/>
        <v>1.1372447660894376E-2</v>
      </c>
      <c r="K61" s="277">
        <f t="shared" si="4"/>
        <v>3.7607449856733523E-3</v>
      </c>
      <c r="L61" s="278">
        <f t="shared" si="5"/>
        <v>2.7785199038204589E-2</v>
      </c>
      <c r="N61" s="271">
        <v>43473</v>
      </c>
      <c r="O61" s="277">
        <f t="shared" si="6"/>
        <v>4.5953977081650971E-4</v>
      </c>
      <c r="P61" s="277">
        <f t="shared" si="7"/>
        <v>1.2390780903499614E-2</v>
      </c>
      <c r="Q61" s="277">
        <f t="shared" si="8"/>
        <v>2.4734619226442637E-3</v>
      </c>
      <c r="R61" s="278">
        <f t="shared" si="9"/>
        <v>3.0834288540544891E-2</v>
      </c>
      <c r="S61" s="277"/>
      <c r="T61" s="277"/>
    </row>
    <row r="62" spans="2:20" x14ac:dyDescent="0.3">
      <c r="B62" s="271">
        <v>43474</v>
      </c>
      <c r="C62" s="273">
        <v>2096.1999999999998</v>
      </c>
      <c r="D62" s="273">
        <v>194.75</v>
      </c>
      <c r="E62" s="273">
        <v>1402</v>
      </c>
      <c r="F62" s="274">
        <v>186.45</v>
      </c>
      <c r="H62" s="271">
        <v>43474</v>
      </c>
      <c r="I62" s="277">
        <f t="shared" si="2"/>
        <v>4.0142906763260988E-2</v>
      </c>
      <c r="J62" s="277">
        <f t="shared" si="3"/>
        <v>-4.6000511116790479E-3</v>
      </c>
      <c r="K62" s="277">
        <f t="shared" si="4"/>
        <v>5.3523639607493307E-4</v>
      </c>
      <c r="L62" s="278">
        <f t="shared" si="5"/>
        <v>-3.0673251884585421E-2</v>
      </c>
      <c r="N62" s="271">
        <v>43474</v>
      </c>
      <c r="O62" s="277">
        <f t="shared" si="6"/>
        <v>3.6917004031960923E-2</v>
      </c>
      <c r="P62" s="277">
        <f t="shared" si="7"/>
        <v>-3.5817178690738102E-3</v>
      </c>
      <c r="Q62" s="277">
        <f t="shared" si="8"/>
        <v>-7.5204666695415556E-4</v>
      </c>
      <c r="R62" s="278">
        <f t="shared" si="9"/>
        <v>-2.7624162382245118E-2</v>
      </c>
      <c r="S62" s="277"/>
      <c r="T62" s="277"/>
    </row>
    <row r="63" spans="2:20" x14ac:dyDescent="0.3">
      <c r="B63" s="271">
        <v>43475</v>
      </c>
      <c r="C63" s="273">
        <v>2077.6</v>
      </c>
      <c r="D63" s="273">
        <v>195.45</v>
      </c>
      <c r="E63" s="273">
        <v>1396.35</v>
      </c>
      <c r="F63" s="274">
        <v>186.9</v>
      </c>
      <c r="H63" s="271">
        <v>43475</v>
      </c>
      <c r="I63" s="277">
        <f t="shared" si="2"/>
        <v>-8.8731991222211187E-3</v>
      </c>
      <c r="J63" s="277">
        <f t="shared" si="3"/>
        <v>3.5943517329909557E-3</v>
      </c>
      <c r="K63" s="277">
        <f t="shared" si="4"/>
        <v>-4.0299572039943585E-3</v>
      </c>
      <c r="L63" s="278">
        <f t="shared" si="5"/>
        <v>2.4135156878520628E-3</v>
      </c>
      <c r="N63" s="271">
        <v>43475</v>
      </c>
      <c r="O63" s="277">
        <f t="shared" si="6"/>
        <v>-1.209910185352118E-2</v>
      </c>
      <c r="P63" s="277">
        <f t="shared" si="7"/>
        <v>4.6126849755961938E-3</v>
      </c>
      <c r="Q63" s="277">
        <f t="shared" si="8"/>
        <v>-5.3172402670234476E-3</v>
      </c>
      <c r="R63" s="278">
        <f t="shared" si="9"/>
        <v>5.4626051901923642E-3</v>
      </c>
      <c r="S63" s="277"/>
      <c r="T63" s="277"/>
    </row>
    <row r="64" spans="2:20" x14ac:dyDescent="0.3">
      <c r="B64" s="271">
        <v>43476</v>
      </c>
      <c r="C64" s="273">
        <v>2061.9499999999998</v>
      </c>
      <c r="D64" s="273">
        <v>196.6</v>
      </c>
      <c r="E64" s="273">
        <v>1403.65</v>
      </c>
      <c r="F64" s="274">
        <v>184.25</v>
      </c>
      <c r="H64" s="271">
        <v>43476</v>
      </c>
      <c r="I64" s="277">
        <f t="shared" si="2"/>
        <v>-7.5327300731613837E-3</v>
      </c>
      <c r="J64" s="277">
        <f t="shared" si="3"/>
        <v>5.8838577641340791E-3</v>
      </c>
      <c r="K64" s="277">
        <f t="shared" si="4"/>
        <v>5.2279156371971081E-3</v>
      </c>
      <c r="L64" s="278">
        <f t="shared" si="5"/>
        <v>-1.4178705189941175E-2</v>
      </c>
      <c r="N64" s="271">
        <v>43476</v>
      </c>
      <c r="O64" s="277">
        <f t="shared" si="6"/>
        <v>-1.0758632804461446E-2</v>
      </c>
      <c r="P64" s="277">
        <f t="shared" si="7"/>
        <v>6.9021910067393168E-3</v>
      </c>
      <c r="Q64" s="277">
        <f t="shared" si="8"/>
        <v>3.9406325741680199E-3</v>
      </c>
      <c r="R64" s="278">
        <f t="shared" si="9"/>
        <v>-1.1129615687600874E-2</v>
      </c>
      <c r="S64" s="277"/>
      <c r="T64" s="277"/>
    </row>
    <row r="65" spans="2:20" x14ac:dyDescent="0.3">
      <c r="B65" s="271">
        <v>43479</v>
      </c>
      <c r="C65" s="273">
        <v>2051.1999999999998</v>
      </c>
      <c r="D65" s="273">
        <v>193.05</v>
      </c>
      <c r="E65" s="273">
        <v>1388.6</v>
      </c>
      <c r="F65" s="274">
        <v>195.35</v>
      </c>
      <c r="H65" s="271">
        <v>43479</v>
      </c>
      <c r="I65" s="277">
        <f t="shared" si="2"/>
        <v>-5.2135114818497056E-3</v>
      </c>
      <c r="J65" s="277">
        <f t="shared" si="3"/>
        <v>-1.8056968463885978E-2</v>
      </c>
      <c r="K65" s="277">
        <f t="shared" si="4"/>
        <v>-1.0722046094111908E-2</v>
      </c>
      <c r="L65" s="278">
        <f t="shared" si="5"/>
        <v>6.0244233378561704E-2</v>
      </c>
      <c r="N65" s="271">
        <v>43479</v>
      </c>
      <c r="O65" s="277">
        <f t="shared" si="6"/>
        <v>-8.4394142131497679E-3</v>
      </c>
      <c r="P65" s="277">
        <f t="shared" si="7"/>
        <v>-1.703863522128074E-2</v>
      </c>
      <c r="Q65" s="277">
        <f t="shared" si="8"/>
        <v>-1.2009329157140997E-2</v>
      </c>
      <c r="R65" s="278">
        <f t="shared" si="9"/>
        <v>6.3293322880902003E-2</v>
      </c>
      <c r="S65" s="277"/>
      <c r="T65" s="277"/>
    </row>
    <row r="66" spans="2:20" x14ac:dyDescent="0.3">
      <c r="B66" s="271">
        <v>43480</v>
      </c>
      <c r="C66" s="273">
        <v>2166.9</v>
      </c>
      <c r="D66" s="273">
        <v>198.9</v>
      </c>
      <c r="E66" s="273">
        <v>1405.95</v>
      </c>
      <c r="F66" s="274">
        <v>203</v>
      </c>
      <c r="H66" s="271">
        <v>43480</v>
      </c>
      <c r="I66" s="277">
        <f t="shared" si="2"/>
        <v>5.6406006240249745E-2</v>
      </c>
      <c r="J66" s="277">
        <f t="shared" si="3"/>
        <v>3.0303030303030273E-2</v>
      </c>
      <c r="K66" s="277">
        <f t="shared" si="4"/>
        <v>1.2494598876566424E-2</v>
      </c>
      <c r="L66" s="278">
        <f t="shared" si="5"/>
        <v>3.9160481187612006E-2</v>
      </c>
      <c r="N66" s="271">
        <v>43480</v>
      </c>
      <c r="O66" s="277">
        <f t="shared" si="6"/>
        <v>5.318010350894968E-2</v>
      </c>
      <c r="P66" s="277">
        <f t="shared" si="7"/>
        <v>3.1321363545635514E-2</v>
      </c>
      <c r="Q66" s="277">
        <f t="shared" si="8"/>
        <v>1.1207315813537335E-2</v>
      </c>
      <c r="R66" s="278">
        <f t="shared" si="9"/>
        <v>4.2209570689952305E-2</v>
      </c>
      <c r="S66" s="277"/>
      <c r="T66" s="277"/>
    </row>
    <row r="67" spans="2:20" x14ac:dyDescent="0.3">
      <c r="B67" s="271">
        <v>43481</v>
      </c>
      <c r="C67" s="273">
        <v>2202.75</v>
      </c>
      <c r="D67" s="273">
        <v>196.3</v>
      </c>
      <c r="E67" s="273">
        <v>1389.75</v>
      </c>
      <c r="F67" s="274">
        <v>208.35</v>
      </c>
      <c r="H67" s="271">
        <v>43481</v>
      </c>
      <c r="I67" s="277">
        <f t="shared" si="2"/>
        <v>1.6544372144538237E-2</v>
      </c>
      <c r="J67" s="277">
        <f t="shared" si="3"/>
        <v>-1.3071895424836572E-2</v>
      </c>
      <c r="K67" s="277">
        <f t="shared" si="4"/>
        <v>-1.1522458124399905E-2</v>
      </c>
      <c r="L67" s="278">
        <f t="shared" si="5"/>
        <v>2.6354679802955638E-2</v>
      </c>
      <c r="N67" s="271">
        <v>43481</v>
      </c>
      <c r="O67" s="277">
        <f t="shared" si="6"/>
        <v>1.3318469413238176E-2</v>
      </c>
      <c r="P67" s="277">
        <f t="shared" si="7"/>
        <v>-1.2053562182231334E-2</v>
      </c>
      <c r="Q67" s="277">
        <f t="shared" si="8"/>
        <v>-1.2809741187428994E-2</v>
      </c>
      <c r="R67" s="278">
        <f t="shared" si="9"/>
        <v>2.9403769305295941E-2</v>
      </c>
      <c r="S67" s="277"/>
      <c r="T67" s="277"/>
    </row>
    <row r="68" spans="2:20" x14ac:dyDescent="0.3">
      <c r="B68" s="271">
        <v>43482</v>
      </c>
      <c r="C68" s="273">
        <v>2180.1999999999998</v>
      </c>
      <c r="D68" s="273">
        <v>197.45</v>
      </c>
      <c r="E68" s="273">
        <v>1389.6</v>
      </c>
      <c r="F68" s="274">
        <v>201.5</v>
      </c>
      <c r="H68" s="271">
        <v>43482</v>
      </c>
      <c r="I68" s="277">
        <f t="shared" si="2"/>
        <v>-1.0237203495630544E-2</v>
      </c>
      <c r="J68" s="277">
        <f t="shared" si="3"/>
        <v>5.8583800305653452E-3</v>
      </c>
      <c r="K68" s="277">
        <f t="shared" si="4"/>
        <v>-1.0793308148954197E-4</v>
      </c>
      <c r="L68" s="278">
        <f t="shared" si="5"/>
        <v>-3.2877369810415141E-2</v>
      </c>
      <c r="N68" s="271">
        <v>43482</v>
      </c>
      <c r="O68" s="277">
        <f t="shared" si="6"/>
        <v>-1.3463106226930605E-2</v>
      </c>
      <c r="P68" s="277">
        <f t="shared" si="7"/>
        <v>6.876713273170583E-3</v>
      </c>
      <c r="Q68" s="277">
        <f t="shared" si="8"/>
        <v>-1.3952161445186307E-3</v>
      </c>
      <c r="R68" s="278">
        <f t="shared" si="9"/>
        <v>-2.9828280308074839E-2</v>
      </c>
      <c r="S68" s="277"/>
      <c r="T68" s="277"/>
    </row>
    <row r="69" spans="2:20" x14ac:dyDescent="0.3">
      <c r="B69" s="271">
        <v>43483</v>
      </c>
      <c r="C69" s="273">
        <v>2175.9</v>
      </c>
      <c r="D69" s="273">
        <v>198.7</v>
      </c>
      <c r="E69" s="273">
        <v>1400.45</v>
      </c>
      <c r="F69" s="274">
        <v>198.6</v>
      </c>
      <c r="H69" s="271">
        <v>43483</v>
      </c>
      <c r="I69" s="277">
        <f t="shared" si="2"/>
        <v>-1.9722961196219279E-3</v>
      </c>
      <c r="J69" s="277">
        <f t="shared" si="3"/>
        <v>6.330716637123323E-3</v>
      </c>
      <c r="K69" s="277">
        <f t="shared" si="4"/>
        <v>7.8080023028210543E-3</v>
      </c>
      <c r="L69" s="278">
        <f t="shared" si="5"/>
        <v>-1.4392059553349905E-2</v>
      </c>
      <c r="N69" s="271">
        <v>43483</v>
      </c>
      <c r="O69" s="277">
        <f t="shared" si="6"/>
        <v>-5.1981988509219893E-3</v>
      </c>
      <c r="P69" s="277">
        <f t="shared" si="7"/>
        <v>7.3490498797285607E-3</v>
      </c>
      <c r="Q69" s="277">
        <f t="shared" si="8"/>
        <v>6.5207192397919653E-3</v>
      </c>
      <c r="R69" s="278">
        <f t="shared" si="9"/>
        <v>-1.1342970051009604E-2</v>
      </c>
      <c r="S69" s="277"/>
      <c r="T69" s="277"/>
    </row>
    <row r="70" spans="2:20" x14ac:dyDescent="0.3">
      <c r="B70" s="271">
        <v>43486</v>
      </c>
      <c r="C70" s="273">
        <v>2179.6</v>
      </c>
      <c r="D70" s="273">
        <v>198.45</v>
      </c>
      <c r="E70" s="273">
        <v>1422.1</v>
      </c>
      <c r="F70" s="274">
        <v>191.95</v>
      </c>
      <c r="H70" s="271">
        <v>43486</v>
      </c>
      <c r="I70" s="277">
        <f t="shared" si="2"/>
        <v>1.7004457925455297E-3</v>
      </c>
      <c r="J70" s="277">
        <f t="shared" si="3"/>
        <v>-1.2581781580271766E-3</v>
      </c>
      <c r="K70" s="277">
        <f t="shared" si="4"/>
        <v>1.5459316648220117E-2</v>
      </c>
      <c r="L70" s="278">
        <f t="shared" si="5"/>
        <v>-3.3484390735146051E-2</v>
      </c>
      <c r="N70" s="271">
        <v>43486</v>
      </c>
      <c r="O70" s="277">
        <f t="shared" si="6"/>
        <v>-1.5254569387545317E-3</v>
      </c>
      <c r="P70" s="277">
        <f t="shared" si="7"/>
        <v>-2.3984491542193868E-4</v>
      </c>
      <c r="Q70" s="277">
        <f t="shared" si="8"/>
        <v>1.4172033585191028E-2</v>
      </c>
      <c r="R70" s="278">
        <f t="shared" si="9"/>
        <v>-3.0435301232805748E-2</v>
      </c>
      <c r="S70" s="277"/>
      <c r="T70" s="277"/>
    </row>
    <row r="71" spans="2:20" x14ac:dyDescent="0.3">
      <c r="B71" s="271">
        <v>43487</v>
      </c>
      <c r="C71" s="273">
        <v>2177</v>
      </c>
      <c r="D71" s="273">
        <v>191.5</v>
      </c>
      <c r="E71" s="273">
        <v>1406.95</v>
      </c>
      <c r="F71" s="274">
        <v>192.2</v>
      </c>
      <c r="H71" s="271">
        <v>43487</v>
      </c>
      <c r="I71" s="277">
        <f t="shared" si="2"/>
        <v>-1.1928794274178331E-3</v>
      </c>
      <c r="J71" s="277">
        <f t="shared" si="3"/>
        <v>-3.502141597379687E-2</v>
      </c>
      <c r="K71" s="277">
        <f t="shared" si="4"/>
        <v>-1.0653259264467946E-2</v>
      </c>
      <c r="L71" s="278">
        <f t="shared" si="5"/>
        <v>1.3024225058609013E-3</v>
      </c>
      <c r="N71" s="271">
        <v>43487</v>
      </c>
      <c r="O71" s="277">
        <f t="shared" si="6"/>
        <v>-4.4187821587178943E-3</v>
      </c>
      <c r="P71" s="277">
        <f t="shared" si="7"/>
        <v>-3.4003082731191632E-2</v>
      </c>
      <c r="Q71" s="277">
        <f t="shared" si="8"/>
        <v>-1.1940542327497035E-2</v>
      </c>
      <c r="R71" s="278">
        <f t="shared" si="9"/>
        <v>4.3515120082012028E-3</v>
      </c>
      <c r="S71" s="277"/>
      <c r="T71" s="277"/>
    </row>
    <row r="72" spans="2:20" x14ac:dyDescent="0.3">
      <c r="B72" s="271">
        <v>43488</v>
      </c>
      <c r="C72" s="273">
        <v>2243.4</v>
      </c>
      <c r="D72" s="273">
        <v>192.8</v>
      </c>
      <c r="E72" s="273">
        <v>1396.55</v>
      </c>
      <c r="F72" s="274">
        <v>197.25</v>
      </c>
      <c r="H72" s="271">
        <v>43488</v>
      </c>
      <c r="I72" s="277">
        <f t="shared" si="2"/>
        <v>3.0500689021589384E-2</v>
      </c>
      <c r="J72" s="277">
        <f t="shared" si="3"/>
        <v>6.7885117493473182E-3</v>
      </c>
      <c r="K72" s="277">
        <f t="shared" si="4"/>
        <v>-7.3918760439248667E-3</v>
      </c>
      <c r="L72" s="278">
        <f t="shared" si="5"/>
        <v>2.627471383975032E-2</v>
      </c>
      <c r="N72" s="271">
        <v>43488</v>
      </c>
      <c r="O72" s="277">
        <f t="shared" si="6"/>
        <v>2.7274786290289323E-2</v>
      </c>
      <c r="P72" s="277">
        <f t="shared" si="7"/>
        <v>7.806844991952556E-3</v>
      </c>
      <c r="Q72" s="277">
        <f t="shared" si="8"/>
        <v>-8.6791591069539549E-3</v>
      </c>
      <c r="R72" s="278">
        <f t="shared" si="9"/>
        <v>2.9323803342090622E-2</v>
      </c>
      <c r="S72" s="277"/>
      <c r="T72" s="277"/>
    </row>
    <row r="73" spans="2:20" x14ac:dyDescent="0.3">
      <c r="B73" s="271">
        <v>43489</v>
      </c>
      <c r="C73" s="273">
        <v>2267.5</v>
      </c>
      <c r="D73" s="273">
        <v>193.5</v>
      </c>
      <c r="E73" s="273">
        <v>1401.85</v>
      </c>
      <c r="F73" s="274">
        <v>215.4</v>
      </c>
      <c r="H73" s="271">
        <v>43489</v>
      </c>
      <c r="I73" s="277">
        <f t="shared" si="2"/>
        <v>1.0742622804671439E-2</v>
      </c>
      <c r="J73" s="277">
        <f t="shared" si="3"/>
        <v>3.6307053941908121E-3</v>
      </c>
      <c r="K73" s="277">
        <f t="shared" si="4"/>
        <v>3.7950664136622066E-3</v>
      </c>
      <c r="L73" s="278">
        <f t="shared" si="5"/>
        <v>9.2015209125475311E-2</v>
      </c>
      <c r="N73" s="271">
        <v>43489</v>
      </c>
      <c r="O73" s="277">
        <f t="shared" si="6"/>
        <v>7.5167200733713777E-3</v>
      </c>
      <c r="P73" s="277">
        <f t="shared" si="7"/>
        <v>4.6490386367960502E-3</v>
      </c>
      <c r="Q73" s="277">
        <f t="shared" si="8"/>
        <v>2.507783350633118E-3</v>
      </c>
      <c r="R73" s="278">
        <f t="shared" si="9"/>
        <v>9.506429862781561E-2</v>
      </c>
      <c r="S73" s="277"/>
      <c r="T73" s="277"/>
    </row>
    <row r="74" spans="2:20" x14ac:dyDescent="0.3">
      <c r="B74" s="271">
        <v>43490</v>
      </c>
      <c r="C74" s="273">
        <v>2246</v>
      </c>
      <c r="D74" s="273">
        <v>194.7</v>
      </c>
      <c r="E74" s="273">
        <v>1372.15</v>
      </c>
      <c r="F74" s="274">
        <v>219.6</v>
      </c>
      <c r="H74" s="271">
        <v>43490</v>
      </c>
      <c r="I74" s="277">
        <f t="shared" ref="I74:I137" si="11">(C74-C73)/C73</f>
        <v>-9.4818081587651603E-3</v>
      </c>
      <c r="J74" s="277">
        <f t="shared" ref="J74:J137" si="12">(D74-D73)/D73</f>
        <v>6.2015503875968402E-3</v>
      </c>
      <c r="K74" s="277">
        <f t="shared" ref="K74:K137" si="13">(E74-E73)/E73</f>
        <v>-2.1186289545956999E-2</v>
      </c>
      <c r="L74" s="278">
        <f t="shared" ref="L74:L137" si="14">(F74-F73)/F73</f>
        <v>1.9498607242339778E-2</v>
      </c>
      <c r="N74" s="271">
        <v>43490</v>
      </c>
      <c r="O74" s="277">
        <f t="shared" ref="O74:O137" si="15">I74-I$499</f>
        <v>-1.2707710890065222E-2</v>
      </c>
      <c r="P74" s="277">
        <f t="shared" ref="P74:P137" si="16">J74-J$499</f>
        <v>7.2198836302020779E-3</v>
      </c>
      <c r="Q74" s="277">
        <f t="shared" ref="Q74:Q137" si="17">K74-K$499</f>
        <v>-2.2473572608986088E-2</v>
      </c>
      <c r="R74" s="278">
        <f t="shared" ref="R74:R137" si="18">L74-L$499</f>
        <v>2.2547696744680081E-2</v>
      </c>
      <c r="S74" s="277"/>
      <c r="T74" s="277"/>
    </row>
    <row r="75" spans="2:20" x14ac:dyDescent="0.3">
      <c r="B75" s="271">
        <v>43493</v>
      </c>
      <c r="C75" s="273">
        <v>2167.35</v>
      </c>
      <c r="D75" s="273">
        <v>191.5</v>
      </c>
      <c r="E75" s="273">
        <v>1379.5</v>
      </c>
      <c r="F75" s="274">
        <v>207.5</v>
      </c>
      <c r="H75" s="271">
        <v>43493</v>
      </c>
      <c r="I75" s="277">
        <f t="shared" si="11"/>
        <v>-3.5017809439002713E-2</v>
      </c>
      <c r="J75" s="277">
        <f t="shared" si="12"/>
        <v>-1.6435541859270614E-2</v>
      </c>
      <c r="K75" s="277">
        <f t="shared" si="13"/>
        <v>5.3565572277082746E-3</v>
      </c>
      <c r="L75" s="278">
        <f t="shared" si="14"/>
        <v>-5.5100182149362451E-2</v>
      </c>
      <c r="N75" s="271">
        <v>43493</v>
      </c>
      <c r="O75" s="277">
        <f t="shared" si="15"/>
        <v>-3.8243712170302771E-2</v>
      </c>
      <c r="P75" s="277">
        <f t="shared" si="16"/>
        <v>-1.5417208616665377E-2</v>
      </c>
      <c r="Q75" s="277">
        <f t="shared" si="17"/>
        <v>4.0692741646791864E-3</v>
      </c>
      <c r="R75" s="278">
        <f t="shared" si="18"/>
        <v>-5.2051092647022151E-2</v>
      </c>
      <c r="S75" s="277"/>
      <c r="T75" s="277"/>
    </row>
    <row r="76" spans="2:20" x14ac:dyDescent="0.3">
      <c r="B76" s="271">
        <v>43494</v>
      </c>
      <c r="C76" s="273">
        <v>2193.65</v>
      </c>
      <c r="D76" s="273">
        <v>192.65</v>
      </c>
      <c r="E76" s="273">
        <v>1393.3</v>
      </c>
      <c r="F76" s="274">
        <v>202.9</v>
      </c>
      <c r="H76" s="271">
        <v>43494</v>
      </c>
      <c r="I76" s="277">
        <f t="shared" si="11"/>
        <v>1.2134634461439168E-2</v>
      </c>
      <c r="J76" s="277">
        <f t="shared" si="12"/>
        <v>6.005221932114912E-3</v>
      </c>
      <c r="K76" s="277">
        <f t="shared" si="13"/>
        <v>1.0003624501630993E-2</v>
      </c>
      <c r="L76" s="278">
        <f t="shared" si="14"/>
        <v>-2.2168674698795153E-2</v>
      </c>
      <c r="N76" s="271">
        <v>43494</v>
      </c>
      <c r="O76" s="277">
        <f t="shared" si="15"/>
        <v>8.9087317301391068E-3</v>
      </c>
      <c r="P76" s="277">
        <f t="shared" si="16"/>
        <v>7.0235551747201497E-3</v>
      </c>
      <c r="Q76" s="277">
        <f t="shared" si="17"/>
        <v>8.7163414386019038E-3</v>
      </c>
      <c r="R76" s="278">
        <f t="shared" si="18"/>
        <v>-1.911958519645485E-2</v>
      </c>
      <c r="S76" s="277"/>
      <c r="T76" s="277"/>
    </row>
    <row r="77" spans="2:20" x14ac:dyDescent="0.3">
      <c r="B77" s="271">
        <v>43495</v>
      </c>
      <c r="C77" s="273">
        <v>2222.9499999999998</v>
      </c>
      <c r="D77" s="273">
        <v>194.1</v>
      </c>
      <c r="E77" s="273">
        <v>1390.4</v>
      </c>
      <c r="F77" s="274">
        <v>199.5</v>
      </c>
      <c r="H77" s="271">
        <v>43495</v>
      </c>
      <c r="I77" s="277">
        <f t="shared" si="11"/>
        <v>1.3356734210106318E-2</v>
      </c>
      <c r="J77" s="277">
        <f t="shared" si="12"/>
        <v>7.5266026472877688E-3</v>
      </c>
      <c r="K77" s="277">
        <f t="shared" si="13"/>
        <v>-2.0813895069259052E-3</v>
      </c>
      <c r="L77" s="278">
        <f t="shared" si="14"/>
        <v>-1.6757023164120283E-2</v>
      </c>
      <c r="N77" s="271">
        <v>43495</v>
      </c>
      <c r="O77" s="277">
        <f t="shared" si="15"/>
        <v>1.0130831478806257E-2</v>
      </c>
      <c r="P77" s="277">
        <f t="shared" si="16"/>
        <v>8.5449358898930065E-3</v>
      </c>
      <c r="Q77" s="277">
        <f t="shared" si="17"/>
        <v>-3.3686725699549939E-3</v>
      </c>
      <c r="R77" s="278">
        <f t="shared" si="18"/>
        <v>-1.3707933661779982E-2</v>
      </c>
      <c r="S77" s="277"/>
      <c r="T77" s="277"/>
    </row>
    <row r="78" spans="2:20" x14ac:dyDescent="0.3">
      <c r="B78" s="271">
        <v>43496</v>
      </c>
      <c r="C78" s="273">
        <v>2268.5500000000002</v>
      </c>
      <c r="D78" s="273">
        <v>197.35</v>
      </c>
      <c r="E78" s="273">
        <v>1412.6</v>
      </c>
      <c r="F78" s="274">
        <v>194.1</v>
      </c>
      <c r="H78" s="271">
        <v>43496</v>
      </c>
      <c r="I78" s="277">
        <f t="shared" si="11"/>
        <v>2.0513281900177857E-2</v>
      </c>
      <c r="J78" s="277">
        <f t="shared" si="12"/>
        <v>1.6743946419371457E-2</v>
      </c>
      <c r="K78" s="277">
        <f t="shared" si="13"/>
        <v>1.596662830840033E-2</v>
      </c>
      <c r="L78" s="278">
        <f t="shared" si="14"/>
        <v>-2.7067669172932358E-2</v>
      </c>
      <c r="N78" s="271">
        <v>43496</v>
      </c>
      <c r="O78" s="277">
        <f t="shared" si="15"/>
        <v>1.7287379168877796E-2</v>
      </c>
      <c r="P78" s="277">
        <f t="shared" si="16"/>
        <v>1.7762279661976695E-2</v>
      </c>
      <c r="Q78" s="277">
        <f t="shared" si="17"/>
        <v>1.4679345245371241E-2</v>
      </c>
      <c r="R78" s="278">
        <f t="shared" si="18"/>
        <v>-2.4018579670592056E-2</v>
      </c>
      <c r="S78" s="277"/>
      <c r="T78" s="277"/>
    </row>
    <row r="79" spans="2:20" x14ac:dyDescent="0.3">
      <c r="B79" s="271">
        <v>43497</v>
      </c>
      <c r="C79" s="273">
        <v>2290.65</v>
      </c>
      <c r="D79" s="273">
        <v>162.15</v>
      </c>
      <c r="E79" s="273">
        <v>1457.2</v>
      </c>
      <c r="F79" s="274">
        <v>185.6</v>
      </c>
      <c r="H79" s="271">
        <v>43497</v>
      </c>
      <c r="I79" s="277">
        <f t="shared" si="11"/>
        <v>9.7419056225341773E-3</v>
      </c>
      <c r="J79" s="277">
        <f t="shared" si="12"/>
        <v>-0.17836331390929816</v>
      </c>
      <c r="K79" s="277">
        <f t="shared" si="13"/>
        <v>3.157298598329332E-2</v>
      </c>
      <c r="L79" s="278">
        <f t="shared" si="14"/>
        <v>-4.379185986604843E-2</v>
      </c>
      <c r="N79" s="271">
        <v>43497</v>
      </c>
      <c r="O79" s="277">
        <f t="shared" si="15"/>
        <v>6.5160028912341159E-3</v>
      </c>
      <c r="P79" s="277">
        <f t="shared" si="16"/>
        <v>-0.17734498066669291</v>
      </c>
      <c r="Q79" s="277">
        <f t="shared" si="17"/>
        <v>3.0285702920264231E-2</v>
      </c>
      <c r="R79" s="278">
        <f t="shared" si="18"/>
        <v>-4.0742770363708131E-2</v>
      </c>
      <c r="S79" s="277"/>
      <c r="T79" s="277"/>
    </row>
    <row r="80" spans="2:20" x14ac:dyDescent="0.3">
      <c r="B80" s="271">
        <v>43500</v>
      </c>
      <c r="C80" s="273">
        <v>2237.8000000000002</v>
      </c>
      <c r="D80" s="273">
        <v>161.35</v>
      </c>
      <c r="E80" s="273">
        <v>1446.35</v>
      </c>
      <c r="F80" s="274">
        <v>179.8</v>
      </c>
      <c r="H80" s="271">
        <v>43500</v>
      </c>
      <c r="I80" s="277">
        <f t="shared" si="11"/>
        <v>-2.3072053783860437E-2</v>
      </c>
      <c r="J80" s="277">
        <f t="shared" si="12"/>
        <v>-4.9337033610854846E-3</v>
      </c>
      <c r="K80" s="277">
        <f t="shared" si="13"/>
        <v>-7.4457864397475546E-3</v>
      </c>
      <c r="L80" s="278">
        <f t="shared" si="14"/>
        <v>-3.124999999999991E-2</v>
      </c>
      <c r="N80" s="271">
        <v>43500</v>
      </c>
      <c r="O80" s="277">
        <f t="shared" si="15"/>
        <v>-2.6297956515160498E-2</v>
      </c>
      <c r="P80" s="277">
        <f t="shared" si="16"/>
        <v>-3.9153701184802469E-3</v>
      </c>
      <c r="Q80" s="277">
        <f t="shared" si="17"/>
        <v>-8.7330695027766428E-3</v>
      </c>
      <c r="R80" s="278">
        <f t="shared" si="18"/>
        <v>-2.8200910497659607E-2</v>
      </c>
      <c r="S80" s="277"/>
      <c r="T80" s="277"/>
    </row>
    <row r="81" spans="2:20" x14ac:dyDescent="0.3">
      <c r="B81" s="271">
        <v>43501</v>
      </c>
      <c r="C81" s="273">
        <v>2228.5500000000002</v>
      </c>
      <c r="D81" s="273">
        <v>162.6</v>
      </c>
      <c r="E81" s="273">
        <v>1450.35</v>
      </c>
      <c r="F81" s="274">
        <v>176.1</v>
      </c>
      <c r="H81" s="271">
        <v>43501</v>
      </c>
      <c r="I81" s="277">
        <f t="shared" si="11"/>
        <v>-4.1335239967825541E-3</v>
      </c>
      <c r="J81" s="277">
        <f t="shared" si="12"/>
        <v>7.7471335605825845E-3</v>
      </c>
      <c r="K81" s="277">
        <f t="shared" si="13"/>
        <v>2.7655823279289248E-3</v>
      </c>
      <c r="L81" s="278">
        <f t="shared" si="14"/>
        <v>-2.0578420467185856E-2</v>
      </c>
      <c r="N81" s="271">
        <v>43501</v>
      </c>
      <c r="O81" s="277">
        <f t="shared" si="15"/>
        <v>-7.3594267280826155E-3</v>
      </c>
      <c r="P81" s="277">
        <f t="shared" si="16"/>
        <v>8.7654668031878231E-3</v>
      </c>
      <c r="Q81" s="277">
        <f t="shared" si="17"/>
        <v>1.4782992648998362E-3</v>
      </c>
      <c r="R81" s="278">
        <f t="shared" si="18"/>
        <v>-1.7529330964845553E-2</v>
      </c>
      <c r="S81" s="277"/>
      <c r="T81" s="277"/>
    </row>
    <row r="82" spans="2:20" x14ac:dyDescent="0.3">
      <c r="B82" s="271">
        <v>43502</v>
      </c>
      <c r="C82" s="273">
        <v>2214.65</v>
      </c>
      <c r="D82" s="273">
        <v>163.75</v>
      </c>
      <c r="E82" s="273">
        <v>1469.4</v>
      </c>
      <c r="F82" s="274">
        <v>176.45</v>
      </c>
      <c r="H82" s="271">
        <v>43502</v>
      </c>
      <c r="I82" s="277">
        <f t="shared" si="11"/>
        <v>-6.2372394606358796E-3</v>
      </c>
      <c r="J82" s="277">
        <f t="shared" si="12"/>
        <v>7.0725707257072922E-3</v>
      </c>
      <c r="K82" s="277">
        <f t="shared" si="13"/>
        <v>1.3134760575033738E-2</v>
      </c>
      <c r="L82" s="278">
        <f t="shared" si="14"/>
        <v>1.9875070982396043E-3</v>
      </c>
      <c r="N82" s="271">
        <v>43502</v>
      </c>
      <c r="O82" s="277">
        <f t="shared" si="15"/>
        <v>-9.4631421919359401E-3</v>
      </c>
      <c r="P82" s="277">
        <f t="shared" si="16"/>
        <v>8.0909039683125308E-3</v>
      </c>
      <c r="Q82" s="277">
        <f t="shared" si="17"/>
        <v>1.1847477512004649E-2</v>
      </c>
      <c r="R82" s="278">
        <f t="shared" si="18"/>
        <v>5.0365966005799061E-3</v>
      </c>
      <c r="S82" s="277"/>
      <c r="T82" s="277"/>
    </row>
    <row r="83" spans="2:20" x14ac:dyDescent="0.3">
      <c r="B83" s="271">
        <v>43503</v>
      </c>
      <c r="C83" s="273">
        <v>2181.4499999999998</v>
      </c>
      <c r="D83" s="273">
        <v>163.44999999999999</v>
      </c>
      <c r="E83" s="273">
        <v>1472.45</v>
      </c>
      <c r="F83" s="274">
        <v>176.95</v>
      </c>
      <c r="H83" s="271">
        <v>43503</v>
      </c>
      <c r="I83" s="277">
        <f t="shared" si="11"/>
        <v>-1.4991082112297776E-2</v>
      </c>
      <c r="J83" s="277">
        <f t="shared" si="12"/>
        <v>-1.8320610687023594E-3</v>
      </c>
      <c r="K83" s="277">
        <f t="shared" si="13"/>
        <v>2.0756771471348539E-3</v>
      </c>
      <c r="L83" s="278">
        <f t="shared" si="14"/>
        <v>2.8336639274582037E-3</v>
      </c>
      <c r="N83" s="271">
        <v>43503</v>
      </c>
      <c r="O83" s="277">
        <f t="shared" si="15"/>
        <v>-1.8216984843597836E-2</v>
      </c>
      <c r="P83" s="277">
        <f t="shared" si="16"/>
        <v>-8.1372782609712146E-4</v>
      </c>
      <c r="Q83" s="277">
        <f t="shared" si="17"/>
        <v>7.8839408410576531E-4</v>
      </c>
      <c r="R83" s="278">
        <f t="shared" si="18"/>
        <v>5.8827534297985051E-3</v>
      </c>
      <c r="S83" s="277"/>
      <c r="T83" s="277"/>
    </row>
    <row r="84" spans="2:20" x14ac:dyDescent="0.3">
      <c r="B84" s="271">
        <v>43504</v>
      </c>
      <c r="C84" s="273">
        <v>2179.9499999999998</v>
      </c>
      <c r="D84" s="273">
        <v>154.15</v>
      </c>
      <c r="E84" s="273">
        <v>1448.8</v>
      </c>
      <c r="F84" s="274">
        <v>175.1</v>
      </c>
      <c r="H84" s="271">
        <v>43504</v>
      </c>
      <c r="I84" s="277">
        <f t="shared" si="11"/>
        <v>-6.8761603520594108E-4</v>
      </c>
      <c r="J84" s="277">
        <f t="shared" si="12"/>
        <v>-5.6898133985928315E-2</v>
      </c>
      <c r="K84" s="277">
        <f t="shared" si="13"/>
        <v>-1.6061665930931501E-2</v>
      </c>
      <c r="L84" s="278">
        <f t="shared" si="14"/>
        <v>-1.045493077140432E-2</v>
      </c>
      <c r="N84" s="271">
        <v>43504</v>
      </c>
      <c r="O84" s="277">
        <f t="shared" si="15"/>
        <v>-3.9135187665060023E-3</v>
      </c>
      <c r="P84" s="277">
        <f t="shared" si="16"/>
        <v>-5.5879800743323077E-2</v>
      </c>
      <c r="Q84" s="277">
        <f t="shared" si="17"/>
        <v>-1.734894899396059E-2</v>
      </c>
      <c r="R84" s="278">
        <f t="shared" si="18"/>
        <v>-7.4058412690640191E-3</v>
      </c>
      <c r="S84" s="277"/>
      <c r="T84" s="277"/>
    </row>
    <row r="85" spans="2:20" x14ac:dyDescent="0.3">
      <c r="B85" s="271">
        <v>43507</v>
      </c>
      <c r="C85" s="273">
        <v>2198</v>
      </c>
      <c r="D85" s="273">
        <v>152.15</v>
      </c>
      <c r="E85" s="273">
        <v>1437.1</v>
      </c>
      <c r="F85" s="274">
        <v>173.25</v>
      </c>
      <c r="H85" s="271">
        <v>43507</v>
      </c>
      <c r="I85" s="277">
        <f t="shared" si="11"/>
        <v>8.2800064221657307E-3</v>
      </c>
      <c r="J85" s="277">
        <f t="shared" si="12"/>
        <v>-1.2974375608173857E-2</v>
      </c>
      <c r="K85" s="277">
        <f t="shared" si="13"/>
        <v>-8.0756488128106343E-3</v>
      </c>
      <c r="L85" s="278">
        <f t="shared" si="14"/>
        <v>-1.0565391205025667E-2</v>
      </c>
      <c r="N85" s="271">
        <v>43507</v>
      </c>
      <c r="O85" s="277">
        <f t="shared" si="15"/>
        <v>5.0541036908656693E-3</v>
      </c>
      <c r="P85" s="277">
        <f t="shared" si="16"/>
        <v>-1.1956042365568619E-2</v>
      </c>
      <c r="Q85" s="277">
        <f t="shared" si="17"/>
        <v>-9.3629318758397233E-3</v>
      </c>
      <c r="R85" s="278">
        <f t="shared" si="18"/>
        <v>-7.516301702685366E-3</v>
      </c>
      <c r="S85" s="277"/>
      <c r="T85" s="277"/>
    </row>
    <row r="86" spans="2:20" x14ac:dyDescent="0.3">
      <c r="B86" s="271">
        <v>43508</v>
      </c>
      <c r="C86" s="273">
        <v>2182.0500000000002</v>
      </c>
      <c r="D86" s="273">
        <v>152.85</v>
      </c>
      <c r="E86" s="273">
        <v>1452.1</v>
      </c>
      <c r="F86" s="274">
        <v>172.65</v>
      </c>
      <c r="H86" s="271">
        <v>43508</v>
      </c>
      <c r="I86" s="277">
        <f t="shared" si="11"/>
        <v>-7.2565969062783524E-3</v>
      </c>
      <c r="J86" s="277">
        <f t="shared" si="12"/>
        <v>4.6007229707524721E-3</v>
      </c>
      <c r="K86" s="277">
        <f t="shared" si="13"/>
        <v>1.0437687008558905E-2</v>
      </c>
      <c r="L86" s="278">
        <f t="shared" si="14"/>
        <v>-3.4632034632034302E-3</v>
      </c>
      <c r="N86" s="271">
        <v>43508</v>
      </c>
      <c r="O86" s="277">
        <f t="shared" si="15"/>
        <v>-1.0482499637578413E-2</v>
      </c>
      <c r="P86" s="277">
        <f t="shared" si="16"/>
        <v>5.6190562133577098E-3</v>
      </c>
      <c r="Q86" s="277">
        <f t="shared" si="17"/>
        <v>9.1504039455298156E-3</v>
      </c>
      <c r="R86" s="278">
        <f t="shared" si="18"/>
        <v>-4.1411396086312889E-4</v>
      </c>
      <c r="S86" s="277"/>
      <c r="T86" s="277"/>
    </row>
    <row r="87" spans="2:20" x14ac:dyDescent="0.3">
      <c r="B87" s="271">
        <v>43509</v>
      </c>
      <c r="C87" s="273">
        <v>2166.5</v>
      </c>
      <c r="D87" s="273">
        <v>150.69999999999999</v>
      </c>
      <c r="E87" s="273">
        <v>1424.15</v>
      </c>
      <c r="F87" s="274">
        <v>169.45</v>
      </c>
      <c r="H87" s="271">
        <v>43509</v>
      </c>
      <c r="I87" s="277">
        <f t="shared" si="11"/>
        <v>-7.1263261611787905E-3</v>
      </c>
      <c r="J87" s="277">
        <f t="shared" si="12"/>
        <v>-1.406607785410537E-2</v>
      </c>
      <c r="K87" s="277">
        <f t="shared" si="13"/>
        <v>-1.9247985675917512E-2</v>
      </c>
      <c r="L87" s="278">
        <f t="shared" si="14"/>
        <v>-1.8534607587605081E-2</v>
      </c>
      <c r="N87" s="271">
        <v>43509</v>
      </c>
      <c r="O87" s="277">
        <f t="shared" si="15"/>
        <v>-1.0352228892478853E-2</v>
      </c>
      <c r="P87" s="277">
        <f t="shared" si="16"/>
        <v>-1.3047744611500132E-2</v>
      </c>
      <c r="Q87" s="277">
        <f t="shared" si="17"/>
        <v>-2.0535268738946601E-2</v>
      </c>
      <c r="R87" s="278">
        <f t="shared" si="18"/>
        <v>-1.548551808526478E-2</v>
      </c>
      <c r="S87" s="277"/>
      <c r="T87" s="277"/>
    </row>
    <row r="88" spans="2:20" x14ac:dyDescent="0.3">
      <c r="B88" s="271">
        <v>43510</v>
      </c>
      <c r="C88" s="273">
        <v>2181.1</v>
      </c>
      <c r="D88" s="273">
        <v>151.75</v>
      </c>
      <c r="E88" s="273">
        <v>1399.2</v>
      </c>
      <c r="F88" s="274">
        <v>221.25</v>
      </c>
      <c r="H88" s="271">
        <v>43510</v>
      </c>
      <c r="I88" s="277">
        <f t="shared" si="11"/>
        <v>6.7389799215323834E-3</v>
      </c>
      <c r="J88" s="277">
        <f t="shared" si="12"/>
        <v>6.9674850696749262E-3</v>
      </c>
      <c r="K88" s="277">
        <f t="shared" si="13"/>
        <v>-1.7519221992065473E-2</v>
      </c>
      <c r="L88" s="278">
        <f t="shared" si="14"/>
        <v>0.30569489524933618</v>
      </c>
      <c r="N88" s="271">
        <v>43510</v>
      </c>
      <c r="O88" s="277">
        <f t="shared" si="15"/>
        <v>3.5130771902323219E-3</v>
      </c>
      <c r="P88" s="277">
        <f t="shared" si="16"/>
        <v>7.985818312280164E-3</v>
      </c>
      <c r="Q88" s="277">
        <f t="shared" si="17"/>
        <v>-1.8806505055094562E-2</v>
      </c>
      <c r="R88" s="278">
        <f t="shared" si="18"/>
        <v>0.30874398475167647</v>
      </c>
      <c r="S88" s="277"/>
      <c r="T88" s="277"/>
    </row>
    <row r="89" spans="2:20" x14ac:dyDescent="0.3">
      <c r="B89" s="271">
        <v>43511</v>
      </c>
      <c r="C89" s="273">
        <v>2161.85</v>
      </c>
      <c r="D89" s="273">
        <v>147.30000000000001</v>
      </c>
      <c r="E89" s="273">
        <v>1393.6</v>
      </c>
      <c r="F89" s="274">
        <v>219</v>
      </c>
      <c r="H89" s="271">
        <v>43511</v>
      </c>
      <c r="I89" s="277">
        <f t="shared" si="11"/>
        <v>-8.825821833020036E-3</v>
      </c>
      <c r="J89" s="277">
        <f t="shared" si="12"/>
        <v>-2.9324546952223977E-2</v>
      </c>
      <c r="K89" s="277">
        <f t="shared" si="13"/>
        <v>-4.0022870211550432E-3</v>
      </c>
      <c r="L89" s="278">
        <f t="shared" si="14"/>
        <v>-1.0169491525423728E-2</v>
      </c>
      <c r="N89" s="271">
        <v>43511</v>
      </c>
      <c r="O89" s="277">
        <f t="shared" si="15"/>
        <v>-1.2051724564320097E-2</v>
      </c>
      <c r="P89" s="277">
        <f t="shared" si="16"/>
        <v>-2.8306213709618739E-2</v>
      </c>
      <c r="Q89" s="277">
        <f t="shared" si="17"/>
        <v>-5.2895700841841323E-3</v>
      </c>
      <c r="R89" s="278">
        <f t="shared" si="18"/>
        <v>-7.1204020230834272E-3</v>
      </c>
      <c r="S89" s="277"/>
      <c r="T89" s="277"/>
    </row>
    <row r="90" spans="2:20" x14ac:dyDescent="0.3">
      <c r="B90" s="271">
        <v>43514</v>
      </c>
      <c r="C90" s="273">
        <v>2196.4</v>
      </c>
      <c r="D90" s="273">
        <v>148</v>
      </c>
      <c r="E90" s="273">
        <v>1380.05</v>
      </c>
      <c r="F90" s="274">
        <v>213.55</v>
      </c>
      <c r="H90" s="271">
        <v>43514</v>
      </c>
      <c r="I90" s="277">
        <f t="shared" si="11"/>
        <v>1.5981682355390145E-2</v>
      </c>
      <c r="J90" s="277">
        <f t="shared" si="12"/>
        <v>4.7522063815342063E-3</v>
      </c>
      <c r="K90" s="277">
        <f t="shared" si="13"/>
        <v>-9.7230195177956044E-3</v>
      </c>
      <c r="L90" s="278">
        <f t="shared" si="14"/>
        <v>-2.4885844748858396E-2</v>
      </c>
      <c r="N90" s="271">
        <v>43514</v>
      </c>
      <c r="O90" s="277">
        <f t="shared" si="15"/>
        <v>1.2755779624090084E-2</v>
      </c>
      <c r="P90" s="277">
        <f t="shared" si="16"/>
        <v>5.770539624139444E-3</v>
      </c>
      <c r="Q90" s="277">
        <f t="shared" si="17"/>
        <v>-1.1010302580824693E-2</v>
      </c>
      <c r="R90" s="278">
        <f t="shared" si="18"/>
        <v>-2.1836755246518093E-2</v>
      </c>
      <c r="S90" s="277"/>
      <c r="T90" s="277"/>
    </row>
    <row r="91" spans="2:20" x14ac:dyDescent="0.3">
      <c r="B91" s="271">
        <v>43515</v>
      </c>
      <c r="C91" s="273">
        <v>2198.6999999999998</v>
      </c>
      <c r="D91" s="273">
        <v>153.1</v>
      </c>
      <c r="E91" s="273">
        <v>1377.85</v>
      </c>
      <c r="F91" s="274">
        <v>212.85</v>
      </c>
      <c r="H91" s="271">
        <v>43515</v>
      </c>
      <c r="I91" s="277">
        <f t="shared" si="11"/>
        <v>1.0471680932433651E-3</v>
      </c>
      <c r="J91" s="277">
        <f t="shared" si="12"/>
        <v>3.445945945945942E-2</v>
      </c>
      <c r="K91" s="277">
        <f t="shared" si="13"/>
        <v>-1.5941451396688856E-3</v>
      </c>
      <c r="L91" s="278">
        <f t="shared" si="14"/>
        <v>-3.277920861624992E-3</v>
      </c>
      <c r="N91" s="271">
        <v>43515</v>
      </c>
      <c r="O91" s="277">
        <f t="shared" si="15"/>
        <v>-2.1787346380566963E-3</v>
      </c>
      <c r="P91" s="277">
        <f t="shared" si="16"/>
        <v>3.5477792702064657E-2</v>
      </c>
      <c r="Q91" s="277">
        <f t="shared" si="17"/>
        <v>-2.881428202697974E-3</v>
      </c>
      <c r="R91" s="278">
        <f t="shared" si="18"/>
        <v>-2.2883135928469063E-4</v>
      </c>
      <c r="S91" s="277"/>
      <c r="T91" s="277"/>
    </row>
    <row r="92" spans="2:20" x14ac:dyDescent="0.3">
      <c r="B92" s="271">
        <v>43516</v>
      </c>
      <c r="C92" s="273">
        <v>2245.5500000000002</v>
      </c>
      <c r="D92" s="273">
        <v>160.25</v>
      </c>
      <c r="E92" s="273">
        <v>1396.9</v>
      </c>
      <c r="F92" s="274">
        <v>217.85</v>
      </c>
      <c r="H92" s="271">
        <v>43516</v>
      </c>
      <c r="I92" s="277">
        <f t="shared" si="11"/>
        <v>2.1308045663346691E-2</v>
      </c>
      <c r="J92" s="277">
        <f t="shared" si="12"/>
        <v>4.6701502286087562E-2</v>
      </c>
      <c r="K92" s="277">
        <f t="shared" si="13"/>
        <v>1.3825888159088568E-2</v>
      </c>
      <c r="L92" s="278">
        <f t="shared" si="14"/>
        <v>2.3490721165139769E-2</v>
      </c>
      <c r="N92" s="271">
        <v>43516</v>
      </c>
      <c r="O92" s="277">
        <f t="shared" si="15"/>
        <v>1.808214293204663E-2</v>
      </c>
      <c r="P92" s="277">
        <f t="shared" si="16"/>
        <v>4.77198355286928E-2</v>
      </c>
      <c r="Q92" s="277">
        <f t="shared" si="17"/>
        <v>1.2538605096059479E-2</v>
      </c>
      <c r="R92" s="278">
        <f t="shared" si="18"/>
        <v>2.6539810667480072E-2</v>
      </c>
      <c r="S92" s="277"/>
      <c r="T92" s="277"/>
    </row>
    <row r="93" spans="2:20" x14ac:dyDescent="0.3">
      <c r="B93" s="271">
        <v>43517</v>
      </c>
      <c r="C93" s="273">
        <v>2250.0500000000002</v>
      </c>
      <c r="D93" s="273">
        <v>164.6</v>
      </c>
      <c r="E93" s="273">
        <v>1397.8</v>
      </c>
      <c r="F93" s="274">
        <v>215.15</v>
      </c>
      <c r="H93" s="271">
        <v>43517</v>
      </c>
      <c r="I93" s="277">
        <f t="shared" si="11"/>
        <v>2.0039633942686647E-3</v>
      </c>
      <c r="J93" s="277">
        <f t="shared" si="12"/>
        <v>2.7145085803432101E-2</v>
      </c>
      <c r="K93" s="277">
        <f t="shared" si="13"/>
        <v>6.4428377120757648E-4</v>
      </c>
      <c r="L93" s="278">
        <f t="shared" si="14"/>
        <v>-1.2393848978654986E-2</v>
      </c>
      <c r="N93" s="271">
        <v>43517</v>
      </c>
      <c r="O93" s="277">
        <f t="shared" si="15"/>
        <v>-1.2219393370313967E-3</v>
      </c>
      <c r="P93" s="277">
        <f t="shared" si="16"/>
        <v>2.8163419046037339E-2</v>
      </c>
      <c r="Q93" s="277">
        <f t="shared" si="17"/>
        <v>-6.4299929182151216E-4</v>
      </c>
      <c r="R93" s="278">
        <f t="shared" si="18"/>
        <v>-9.344759476314685E-3</v>
      </c>
      <c r="S93" s="277"/>
      <c r="T93" s="277"/>
    </row>
    <row r="94" spans="2:20" x14ac:dyDescent="0.3">
      <c r="B94" s="271">
        <v>43518</v>
      </c>
      <c r="C94" s="273">
        <v>2253.85</v>
      </c>
      <c r="D94" s="273">
        <v>169.65</v>
      </c>
      <c r="E94" s="273">
        <v>1397.8</v>
      </c>
      <c r="F94" s="274">
        <v>222</v>
      </c>
      <c r="H94" s="271">
        <v>43518</v>
      </c>
      <c r="I94" s="277">
        <f t="shared" si="11"/>
        <v>1.6888513588585706E-3</v>
      </c>
      <c r="J94" s="277">
        <f t="shared" si="12"/>
        <v>3.0680437424058394E-2</v>
      </c>
      <c r="K94" s="277">
        <f t="shared" si="13"/>
        <v>0</v>
      </c>
      <c r="L94" s="278">
        <f t="shared" si="14"/>
        <v>3.1838252382059E-2</v>
      </c>
      <c r="N94" s="271">
        <v>43518</v>
      </c>
      <c r="O94" s="277">
        <f t="shared" si="15"/>
        <v>-1.5370513724414908E-3</v>
      </c>
      <c r="P94" s="277">
        <f t="shared" si="16"/>
        <v>3.1698770666663635E-2</v>
      </c>
      <c r="Q94" s="277">
        <f t="shared" si="17"/>
        <v>-1.2872830630290886E-3</v>
      </c>
      <c r="R94" s="278">
        <f t="shared" si="18"/>
        <v>3.4887341884399299E-2</v>
      </c>
      <c r="S94" s="277"/>
      <c r="T94" s="277"/>
    </row>
    <row r="95" spans="2:20" x14ac:dyDescent="0.3">
      <c r="B95" s="271">
        <v>43521</v>
      </c>
      <c r="C95" s="273">
        <v>2233.1999999999998</v>
      </c>
      <c r="D95" s="273">
        <v>171.25</v>
      </c>
      <c r="E95" s="273">
        <v>1398.25</v>
      </c>
      <c r="F95" s="274">
        <v>229.1</v>
      </c>
      <c r="H95" s="271">
        <v>43521</v>
      </c>
      <c r="I95" s="277">
        <f t="shared" si="11"/>
        <v>-9.1621004059720436E-3</v>
      </c>
      <c r="J95" s="277">
        <f t="shared" si="12"/>
        <v>9.431181844974915E-3</v>
      </c>
      <c r="K95" s="277">
        <f t="shared" si="13"/>
        <v>3.2193446845045465E-4</v>
      </c>
      <c r="L95" s="278">
        <f t="shared" si="14"/>
        <v>3.1981981981981954E-2</v>
      </c>
      <c r="N95" s="271">
        <v>43521</v>
      </c>
      <c r="O95" s="277">
        <f t="shared" si="15"/>
        <v>-1.2388003137272105E-2</v>
      </c>
      <c r="P95" s="277">
        <f t="shared" si="16"/>
        <v>1.0449515087580153E-2</v>
      </c>
      <c r="Q95" s="277">
        <f t="shared" si="17"/>
        <v>-9.6534859457863393E-4</v>
      </c>
      <c r="R95" s="278">
        <f t="shared" si="18"/>
        <v>3.5031071484322253E-2</v>
      </c>
      <c r="S95" s="277"/>
      <c r="T95" s="277"/>
    </row>
    <row r="96" spans="2:20" x14ac:dyDescent="0.3">
      <c r="B96" s="271">
        <v>43522</v>
      </c>
      <c r="C96" s="273">
        <v>2224.5500000000002</v>
      </c>
      <c r="D96" s="273">
        <v>169.7</v>
      </c>
      <c r="E96" s="273">
        <v>1402</v>
      </c>
      <c r="F96" s="274">
        <v>229.5</v>
      </c>
      <c r="H96" s="271">
        <v>43522</v>
      </c>
      <c r="I96" s="277">
        <f t="shared" si="11"/>
        <v>-3.8733655740639606E-3</v>
      </c>
      <c r="J96" s="277">
        <f t="shared" si="12"/>
        <v>-9.0510948905110147E-3</v>
      </c>
      <c r="K96" s="277">
        <f t="shared" si="13"/>
        <v>2.6819238333631325E-3</v>
      </c>
      <c r="L96" s="278">
        <f t="shared" si="14"/>
        <v>1.745962461807096E-3</v>
      </c>
      <c r="N96" s="271">
        <v>43522</v>
      </c>
      <c r="O96" s="277">
        <f t="shared" si="15"/>
        <v>-7.099268305364022E-3</v>
      </c>
      <c r="P96" s="277">
        <f t="shared" si="16"/>
        <v>-8.032761647905777E-3</v>
      </c>
      <c r="Q96" s="277">
        <f t="shared" si="17"/>
        <v>1.3946407703340439E-3</v>
      </c>
      <c r="R96" s="278">
        <f t="shared" si="18"/>
        <v>4.7950519641473972E-3</v>
      </c>
      <c r="S96" s="277"/>
      <c r="T96" s="277"/>
    </row>
    <row r="97" spans="2:20" x14ac:dyDescent="0.3">
      <c r="B97" s="271">
        <v>43523</v>
      </c>
      <c r="C97" s="273">
        <v>2215.35</v>
      </c>
      <c r="D97" s="273">
        <v>164.65</v>
      </c>
      <c r="E97" s="273">
        <v>1405.7</v>
      </c>
      <c r="F97" s="274">
        <v>228.2</v>
      </c>
      <c r="H97" s="271">
        <v>43523</v>
      </c>
      <c r="I97" s="277">
        <f t="shared" si="11"/>
        <v>-4.1356678878875603E-3</v>
      </c>
      <c r="J97" s="277">
        <f t="shared" si="12"/>
        <v>-2.9758397171478983E-2</v>
      </c>
      <c r="K97" s="277">
        <f t="shared" si="13"/>
        <v>2.6390870185449681E-3</v>
      </c>
      <c r="L97" s="278">
        <f t="shared" si="14"/>
        <v>-5.6644880174292435E-3</v>
      </c>
      <c r="N97" s="271">
        <v>43523</v>
      </c>
      <c r="O97" s="277">
        <f t="shared" si="15"/>
        <v>-7.3615706191876218E-3</v>
      </c>
      <c r="P97" s="277">
        <f t="shared" si="16"/>
        <v>-2.8740063928873745E-2</v>
      </c>
      <c r="Q97" s="277">
        <f t="shared" si="17"/>
        <v>1.3518039555158795E-3</v>
      </c>
      <c r="R97" s="278">
        <f t="shared" si="18"/>
        <v>-2.6153985150889421E-3</v>
      </c>
      <c r="S97" s="277"/>
      <c r="T97" s="277"/>
    </row>
    <row r="98" spans="2:20" x14ac:dyDescent="0.3">
      <c r="B98" s="271">
        <v>43524</v>
      </c>
      <c r="C98" s="273">
        <v>2205.1999999999998</v>
      </c>
      <c r="D98" s="273">
        <v>169.4</v>
      </c>
      <c r="E98" s="273">
        <v>1405.2</v>
      </c>
      <c r="F98" s="274">
        <v>231.15</v>
      </c>
      <c r="H98" s="271">
        <v>43524</v>
      </c>
      <c r="I98" s="277">
        <f t="shared" si="11"/>
        <v>-4.5816688107974323E-3</v>
      </c>
      <c r="J98" s="277">
        <f t="shared" si="12"/>
        <v>2.8849073792894017E-2</v>
      </c>
      <c r="K98" s="277">
        <f t="shared" si="13"/>
        <v>-3.5569467169381801E-4</v>
      </c>
      <c r="L98" s="278">
        <f t="shared" si="14"/>
        <v>1.2927256792287543E-2</v>
      </c>
      <c r="N98" s="271">
        <v>43524</v>
      </c>
      <c r="O98" s="277">
        <f t="shared" si="15"/>
        <v>-7.8075715420974938E-3</v>
      </c>
      <c r="P98" s="277">
        <f t="shared" si="16"/>
        <v>2.9867407035499255E-2</v>
      </c>
      <c r="Q98" s="277">
        <f t="shared" si="17"/>
        <v>-1.6429777347229065E-3</v>
      </c>
      <c r="R98" s="278">
        <f t="shared" si="18"/>
        <v>1.5976346294627845E-2</v>
      </c>
      <c r="S98" s="277"/>
      <c r="T98" s="277"/>
    </row>
    <row r="99" spans="2:20" x14ac:dyDescent="0.3">
      <c r="B99" s="271">
        <v>43525</v>
      </c>
      <c r="C99" s="273">
        <v>2252.0500000000002</v>
      </c>
      <c r="D99" s="273">
        <v>173.45</v>
      </c>
      <c r="E99" s="273">
        <v>1392.35</v>
      </c>
      <c r="F99" s="274">
        <v>237.6</v>
      </c>
      <c r="H99" s="271">
        <v>43525</v>
      </c>
      <c r="I99" s="277">
        <f t="shared" si="11"/>
        <v>2.1245238527117887E-2</v>
      </c>
      <c r="J99" s="277">
        <f t="shared" si="12"/>
        <v>2.3907910271546533E-2</v>
      </c>
      <c r="K99" s="277">
        <f t="shared" si="13"/>
        <v>-9.1446057500712604E-3</v>
      </c>
      <c r="L99" s="278">
        <f t="shared" si="14"/>
        <v>2.790395846852688E-2</v>
      </c>
      <c r="N99" s="271">
        <v>43525</v>
      </c>
      <c r="O99" s="277">
        <f t="shared" si="15"/>
        <v>1.8019335795817826E-2</v>
      </c>
      <c r="P99" s="277">
        <f t="shared" si="16"/>
        <v>2.492624351415177E-2</v>
      </c>
      <c r="Q99" s="277">
        <f t="shared" si="17"/>
        <v>-1.0431888813100349E-2</v>
      </c>
      <c r="R99" s="278">
        <f t="shared" si="18"/>
        <v>3.0953047970867183E-2</v>
      </c>
      <c r="S99" s="277"/>
      <c r="T99" s="277"/>
    </row>
    <row r="100" spans="2:20" x14ac:dyDescent="0.3">
      <c r="B100" s="271">
        <v>43529</v>
      </c>
      <c r="C100" s="273">
        <v>2359.4</v>
      </c>
      <c r="D100" s="273">
        <v>174.95</v>
      </c>
      <c r="E100" s="273">
        <v>1403.85</v>
      </c>
      <c r="F100" s="274">
        <v>237.45</v>
      </c>
      <c r="H100" s="271">
        <v>43529</v>
      </c>
      <c r="I100" s="277">
        <f t="shared" si="11"/>
        <v>4.7667680557714039E-2</v>
      </c>
      <c r="J100" s="277">
        <f t="shared" si="12"/>
        <v>8.6480253675410793E-3</v>
      </c>
      <c r="K100" s="277">
        <f t="shared" si="13"/>
        <v>8.2594175315114735E-3</v>
      </c>
      <c r="L100" s="278">
        <f t="shared" si="14"/>
        <v>-6.3131313131315522E-4</v>
      </c>
      <c r="N100" s="271">
        <v>43529</v>
      </c>
      <c r="O100" s="277">
        <f t="shared" si="15"/>
        <v>4.4441777826413981E-2</v>
      </c>
      <c r="P100" s="277">
        <f t="shared" si="16"/>
        <v>9.666358610146317E-3</v>
      </c>
      <c r="Q100" s="277">
        <f t="shared" si="17"/>
        <v>6.9721344684823845E-3</v>
      </c>
      <c r="R100" s="278">
        <f t="shared" si="18"/>
        <v>2.417776371027146E-3</v>
      </c>
      <c r="S100" s="277"/>
      <c r="T100" s="277"/>
    </row>
    <row r="101" spans="2:20" x14ac:dyDescent="0.3">
      <c r="B101" s="271">
        <v>43530</v>
      </c>
      <c r="C101" s="273">
        <v>2348.85</v>
      </c>
      <c r="D101" s="273">
        <v>178.5</v>
      </c>
      <c r="E101" s="273">
        <v>1393.7</v>
      </c>
      <c r="F101" s="274">
        <v>235.3</v>
      </c>
      <c r="H101" s="271">
        <v>43530</v>
      </c>
      <c r="I101" s="277">
        <f t="shared" si="11"/>
        <v>-4.471475798932009E-3</v>
      </c>
      <c r="J101" s="277">
        <f t="shared" si="12"/>
        <v>2.0291511860531648E-2</v>
      </c>
      <c r="K101" s="277">
        <f t="shared" si="13"/>
        <v>-7.2301171777610605E-3</v>
      </c>
      <c r="L101" s="278">
        <f t="shared" si="14"/>
        <v>-9.0545377974309421E-3</v>
      </c>
      <c r="N101" s="271">
        <v>43530</v>
      </c>
      <c r="O101" s="277">
        <f t="shared" si="15"/>
        <v>-7.6973785302320704E-3</v>
      </c>
      <c r="P101" s="277">
        <f t="shared" si="16"/>
        <v>2.1309845103136885E-2</v>
      </c>
      <c r="Q101" s="277">
        <f t="shared" si="17"/>
        <v>-8.5174002407901496E-3</v>
      </c>
      <c r="R101" s="278">
        <f t="shared" si="18"/>
        <v>-6.0054482950906412E-3</v>
      </c>
      <c r="S101" s="277"/>
      <c r="T101" s="277"/>
    </row>
    <row r="102" spans="2:20" x14ac:dyDescent="0.3">
      <c r="B102" s="271">
        <v>43531</v>
      </c>
      <c r="C102" s="273">
        <v>2387.9499999999998</v>
      </c>
      <c r="D102" s="273">
        <v>176.05</v>
      </c>
      <c r="E102" s="273">
        <v>1395.45</v>
      </c>
      <c r="F102" s="274">
        <v>231.7</v>
      </c>
      <c r="H102" s="271">
        <v>43531</v>
      </c>
      <c r="I102" s="277">
        <f t="shared" si="11"/>
        <v>1.664644400451281E-2</v>
      </c>
      <c r="J102" s="277">
        <f t="shared" si="12"/>
        <v>-1.3725490196078367E-2</v>
      </c>
      <c r="K102" s="277">
        <f t="shared" si="13"/>
        <v>1.2556504269211452E-3</v>
      </c>
      <c r="L102" s="278">
        <f t="shared" si="14"/>
        <v>-1.5299617509562357E-2</v>
      </c>
      <c r="N102" s="271">
        <v>43531</v>
      </c>
      <c r="O102" s="277">
        <f t="shared" si="15"/>
        <v>1.3420541273212749E-2</v>
      </c>
      <c r="P102" s="277">
        <f t="shared" si="16"/>
        <v>-1.2707156953473129E-2</v>
      </c>
      <c r="Q102" s="277">
        <f t="shared" si="17"/>
        <v>-3.1632636107943417E-5</v>
      </c>
      <c r="R102" s="278">
        <f t="shared" si="18"/>
        <v>-1.2250528007222056E-2</v>
      </c>
      <c r="S102" s="277"/>
      <c r="T102" s="277"/>
    </row>
    <row r="103" spans="2:20" x14ac:dyDescent="0.3">
      <c r="B103" s="271">
        <v>43532</v>
      </c>
      <c r="C103" s="273">
        <v>2474.5500000000002</v>
      </c>
      <c r="D103" s="273">
        <v>172.35</v>
      </c>
      <c r="E103" s="273">
        <v>1382.35</v>
      </c>
      <c r="F103" s="274">
        <v>232.3</v>
      </c>
      <c r="H103" s="271">
        <v>43532</v>
      </c>
      <c r="I103" s="277">
        <f t="shared" si="11"/>
        <v>3.6265415942545016E-2</v>
      </c>
      <c r="J103" s="277">
        <f t="shared" si="12"/>
        <v>-2.1016756603237811E-2</v>
      </c>
      <c r="K103" s="277">
        <f t="shared" si="13"/>
        <v>-9.3876527285106145E-3</v>
      </c>
      <c r="L103" s="278">
        <f t="shared" si="14"/>
        <v>2.5895554596461925E-3</v>
      </c>
      <c r="N103" s="271">
        <v>43532</v>
      </c>
      <c r="O103" s="277">
        <f t="shared" si="15"/>
        <v>3.3039513211244959E-2</v>
      </c>
      <c r="P103" s="277">
        <f t="shared" si="16"/>
        <v>-1.9998423360632574E-2</v>
      </c>
      <c r="Q103" s="277">
        <f t="shared" si="17"/>
        <v>-1.0674935791539704E-2</v>
      </c>
      <c r="R103" s="278">
        <f t="shared" si="18"/>
        <v>5.6386449619864939E-3</v>
      </c>
      <c r="S103" s="277"/>
      <c r="T103" s="277"/>
    </row>
    <row r="104" spans="2:20" x14ac:dyDescent="0.3">
      <c r="B104" s="271">
        <v>43535</v>
      </c>
      <c r="C104" s="273">
        <v>2500.9</v>
      </c>
      <c r="D104" s="273">
        <v>177.1</v>
      </c>
      <c r="E104" s="273">
        <v>1419.8</v>
      </c>
      <c r="F104" s="274">
        <v>236.3</v>
      </c>
      <c r="H104" s="271">
        <v>43535</v>
      </c>
      <c r="I104" s="277">
        <f t="shared" si="11"/>
        <v>1.0648400719322668E-2</v>
      </c>
      <c r="J104" s="277">
        <f t="shared" si="12"/>
        <v>2.7560197272991006E-2</v>
      </c>
      <c r="K104" s="277">
        <f t="shared" si="13"/>
        <v>2.7091547003291531E-2</v>
      </c>
      <c r="L104" s="278">
        <f t="shared" si="14"/>
        <v>1.7219113215669393E-2</v>
      </c>
      <c r="N104" s="271">
        <v>43535</v>
      </c>
      <c r="O104" s="277">
        <f t="shared" si="15"/>
        <v>7.4224979880226066E-3</v>
      </c>
      <c r="P104" s="277">
        <f t="shared" si="16"/>
        <v>2.8578530515596244E-2</v>
      </c>
      <c r="Q104" s="277">
        <f t="shared" si="17"/>
        <v>2.5804263940262442E-2</v>
      </c>
      <c r="R104" s="278">
        <f t="shared" si="18"/>
        <v>2.0268202718009696E-2</v>
      </c>
      <c r="S104" s="277"/>
      <c r="T104" s="277"/>
    </row>
    <row r="105" spans="2:20" x14ac:dyDescent="0.3">
      <c r="B105" s="271">
        <v>43536</v>
      </c>
      <c r="C105" s="273">
        <v>2550.1</v>
      </c>
      <c r="D105" s="273">
        <v>178.45</v>
      </c>
      <c r="E105" s="273">
        <v>1428.1</v>
      </c>
      <c r="F105" s="274">
        <v>235.85</v>
      </c>
      <c r="H105" s="271">
        <v>43536</v>
      </c>
      <c r="I105" s="277">
        <f t="shared" si="11"/>
        <v>1.9672917749610067E-2</v>
      </c>
      <c r="J105" s="277">
        <f t="shared" si="12"/>
        <v>7.6228119706380259E-3</v>
      </c>
      <c r="K105" s="277">
        <f t="shared" si="13"/>
        <v>5.8458937878574126E-3</v>
      </c>
      <c r="L105" s="278">
        <f t="shared" si="14"/>
        <v>-1.9043588658485698E-3</v>
      </c>
      <c r="N105" s="271">
        <v>43536</v>
      </c>
      <c r="O105" s="277">
        <f t="shared" si="15"/>
        <v>1.6447015018310005E-2</v>
      </c>
      <c r="P105" s="277">
        <f t="shared" si="16"/>
        <v>8.6411452132432644E-3</v>
      </c>
      <c r="Q105" s="277">
        <f t="shared" si="17"/>
        <v>4.5586107248283235E-3</v>
      </c>
      <c r="R105" s="278">
        <f t="shared" si="18"/>
        <v>1.1447306364917316E-3</v>
      </c>
      <c r="S105" s="277"/>
      <c r="T105" s="277"/>
    </row>
    <row r="106" spans="2:20" x14ac:dyDescent="0.3">
      <c r="B106" s="271">
        <v>43537</v>
      </c>
      <c r="C106" s="273">
        <v>2503.0500000000002</v>
      </c>
      <c r="D106" s="273">
        <v>171.6</v>
      </c>
      <c r="E106" s="273">
        <v>1428.3</v>
      </c>
      <c r="F106" s="274">
        <v>244.3</v>
      </c>
      <c r="H106" s="271">
        <v>43537</v>
      </c>
      <c r="I106" s="277">
        <f t="shared" si="11"/>
        <v>-1.8450256852672337E-2</v>
      </c>
      <c r="J106" s="277">
        <f t="shared" si="12"/>
        <v>-3.8386102549733792E-2</v>
      </c>
      <c r="K106" s="277">
        <f t="shared" si="13"/>
        <v>1.400462152510647E-4</v>
      </c>
      <c r="L106" s="278">
        <f t="shared" si="14"/>
        <v>3.5827856688573322E-2</v>
      </c>
      <c r="N106" s="271">
        <v>43537</v>
      </c>
      <c r="O106" s="277">
        <f t="shared" si="15"/>
        <v>-2.1676159583972399E-2</v>
      </c>
      <c r="P106" s="277">
        <f t="shared" si="16"/>
        <v>-3.7367769307128554E-2</v>
      </c>
      <c r="Q106" s="277">
        <f t="shared" si="17"/>
        <v>-1.1472368477780238E-3</v>
      </c>
      <c r="R106" s="278">
        <f t="shared" si="18"/>
        <v>3.8876946190913621E-2</v>
      </c>
      <c r="S106" s="277"/>
      <c r="T106" s="277"/>
    </row>
    <row r="107" spans="2:20" x14ac:dyDescent="0.3">
      <c r="B107" s="271">
        <v>43538</v>
      </c>
      <c r="C107" s="273">
        <v>2537.15</v>
      </c>
      <c r="D107" s="273">
        <v>173.6</v>
      </c>
      <c r="E107" s="273">
        <v>1434.75</v>
      </c>
      <c r="F107" s="274">
        <v>249.85</v>
      </c>
      <c r="H107" s="271">
        <v>43538</v>
      </c>
      <c r="I107" s="277">
        <f t="shared" si="11"/>
        <v>1.3623379477037977E-2</v>
      </c>
      <c r="J107" s="277">
        <f t="shared" si="12"/>
        <v>1.1655011655011656E-2</v>
      </c>
      <c r="K107" s="277">
        <f t="shared" si="13"/>
        <v>4.515858013022506E-3</v>
      </c>
      <c r="L107" s="278">
        <f t="shared" si="14"/>
        <v>2.2717969709373651E-2</v>
      </c>
      <c r="N107" s="271">
        <v>43538</v>
      </c>
      <c r="O107" s="277">
        <f t="shared" si="15"/>
        <v>1.0397476745737915E-2</v>
      </c>
      <c r="P107" s="277">
        <f t="shared" si="16"/>
        <v>1.2673344897616894E-2</v>
      </c>
      <c r="Q107" s="277">
        <f t="shared" si="17"/>
        <v>3.2285749499934174E-3</v>
      </c>
      <c r="R107" s="278">
        <f t="shared" si="18"/>
        <v>2.5767059211713954E-2</v>
      </c>
      <c r="S107" s="277"/>
      <c r="T107" s="277"/>
    </row>
    <row r="108" spans="2:20" x14ac:dyDescent="0.3">
      <c r="B108" s="271">
        <v>43539</v>
      </c>
      <c r="C108" s="273">
        <v>2510.3000000000002</v>
      </c>
      <c r="D108" s="273">
        <v>175.7</v>
      </c>
      <c r="E108" s="273">
        <v>1432.55</v>
      </c>
      <c r="F108" s="274">
        <v>245.05</v>
      </c>
      <c r="H108" s="271">
        <v>43539</v>
      </c>
      <c r="I108" s="277">
        <f t="shared" si="11"/>
        <v>-1.0582740476518892E-2</v>
      </c>
      <c r="J108" s="277">
        <f t="shared" si="12"/>
        <v>1.2096774193548356E-2</v>
      </c>
      <c r="K108" s="277">
        <f t="shared" si="13"/>
        <v>-1.5333681826102425E-3</v>
      </c>
      <c r="L108" s="278">
        <f t="shared" si="14"/>
        <v>-1.9211526916149621E-2</v>
      </c>
      <c r="N108" s="271">
        <v>43539</v>
      </c>
      <c r="O108" s="277">
        <f t="shared" si="15"/>
        <v>-1.3808643207818954E-2</v>
      </c>
      <c r="P108" s="277">
        <f t="shared" si="16"/>
        <v>1.3115107436153593E-2</v>
      </c>
      <c r="Q108" s="277">
        <f t="shared" si="17"/>
        <v>-2.8206512456393313E-3</v>
      </c>
      <c r="R108" s="278">
        <f t="shared" si="18"/>
        <v>-1.6162437413809318E-2</v>
      </c>
      <c r="S108" s="277"/>
      <c r="T108" s="277"/>
    </row>
    <row r="109" spans="2:20" x14ac:dyDescent="0.3">
      <c r="B109" s="271">
        <v>43542</v>
      </c>
      <c r="C109" s="273">
        <v>2523.6</v>
      </c>
      <c r="D109" s="273">
        <v>173.3</v>
      </c>
      <c r="E109" s="273">
        <v>1445.6</v>
      </c>
      <c r="F109" s="274">
        <v>245.95</v>
      </c>
      <c r="H109" s="271">
        <v>43542</v>
      </c>
      <c r="I109" s="277">
        <f t="shared" si="11"/>
        <v>5.2981715332827651E-3</v>
      </c>
      <c r="J109" s="277">
        <f t="shared" si="12"/>
        <v>-1.3659647125782456E-2</v>
      </c>
      <c r="K109" s="277">
        <f t="shared" si="13"/>
        <v>9.1096296813374441E-3</v>
      </c>
      <c r="L109" s="278">
        <f t="shared" si="14"/>
        <v>3.672719853091113E-3</v>
      </c>
      <c r="N109" s="271">
        <v>43542</v>
      </c>
      <c r="O109" s="277">
        <f t="shared" si="15"/>
        <v>2.0722688019827037E-3</v>
      </c>
      <c r="P109" s="277">
        <f t="shared" si="16"/>
        <v>-1.2641313883177218E-2</v>
      </c>
      <c r="Q109" s="277">
        <f t="shared" si="17"/>
        <v>7.822346618308355E-3</v>
      </c>
      <c r="R109" s="278">
        <f t="shared" si="18"/>
        <v>6.7218093554314139E-3</v>
      </c>
      <c r="S109" s="277"/>
      <c r="T109" s="277"/>
    </row>
    <row r="110" spans="2:20" x14ac:dyDescent="0.3">
      <c r="B110" s="271">
        <v>43543</v>
      </c>
      <c r="C110" s="273">
        <v>2507.85</v>
      </c>
      <c r="D110" s="273">
        <v>172.7</v>
      </c>
      <c r="E110" s="273">
        <v>1453.9</v>
      </c>
      <c r="F110" s="274">
        <v>248.8</v>
      </c>
      <c r="H110" s="271">
        <v>43543</v>
      </c>
      <c r="I110" s="277">
        <f t="shared" si="11"/>
        <v>-6.2410841654778892E-3</v>
      </c>
      <c r="J110" s="277">
        <f t="shared" si="12"/>
        <v>-3.462204270052064E-3</v>
      </c>
      <c r="K110" s="277">
        <f t="shared" si="13"/>
        <v>5.7415605976758322E-3</v>
      </c>
      <c r="L110" s="278">
        <f t="shared" si="14"/>
        <v>1.1587721081520726E-2</v>
      </c>
      <c r="N110" s="271">
        <v>43543</v>
      </c>
      <c r="O110" s="277">
        <f t="shared" si="15"/>
        <v>-9.4669868967779507E-3</v>
      </c>
      <c r="P110" s="277">
        <f t="shared" si="16"/>
        <v>-2.4438710274468263E-3</v>
      </c>
      <c r="Q110" s="277">
        <f t="shared" si="17"/>
        <v>4.4542775346467431E-3</v>
      </c>
      <c r="R110" s="278">
        <f t="shared" si="18"/>
        <v>1.4636810583861027E-2</v>
      </c>
      <c r="S110" s="277"/>
      <c r="T110" s="277"/>
    </row>
    <row r="111" spans="2:20" x14ac:dyDescent="0.3">
      <c r="B111" s="271">
        <v>43544</v>
      </c>
      <c r="C111" s="273">
        <v>2506.4499999999998</v>
      </c>
      <c r="D111" s="273">
        <v>174.55</v>
      </c>
      <c r="E111" s="273">
        <v>1456.15</v>
      </c>
      <c r="F111" s="274">
        <v>252.15</v>
      </c>
      <c r="H111" s="271">
        <v>43544</v>
      </c>
      <c r="I111" s="277">
        <f t="shared" si="11"/>
        <v>-5.5824710409318383E-4</v>
      </c>
      <c r="J111" s="277">
        <f t="shared" si="12"/>
        <v>1.0712217718587278E-2</v>
      </c>
      <c r="K111" s="277">
        <f t="shared" si="13"/>
        <v>1.5475617305179172E-3</v>
      </c>
      <c r="L111" s="278">
        <f t="shared" si="14"/>
        <v>1.3464630225080362E-2</v>
      </c>
      <c r="N111" s="271">
        <v>43544</v>
      </c>
      <c r="O111" s="277">
        <f t="shared" si="15"/>
        <v>-3.7841498353932451E-3</v>
      </c>
      <c r="P111" s="277">
        <f t="shared" si="16"/>
        <v>1.1730550961192516E-2</v>
      </c>
      <c r="Q111" s="277">
        <f t="shared" si="17"/>
        <v>2.602786674888286E-4</v>
      </c>
      <c r="R111" s="278">
        <f t="shared" si="18"/>
        <v>1.6513719727420665E-2</v>
      </c>
      <c r="S111" s="277"/>
      <c r="T111" s="277"/>
    </row>
    <row r="112" spans="2:20" x14ac:dyDescent="0.3">
      <c r="B112" s="271">
        <v>43546</v>
      </c>
      <c r="C112" s="273">
        <v>2470.9</v>
      </c>
      <c r="D112" s="273">
        <v>173.9</v>
      </c>
      <c r="E112" s="273">
        <v>1471.25</v>
      </c>
      <c r="F112" s="274">
        <v>252.6</v>
      </c>
      <c r="H112" s="271">
        <v>43546</v>
      </c>
      <c r="I112" s="277">
        <f t="shared" si="11"/>
        <v>-1.4183406810428985E-2</v>
      </c>
      <c r="J112" s="277">
        <f t="shared" si="12"/>
        <v>-3.7238613577771735E-3</v>
      </c>
      <c r="K112" s="277">
        <f t="shared" si="13"/>
        <v>1.0369810802458475E-2</v>
      </c>
      <c r="L112" s="278">
        <f t="shared" si="14"/>
        <v>1.7846519928613469E-3</v>
      </c>
      <c r="N112" s="271">
        <v>43546</v>
      </c>
      <c r="O112" s="277">
        <f t="shared" si="15"/>
        <v>-1.7409309541729048E-2</v>
      </c>
      <c r="P112" s="277">
        <f t="shared" si="16"/>
        <v>-2.7055281151719358E-3</v>
      </c>
      <c r="Q112" s="277">
        <f t="shared" si="17"/>
        <v>9.0825277394293857E-3</v>
      </c>
      <c r="R112" s="278">
        <f t="shared" si="18"/>
        <v>4.8337414952016478E-3</v>
      </c>
      <c r="S112" s="277"/>
      <c r="T112" s="277"/>
    </row>
    <row r="113" spans="2:20" x14ac:dyDescent="0.3">
      <c r="B113" s="271">
        <v>43549</v>
      </c>
      <c r="C113" s="273">
        <v>2374.85</v>
      </c>
      <c r="D113" s="273">
        <v>168.25</v>
      </c>
      <c r="E113" s="273">
        <v>1457.55</v>
      </c>
      <c r="F113" s="274">
        <v>247.25</v>
      </c>
      <c r="H113" s="271">
        <v>43549</v>
      </c>
      <c r="I113" s="277">
        <f t="shared" si="11"/>
        <v>-3.8872475616172318E-2</v>
      </c>
      <c r="J113" s="277">
        <f t="shared" si="12"/>
        <v>-3.2489936745255923E-2</v>
      </c>
      <c r="K113" s="277">
        <f t="shared" si="13"/>
        <v>-9.3118096856414923E-3</v>
      </c>
      <c r="L113" s="278">
        <f t="shared" si="14"/>
        <v>-2.1179730799683272E-2</v>
      </c>
      <c r="N113" s="271">
        <v>43549</v>
      </c>
      <c r="O113" s="277">
        <f t="shared" si="15"/>
        <v>-4.2098378347472376E-2</v>
      </c>
      <c r="P113" s="277">
        <f t="shared" si="16"/>
        <v>-3.1471603502650686E-2</v>
      </c>
      <c r="Q113" s="277">
        <f t="shared" si="17"/>
        <v>-1.0599092748670581E-2</v>
      </c>
      <c r="R113" s="278">
        <f t="shared" si="18"/>
        <v>-1.8130641297342969E-2</v>
      </c>
      <c r="S113" s="277"/>
      <c r="T113" s="277"/>
    </row>
    <row r="114" spans="2:20" x14ac:dyDescent="0.3">
      <c r="B114" s="271">
        <v>43550</v>
      </c>
      <c r="C114" s="273">
        <v>2395.35</v>
      </c>
      <c r="D114" s="273">
        <v>173.6</v>
      </c>
      <c r="E114" s="273">
        <v>1485.05</v>
      </c>
      <c r="F114" s="274">
        <v>253.7</v>
      </c>
      <c r="H114" s="271">
        <v>43550</v>
      </c>
      <c r="I114" s="277">
        <f t="shared" si="11"/>
        <v>8.6321241341558424E-3</v>
      </c>
      <c r="J114" s="277">
        <f t="shared" si="12"/>
        <v>3.1797919762258507E-2</v>
      </c>
      <c r="K114" s="277">
        <f t="shared" si="13"/>
        <v>1.8867277280367741E-2</v>
      </c>
      <c r="L114" s="278">
        <f t="shared" si="14"/>
        <v>2.6086956521739084E-2</v>
      </c>
      <c r="N114" s="271">
        <v>43550</v>
      </c>
      <c r="O114" s="277">
        <f t="shared" si="15"/>
        <v>5.406221402855781E-3</v>
      </c>
      <c r="P114" s="277">
        <f t="shared" si="16"/>
        <v>3.2816253004863745E-2</v>
      </c>
      <c r="Q114" s="277">
        <f t="shared" si="17"/>
        <v>1.7579994217338652E-2</v>
      </c>
      <c r="R114" s="278">
        <f t="shared" si="18"/>
        <v>2.9136046024079387E-2</v>
      </c>
      <c r="S114" s="277"/>
      <c r="T114" s="277"/>
    </row>
    <row r="115" spans="2:20" x14ac:dyDescent="0.3">
      <c r="B115" s="271">
        <v>43551</v>
      </c>
      <c r="C115" s="273">
        <v>2358.4</v>
      </c>
      <c r="D115" s="273">
        <v>175.45</v>
      </c>
      <c r="E115" s="273">
        <v>1472.05</v>
      </c>
      <c r="F115" s="274">
        <v>268.45</v>
      </c>
      <c r="H115" s="271">
        <v>43551</v>
      </c>
      <c r="I115" s="277">
        <f t="shared" si="11"/>
        <v>-1.5425720667125815E-2</v>
      </c>
      <c r="J115" s="277">
        <f t="shared" si="12"/>
        <v>1.0656682027649737E-2</v>
      </c>
      <c r="K115" s="277">
        <f t="shared" si="13"/>
        <v>-8.7539140096293058E-3</v>
      </c>
      <c r="L115" s="278">
        <f t="shared" si="14"/>
        <v>5.8139534883720929E-2</v>
      </c>
      <c r="N115" s="271">
        <v>43551</v>
      </c>
      <c r="O115" s="277">
        <f t="shared" si="15"/>
        <v>-1.8651623398425875E-2</v>
      </c>
      <c r="P115" s="277">
        <f t="shared" si="16"/>
        <v>1.1675015270254975E-2</v>
      </c>
      <c r="Q115" s="277">
        <f t="shared" si="17"/>
        <v>-1.0041197072658395E-2</v>
      </c>
      <c r="R115" s="278">
        <f t="shared" si="18"/>
        <v>6.1188624386061229E-2</v>
      </c>
      <c r="S115" s="277"/>
      <c r="T115" s="277"/>
    </row>
    <row r="116" spans="2:20" x14ac:dyDescent="0.3">
      <c r="B116" s="271">
        <v>43552</v>
      </c>
      <c r="C116" s="273">
        <v>2364</v>
      </c>
      <c r="D116" s="273">
        <v>178.05</v>
      </c>
      <c r="E116" s="273">
        <v>1497</v>
      </c>
      <c r="F116" s="274">
        <v>276.10000000000002</v>
      </c>
      <c r="H116" s="271">
        <v>43552</v>
      </c>
      <c r="I116" s="277">
        <f t="shared" si="11"/>
        <v>2.3744911804612912E-3</v>
      </c>
      <c r="J116" s="277">
        <f t="shared" si="12"/>
        <v>1.481903676261056E-2</v>
      </c>
      <c r="K116" s="277">
        <f t="shared" si="13"/>
        <v>1.6949152542372913E-2</v>
      </c>
      <c r="L116" s="278">
        <f t="shared" si="14"/>
        <v>2.8496926802011675E-2</v>
      </c>
      <c r="N116" s="271">
        <v>43552</v>
      </c>
      <c r="O116" s="277">
        <f t="shared" si="15"/>
        <v>-8.5141155083877026E-4</v>
      </c>
      <c r="P116" s="277">
        <f t="shared" si="16"/>
        <v>1.58373700052158E-2</v>
      </c>
      <c r="Q116" s="277">
        <f t="shared" si="17"/>
        <v>1.5661869479343823E-2</v>
      </c>
      <c r="R116" s="278">
        <f t="shared" si="18"/>
        <v>3.1546016304351977E-2</v>
      </c>
      <c r="S116" s="277"/>
      <c r="T116" s="277"/>
    </row>
    <row r="117" spans="2:20" x14ac:dyDescent="0.3">
      <c r="B117" s="271">
        <v>43553</v>
      </c>
      <c r="C117" s="273">
        <v>2351</v>
      </c>
      <c r="D117" s="273">
        <v>184.45</v>
      </c>
      <c r="E117" s="273">
        <v>1492.7</v>
      </c>
      <c r="F117" s="274">
        <v>275.10000000000002</v>
      </c>
      <c r="H117" s="271">
        <v>43553</v>
      </c>
      <c r="I117" s="277">
        <f t="shared" si="11"/>
        <v>-5.499153976311337E-3</v>
      </c>
      <c r="J117" s="277">
        <f t="shared" si="12"/>
        <v>3.5944959281100683E-2</v>
      </c>
      <c r="K117" s="277">
        <f t="shared" si="13"/>
        <v>-2.872411489645928E-3</v>
      </c>
      <c r="L117" s="278">
        <f t="shared" si="14"/>
        <v>-3.621876131836291E-3</v>
      </c>
      <c r="N117" s="271">
        <v>43553</v>
      </c>
      <c r="O117" s="277">
        <f t="shared" si="15"/>
        <v>-8.7250567076113984E-3</v>
      </c>
      <c r="P117" s="277">
        <f t="shared" si="16"/>
        <v>3.6963292523705921E-2</v>
      </c>
      <c r="Q117" s="277">
        <f t="shared" si="17"/>
        <v>-4.1596945526750171E-3</v>
      </c>
      <c r="R117" s="278">
        <f t="shared" si="18"/>
        <v>-5.7278662949598966E-4</v>
      </c>
      <c r="S117" s="277"/>
      <c r="T117" s="277"/>
    </row>
    <row r="118" spans="2:20" x14ac:dyDescent="0.3">
      <c r="B118" s="271">
        <v>43556</v>
      </c>
      <c r="C118" s="273">
        <v>2379.4</v>
      </c>
      <c r="D118" s="273">
        <v>188.9</v>
      </c>
      <c r="E118" s="273">
        <v>1492.75</v>
      </c>
      <c r="F118" s="274">
        <v>275.89999999999998</v>
      </c>
      <c r="H118" s="271">
        <v>43556</v>
      </c>
      <c r="I118" s="277">
        <f t="shared" si="11"/>
        <v>1.2079965971926879E-2</v>
      </c>
      <c r="J118" s="277">
        <f t="shared" si="12"/>
        <v>2.4125779343995755E-2</v>
      </c>
      <c r="K118" s="277">
        <f t="shared" si="13"/>
        <v>3.3496348897939652E-5</v>
      </c>
      <c r="L118" s="278">
        <f t="shared" si="14"/>
        <v>2.908033442384422E-3</v>
      </c>
      <c r="N118" s="271">
        <v>43556</v>
      </c>
      <c r="O118" s="277">
        <f t="shared" si="15"/>
        <v>8.8540632406268176E-3</v>
      </c>
      <c r="P118" s="277">
        <f t="shared" si="16"/>
        <v>2.5144112586600993E-2</v>
      </c>
      <c r="Q118" s="277">
        <f t="shared" si="17"/>
        <v>-1.253786714131149E-3</v>
      </c>
      <c r="R118" s="278">
        <f t="shared" si="18"/>
        <v>5.9571229447247234E-3</v>
      </c>
      <c r="S118" s="277"/>
      <c r="T118" s="277"/>
    </row>
    <row r="119" spans="2:20" x14ac:dyDescent="0.3">
      <c r="B119" s="271">
        <v>43557</v>
      </c>
      <c r="C119" s="273">
        <v>2382.1999999999998</v>
      </c>
      <c r="D119" s="273">
        <v>187.9</v>
      </c>
      <c r="E119" s="273">
        <v>1519.3</v>
      </c>
      <c r="F119" s="274">
        <v>280.3</v>
      </c>
      <c r="H119" s="271">
        <v>43557</v>
      </c>
      <c r="I119" s="277">
        <f t="shared" si="11"/>
        <v>1.1767672522483513E-3</v>
      </c>
      <c r="J119" s="277">
        <f t="shared" si="12"/>
        <v>-5.2938062466913712E-3</v>
      </c>
      <c r="K119" s="277">
        <f t="shared" si="13"/>
        <v>1.7785965499916231E-2</v>
      </c>
      <c r="L119" s="278">
        <f t="shared" si="14"/>
        <v>1.5947807176513354E-2</v>
      </c>
      <c r="N119" s="271">
        <v>43557</v>
      </c>
      <c r="O119" s="277">
        <f t="shared" si="15"/>
        <v>-2.0491354790517103E-3</v>
      </c>
      <c r="P119" s="277">
        <f t="shared" si="16"/>
        <v>-4.2754730040861335E-3</v>
      </c>
      <c r="Q119" s="277">
        <f t="shared" si="17"/>
        <v>1.6498682436887142E-2</v>
      </c>
      <c r="R119" s="278">
        <f t="shared" si="18"/>
        <v>1.8996896678853657E-2</v>
      </c>
      <c r="S119" s="277"/>
      <c r="T119" s="277"/>
    </row>
    <row r="120" spans="2:20" x14ac:dyDescent="0.3">
      <c r="B120" s="271">
        <v>43558</v>
      </c>
      <c r="C120" s="273">
        <v>2376.6</v>
      </c>
      <c r="D120" s="273">
        <v>185.8</v>
      </c>
      <c r="E120" s="273">
        <v>1497.6</v>
      </c>
      <c r="F120" s="274">
        <v>273.7</v>
      </c>
      <c r="H120" s="271">
        <v>43558</v>
      </c>
      <c r="I120" s="277">
        <f t="shared" si="11"/>
        <v>-2.3507681974644905E-3</v>
      </c>
      <c r="J120" s="277">
        <f t="shared" si="12"/>
        <v>-1.1176157530601354E-2</v>
      </c>
      <c r="K120" s="277">
        <f t="shared" si="13"/>
        <v>-1.4282893437767423E-2</v>
      </c>
      <c r="L120" s="278">
        <f t="shared" si="14"/>
        <v>-2.3546200499464938E-2</v>
      </c>
      <c r="N120" s="271">
        <v>43558</v>
      </c>
      <c r="O120" s="277">
        <f t="shared" si="15"/>
        <v>-5.576670928764552E-3</v>
      </c>
      <c r="P120" s="277">
        <f t="shared" si="16"/>
        <v>-1.0157824287996116E-2</v>
      </c>
      <c r="Q120" s="277">
        <f t="shared" si="17"/>
        <v>-1.5570176500796512E-2</v>
      </c>
      <c r="R120" s="278">
        <f t="shared" si="18"/>
        <v>-2.0497110997124635E-2</v>
      </c>
      <c r="S120" s="277"/>
      <c r="T120" s="277"/>
    </row>
    <row r="121" spans="2:20" x14ac:dyDescent="0.3">
      <c r="B121" s="271">
        <v>43559</v>
      </c>
      <c r="C121" s="273">
        <v>2385.3000000000002</v>
      </c>
      <c r="D121" s="273">
        <v>187.2</v>
      </c>
      <c r="E121" s="273">
        <v>1519</v>
      </c>
      <c r="F121" s="274">
        <v>268.05</v>
      </c>
      <c r="H121" s="271">
        <v>43559</v>
      </c>
      <c r="I121" s="277">
        <f t="shared" si="11"/>
        <v>3.6606917445090774E-3</v>
      </c>
      <c r="J121" s="277">
        <f t="shared" si="12"/>
        <v>7.534983853605905E-3</v>
      </c>
      <c r="K121" s="277">
        <f t="shared" si="13"/>
        <v>1.4289529914529977E-2</v>
      </c>
      <c r="L121" s="278">
        <f t="shared" si="14"/>
        <v>-2.0643039824625418E-2</v>
      </c>
      <c r="N121" s="271">
        <v>43559</v>
      </c>
      <c r="O121" s="277">
        <f t="shared" si="15"/>
        <v>4.3478901320901601E-4</v>
      </c>
      <c r="P121" s="277">
        <f t="shared" si="16"/>
        <v>8.5533170962111427E-3</v>
      </c>
      <c r="Q121" s="277">
        <f t="shared" si="17"/>
        <v>1.3002246851500887E-2</v>
      </c>
      <c r="R121" s="278">
        <f t="shared" si="18"/>
        <v>-1.7593950322285116E-2</v>
      </c>
      <c r="S121" s="277"/>
      <c r="T121" s="277"/>
    </row>
    <row r="122" spans="2:20" x14ac:dyDescent="0.3">
      <c r="B122" s="271">
        <v>43560</v>
      </c>
      <c r="C122" s="273">
        <v>2387.0500000000002</v>
      </c>
      <c r="D122" s="273">
        <v>191.7</v>
      </c>
      <c r="E122" s="273">
        <v>1514.45</v>
      </c>
      <c r="F122" s="274">
        <v>266.85000000000002</v>
      </c>
      <c r="H122" s="271">
        <v>43560</v>
      </c>
      <c r="I122" s="277">
        <f t="shared" si="11"/>
        <v>7.3366033622605114E-4</v>
      </c>
      <c r="J122" s="277">
        <f t="shared" si="12"/>
        <v>2.403846153846154E-2</v>
      </c>
      <c r="K122" s="277">
        <f t="shared" si="13"/>
        <v>-2.9953917050690943E-3</v>
      </c>
      <c r="L122" s="278">
        <f t="shared" si="14"/>
        <v>-4.4767767207610091E-3</v>
      </c>
      <c r="N122" s="271">
        <v>43560</v>
      </c>
      <c r="O122" s="277">
        <f t="shared" si="15"/>
        <v>-2.4922423950740104E-3</v>
      </c>
      <c r="P122" s="277">
        <f t="shared" si="16"/>
        <v>2.5056794781066778E-2</v>
      </c>
      <c r="Q122" s="277">
        <f t="shared" si="17"/>
        <v>-4.2826747680981825E-3</v>
      </c>
      <c r="R122" s="278">
        <f t="shared" si="18"/>
        <v>-1.4276872184207077E-3</v>
      </c>
      <c r="S122" s="277"/>
      <c r="T122" s="277"/>
    </row>
    <row r="123" spans="2:20" x14ac:dyDescent="0.3">
      <c r="B123" s="271">
        <v>43563</v>
      </c>
      <c r="C123" s="273">
        <v>2385.1999999999998</v>
      </c>
      <c r="D123" s="273">
        <v>186.65</v>
      </c>
      <c r="E123" s="273">
        <v>1496.35</v>
      </c>
      <c r="F123" s="274">
        <v>260.05</v>
      </c>
      <c r="H123" s="271">
        <v>43563</v>
      </c>
      <c r="I123" s="277">
        <f t="shared" si="11"/>
        <v>-7.7501518610852875E-4</v>
      </c>
      <c r="J123" s="277">
        <f t="shared" si="12"/>
        <v>-2.6343244653103722E-2</v>
      </c>
      <c r="K123" s="277">
        <f t="shared" si="13"/>
        <v>-1.1951533560038387E-2</v>
      </c>
      <c r="L123" s="278">
        <f t="shared" si="14"/>
        <v>-2.5482480794453852E-2</v>
      </c>
      <c r="N123" s="271">
        <v>43563</v>
      </c>
      <c r="O123" s="277">
        <f t="shared" si="15"/>
        <v>-4.0009179174085897E-3</v>
      </c>
      <c r="P123" s="277">
        <f t="shared" si="16"/>
        <v>-2.5324911410498484E-2</v>
      </c>
      <c r="Q123" s="277">
        <f t="shared" si="17"/>
        <v>-1.3238816623067477E-2</v>
      </c>
      <c r="R123" s="278">
        <f t="shared" si="18"/>
        <v>-2.2433391292113549E-2</v>
      </c>
      <c r="S123" s="277"/>
      <c r="T123" s="277"/>
    </row>
    <row r="124" spans="2:20" x14ac:dyDescent="0.3">
      <c r="B124" s="271">
        <v>43564</v>
      </c>
      <c r="C124" s="273">
        <v>2382.9499999999998</v>
      </c>
      <c r="D124" s="273">
        <v>190</v>
      </c>
      <c r="E124" s="273">
        <v>1444.85</v>
      </c>
      <c r="F124" s="274">
        <v>270.60000000000002</v>
      </c>
      <c r="H124" s="271">
        <v>43564</v>
      </c>
      <c r="I124" s="277">
        <f t="shared" si="11"/>
        <v>-9.4331712225389911E-4</v>
      </c>
      <c r="J124" s="277">
        <f t="shared" si="12"/>
        <v>1.7948031074203022E-2</v>
      </c>
      <c r="K124" s="277">
        <f t="shared" si="13"/>
        <v>-3.4417081565141845E-2</v>
      </c>
      <c r="L124" s="278">
        <f t="shared" si="14"/>
        <v>4.0569121322822574E-2</v>
      </c>
      <c r="N124" s="271">
        <v>43564</v>
      </c>
      <c r="O124" s="277">
        <f t="shared" si="15"/>
        <v>-4.1692198535539602E-3</v>
      </c>
      <c r="P124" s="277">
        <f t="shared" si="16"/>
        <v>1.896636431680826E-2</v>
      </c>
      <c r="Q124" s="277">
        <f t="shared" si="17"/>
        <v>-3.5704364628170934E-2</v>
      </c>
      <c r="R124" s="278">
        <f t="shared" si="18"/>
        <v>4.3618210825162873E-2</v>
      </c>
      <c r="S124" s="277"/>
      <c r="T124" s="277"/>
    </row>
    <row r="125" spans="2:20" x14ac:dyDescent="0.3">
      <c r="B125" s="271">
        <v>43565</v>
      </c>
      <c r="C125" s="273">
        <v>2404</v>
      </c>
      <c r="D125" s="273">
        <v>188.5</v>
      </c>
      <c r="E125" s="273">
        <v>1409.85</v>
      </c>
      <c r="F125" s="274">
        <v>268.25</v>
      </c>
      <c r="H125" s="271">
        <v>43565</v>
      </c>
      <c r="I125" s="277">
        <f t="shared" si="11"/>
        <v>8.8335886191486107E-3</v>
      </c>
      <c r="J125" s="277">
        <f t="shared" si="12"/>
        <v>-7.8947368421052634E-3</v>
      </c>
      <c r="K125" s="277">
        <f t="shared" si="13"/>
        <v>-2.422396788593972E-2</v>
      </c>
      <c r="L125" s="278">
        <f t="shared" si="14"/>
        <v>-8.6844050258685235E-3</v>
      </c>
      <c r="N125" s="271">
        <v>43565</v>
      </c>
      <c r="O125" s="277">
        <f t="shared" si="15"/>
        <v>5.6076858878485493E-3</v>
      </c>
      <c r="P125" s="277">
        <f t="shared" si="16"/>
        <v>-6.8764035995000257E-3</v>
      </c>
      <c r="Q125" s="277">
        <f t="shared" si="17"/>
        <v>-2.5511250948968809E-2</v>
      </c>
      <c r="R125" s="278">
        <f t="shared" si="18"/>
        <v>-5.6353155235282226E-3</v>
      </c>
      <c r="S125" s="277"/>
      <c r="T125" s="277"/>
    </row>
    <row r="126" spans="2:20" x14ac:dyDescent="0.3">
      <c r="B126" s="271">
        <v>43566</v>
      </c>
      <c r="C126" s="273">
        <v>2389.6999999999998</v>
      </c>
      <c r="D126" s="273">
        <v>181.15</v>
      </c>
      <c r="E126" s="273">
        <v>1423.15</v>
      </c>
      <c r="F126" s="274">
        <v>269.05</v>
      </c>
      <c r="H126" s="271">
        <v>43566</v>
      </c>
      <c r="I126" s="277">
        <f t="shared" si="11"/>
        <v>-5.9484193011648014E-3</v>
      </c>
      <c r="J126" s="277">
        <f t="shared" si="12"/>
        <v>-3.8992042440318272E-2</v>
      </c>
      <c r="K126" s="277">
        <f t="shared" si="13"/>
        <v>9.4336276908892312E-3</v>
      </c>
      <c r="L126" s="278">
        <f t="shared" si="14"/>
        <v>2.9822926374650938E-3</v>
      </c>
      <c r="N126" s="271">
        <v>43566</v>
      </c>
      <c r="O126" s="277">
        <f t="shared" si="15"/>
        <v>-9.1743220324648628E-3</v>
      </c>
      <c r="P126" s="277">
        <f t="shared" si="16"/>
        <v>-3.7973709197713035E-2</v>
      </c>
      <c r="Q126" s="277">
        <f t="shared" si="17"/>
        <v>8.1463446278601422E-3</v>
      </c>
      <c r="R126" s="278">
        <f t="shared" si="18"/>
        <v>6.0313821398053948E-3</v>
      </c>
      <c r="S126" s="277"/>
      <c r="T126" s="277"/>
    </row>
    <row r="127" spans="2:20" x14ac:dyDescent="0.3">
      <c r="B127" s="271">
        <v>43567</v>
      </c>
      <c r="C127" s="273">
        <v>2410.85</v>
      </c>
      <c r="D127" s="273">
        <v>183.9</v>
      </c>
      <c r="E127" s="273">
        <v>1438.65</v>
      </c>
      <c r="F127" s="274">
        <v>267.89999999999998</v>
      </c>
      <c r="H127" s="271">
        <v>43567</v>
      </c>
      <c r="I127" s="277">
        <f t="shared" si="11"/>
        <v>8.8504833242666822E-3</v>
      </c>
      <c r="J127" s="277">
        <f t="shared" si="12"/>
        <v>1.5180789401048854E-2</v>
      </c>
      <c r="K127" s="277">
        <f t="shared" si="13"/>
        <v>1.0891332607244493E-2</v>
      </c>
      <c r="L127" s="278">
        <f t="shared" si="14"/>
        <v>-4.2742984575359008E-3</v>
      </c>
      <c r="N127" s="271">
        <v>43567</v>
      </c>
      <c r="O127" s="277">
        <f t="shared" si="15"/>
        <v>5.6245805929666208E-3</v>
      </c>
      <c r="P127" s="277">
        <f t="shared" si="16"/>
        <v>1.6199122643654092E-2</v>
      </c>
      <c r="Q127" s="277">
        <f t="shared" si="17"/>
        <v>9.6040495442154036E-3</v>
      </c>
      <c r="R127" s="278">
        <f t="shared" si="18"/>
        <v>-1.2252089551955995E-3</v>
      </c>
      <c r="S127" s="277"/>
      <c r="T127" s="277"/>
    </row>
    <row r="128" spans="2:20" x14ac:dyDescent="0.3">
      <c r="B128" s="271">
        <v>43570</v>
      </c>
      <c r="C128" s="273">
        <v>2352.9499999999998</v>
      </c>
      <c r="D128" s="273">
        <v>184.7</v>
      </c>
      <c r="E128" s="273">
        <v>1431.55</v>
      </c>
      <c r="F128" s="274">
        <v>265.5</v>
      </c>
      <c r="H128" s="271">
        <v>43570</v>
      </c>
      <c r="I128" s="277">
        <f t="shared" si="11"/>
        <v>-2.401642574195827E-2</v>
      </c>
      <c r="J128" s="277">
        <f t="shared" si="12"/>
        <v>4.350190320826443E-3</v>
      </c>
      <c r="K128" s="277">
        <f t="shared" si="13"/>
        <v>-4.9351822889515421E-3</v>
      </c>
      <c r="L128" s="278">
        <f t="shared" si="14"/>
        <v>-8.9585666293392208E-3</v>
      </c>
      <c r="N128" s="271">
        <v>43570</v>
      </c>
      <c r="O128" s="277">
        <f t="shared" si="15"/>
        <v>-2.7242328473258332E-2</v>
      </c>
      <c r="P128" s="277">
        <f t="shared" si="16"/>
        <v>5.3685235634316807E-3</v>
      </c>
      <c r="Q128" s="277">
        <f t="shared" si="17"/>
        <v>-6.2224653519806303E-3</v>
      </c>
      <c r="R128" s="278">
        <f t="shared" si="18"/>
        <v>-5.9094771269989198E-3</v>
      </c>
      <c r="S128" s="277"/>
      <c r="T128" s="277"/>
    </row>
    <row r="129" spans="2:20" x14ac:dyDescent="0.3">
      <c r="B129" s="271">
        <v>43571</v>
      </c>
      <c r="C129" s="273">
        <v>2331.8000000000002</v>
      </c>
      <c r="D129" s="273">
        <v>184.95</v>
      </c>
      <c r="E129" s="273">
        <v>1459</v>
      </c>
      <c r="F129" s="274">
        <v>266.45</v>
      </c>
      <c r="H129" s="271">
        <v>43571</v>
      </c>
      <c r="I129" s="277">
        <f t="shared" si="11"/>
        <v>-8.9887162923137504E-3</v>
      </c>
      <c r="J129" s="277">
        <f t="shared" si="12"/>
        <v>1.353546291283162E-3</v>
      </c>
      <c r="K129" s="277">
        <f t="shared" si="13"/>
        <v>1.9175020083126715E-2</v>
      </c>
      <c r="L129" s="278">
        <f t="shared" si="14"/>
        <v>3.5781544256120101E-3</v>
      </c>
      <c r="N129" s="271">
        <v>43571</v>
      </c>
      <c r="O129" s="277">
        <f t="shared" si="15"/>
        <v>-1.2214619023613812E-2</v>
      </c>
      <c r="P129" s="277">
        <f t="shared" si="16"/>
        <v>2.3718795338884E-3</v>
      </c>
      <c r="Q129" s="277">
        <f t="shared" si="17"/>
        <v>1.7887737020097626E-2</v>
      </c>
      <c r="R129" s="278">
        <f t="shared" si="18"/>
        <v>6.6272439279523119E-3</v>
      </c>
      <c r="S129" s="277"/>
      <c r="T129" s="277"/>
    </row>
    <row r="130" spans="2:20" x14ac:dyDescent="0.3">
      <c r="B130" s="271">
        <v>43573</v>
      </c>
      <c r="C130" s="273">
        <v>2330.35</v>
      </c>
      <c r="D130" s="273">
        <v>178.6</v>
      </c>
      <c r="E130" s="273">
        <v>1469.6</v>
      </c>
      <c r="F130" s="274">
        <v>255.8</v>
      </c>
      <c r="H130" s="271">
        <v>43573</v>
      </c>
      <c r="I130" s="277">
        <f t="shared" si="11"/>
        <v>-6.2183720730777628E-4</v>
      </c>
      <c r="J130" s="277">
        <f t="shared" si="12"/>
        <v>-3.4333603676669343E-2</v>
      </c>
      <c r="K130" s="277">
        <f t="shared" si="13"/>
        <v>7.265250171350178E-3</v>
      </c>
      <c r="L130" s="278">
        <f t="shared" si="14"/>
        <v>-3.9969975605179127E-2</v>
      </c>
      <c r="N130" s="271">
        <v>43573</v>
      </c>
      <c r="O130" s="277">
        <f t="shared" si="15"/>
        <v>-3.8477399386078375E-3</v>
      </c>
      <c r="P130" s="277">
        <f t="shared" si="16"/>
        <v>-3.3315270434064105E-2</v>
      </c>
      <c r="Q130" s="277">
        <f t="shared" si="17"/>
        <v>5.9779671083210889E-3</v>
      </c>
      <c r="R130" s="278">
        <f t="shared" si="18"/>
        <v>-3.6920886102838828E-2</v>
      </c>
      <c r="S130" s="277"/>
      <c r="T130" s="277"/>
    </row>
    <row r="131" spans="2:20" x14ac:dyDescent="0.3">
      <c r="B131" s="271">
        <v>43577</v>
      </c>
      <c r="C131" s="273">
        <v>2310.5</v>
      </c>
      <c r="D131" s="273">
        <v>175</v>
      </c>
      <c r="E131" s="273">
        <v>1443.35</v>
      </c>
      <c r="F131" s="274">
        <v>238.35</v>
      </c>
      <c r="H131" s="271">
        <v>43577</v>
      </c>
      <c r="I131" s="277">
        <f t="shared" si="11"/>
        <v>-8.5180337717509855E-3</v>
      </c>
      <c r="J131" s="277">
        <f t="shared" si="12"/>
        <v>-2.0156774916013406E-2</v>
      </c>
      <c r="K131" s="277">
        <f t="shared" si="13"/>
        <v>-1.7862003266194883E-2</v>
      </c>
      <c r="L131" s="278">
        <f t="shared" si="14"/>
        <v>-6.821735731039881E-2</v>
      </c>
      <c r="N131" s="271">
        <v>43577</v>
      </c>
      <c r="O131" s="277">
        <f t="shared" si="15"/>
        <v>-1.1743936503051047E-2</v>
      </c>
      <c r="P131" s="277">
        <f t="shared" si="16"/>
        <v>-1.9138441673408169E-2</v>
      </c>
      <c r="Q131" s="277">
        <f t="shared" si="17"/>
        <v>-1.9149286329223972E-2</v>
      </c>
      <c r="R131" s="278">
        <f t="shared" si="18"/>
        <v>-6.5168267808058511E-2</v>
      </c>
      <c r="S131" s="277"/>
      <c r="T131" s="277"/>
    </row>
    <row r="132" spans="2:20" x14ac:dyDescent="0.3">
      <c r="B132" s="271">
        <v>43578</v>
      </c>
      <c r="C132" s="273">
        <v>2317.6</v>
      </c>
      <c r="D132" s="273">
        <v>174.8</v>
      </c>
      <c r="E132" s="273">
        <v>1431</v>
      </c>
      <c r="F132" s="274">
        <v>232.7</v>
      </c>
      <c r="H132" s="271">
        <v>43578</v>
      </c>
      <c r="I132" s="277">
        <f t="shared" si="11"/>
        <v>3.0729279376757882E-3</v>
      </c>
      <c r="J132" s="277">
        <f t="shared" si="12"/>
        <v>-1.1428571428570779E-3</v>
      </c>
      <c r="K132" s="277">
        <f t="shared" si="13"/>
        <v>-8.5564831814874485E-3</v>
      </c>
      <c r="L132" s="278">
        <f t="shared" si="14"/>
        <v>-2.3704636039437826E-2</v>
      </c>
      <c r="N132" s="271">
        <v>43578</v>
      </c>
      <c r="O132" s="277">
        <f t="shared" si="15"/>
        <v>-1.5297479362427324E-4</v>
      </c>
      <c r="P132" s="277">
        <f t="shared" si="16"/>
        <v>-1.2452390025183995E-4</v>
      </c>
      <c r="Q132" s="277">
        <f t="shared" si="17"/>
        <v>-9.8437662445165375E-3</v>
      </c>
      <c r="R132" s="278">
        <f t="shared" si="18"/>
        <v>-2.0655546537097523E-2</v>
      </c>
      <c r="S132" s="277"/>
      <c r="T132" s="277"/>
    </row>
    <row r="133" spans="2:20" x14ac:dyDescent="0.3">
      <c r="B133" s="271">
        <v>43579</v>
      </c>
      <c r="C133" s="273">
        <v>2311.9</v>
      </c>
      <c r="D133" s="273">
        <v>174.8</v>
      </c>
      <c r="E133" s="273">
        <v>1450.05</v>
      </c>
      <c r="F133" s="274">
        <v>239.15</v>
      </c>
      <c r="H133" s="271">
        <v>43579</v>
      </c>
      <c r="I133" s="277">
        <f t="shared" si="11"/>
        <v>-2.4594408008283648E-3</v>
      </c>
      <c r="J133" s="277">
        <f t="shared" si="12"/>
        <v>0</v>
      </c>
      <c r="K133" s="277">
        <f t="shared" si="13"/>
        <v>1.33123689727463E-2</v>
      </c>
      <c r="L133" s="278">
        <f t="shared" si="14"/>
        <v>2.7718091963902094E-2</v>
      </c>
      <c r="N133" s="271">
        <v>43579</v>
      </c>
      <c r="O133" s="277">
        <f t="shared" si="15"/>
        <v>-5.6853435321284262E-3</v>
      </c>
      <c r="P133" s="277">
        <f t="shared" si="16"/>
        <v>1.0183332426052379E-3</v>
      </c>
      <c r="Q133" s="277">
        <f t="shared" si="17"/>
        <v>1.2025085909717211E-2</v>
      </c>
      <c r="R133" s="278">
        <f t="shared" si="18"/>
        <v>3.0767181466242396E-2</v>
      </c>
      <c r="S133" s="277"/>
      <c r="T133" s="277"/>
    </row>
    <row r="134" spans="2:20" x14ac:dyDescent="0.3">
      <c r="B134" s="271">
        <v>43580</v>
      </c>
      <c r="C134" s="273">
        <v>2334.4</v>
      </c>
      <c r="D134" s="273">
        <v>170.45</v>
      </c>
      <c r="E134" s="273">
        <v>1447.95</v>
      </c>
      <c r="F134" s="274">
        <v>237.05</v>
      </c>
      <c r="H134" s="271">
        <v>43580</v>
      </c>
      <c r="I134" s="277">
        <f t="shared" si="11"/>
        <v>9.7322548553138103E-3</v>
      </c>
      <c r="J134" s="277">
        <f t="shared" si="12"/>
        <v>-2.4885583524027588E-2</v>
      </c>
      <c r="K134" s="277">
        <f t="shared" si="13"/>
        <v>-1.4482259232439633E-3</v>
      </c>
      <c r="L134" s="278">
        <f t="shared" si="14"/>
        <v>-8.7810997282040323E-3</v>
      </c>
      <c r="N134" s="271">
        <v>43580</v>
      </c>
      <c r="O134" s="277">
        <f t="shared" si="15"/>
        <v>6.5063521240137489E-3</v>
      </c>
      <c r="P134" s="277">
        <f t="shared" si="16"/>
        <v>-2.386725028142235E-2</v>
      </c>
      <c r="Q134" s="277">
        <f t="shared" si="17"/>
        <v>-2.7355089862730522E-3</v>
      </c>
      <c r="R134" s="278">
        <f t="shared" si="18"/>
        <v>-5.7320102258637314E-3</v>
      </c>
      <c r="S134" s="277"/>
      <c r="T134" s="277"/>
    </row>
    <row r="135" spans="2:20" x14ac:dyDescent="0.3">
      <c r="B135" s="271">
        <v>43581</v>
      </c>
      <c r="C135" s="273">
        <v>2353.9499999999998</v>
      </c>
      <c r="D135" s="273">
        <v>169.7</v>
      </c>
      <c r="E135" s="273">
        <v>1448.75</v>
      </c>
      <c r="F135" s="274">
        <v>237.2</v>
      </c>
      <c r="H135" s="271">
        <v>43581</v>
      </c>
      <c r="I135" s="277">
        <f t="shared" si="11"/>
        <v>8.3747429746400467E-3</v>
      </c>
      <c r="J135" s="277">
        <f t="shared" si="12"/>
        <v>-4.4001173364623062E-3</v>
      </c>
      <c r="K135" s="277">
        <f t="shared" si="13"/>
        <v>5.5250526606578573E-4</v>
      </c>
      <c r="L135" s="278">
        <f t="shared" si="14"/>
        <v>6.3277789495877349E-4</v>
      </c>
      <c r="N135" s="271">
        <v>43581</v>
      </c>
      <c r="O135" s="277">
        <f t="shared" si="15"/>
        <v>5.1488402433399853E-3</v>
      </c>
      <c r="P135" s="277">
        <f t="shared" si="16"/>
        <v>-3.3817840938570685E-3</v>
      </c>
      <c r="Q135" s="277">
        <f t="shared" si="17"/>
        <v>-7.347777969633029E-4</v>
      </c>
      <c r="R135" s="278">
        <f t="shared" si="18"/>
        <v>3.6818673972990748E-3</v>
      </c>
      <c r="S135" s="277"/>
      <c r="T135" s="277"/>
    </row>
    <row r="136" spans="2:20" x14ac:dyDescent="0.3">
      <c r="B136" s="271">
        <v>43585</v>
      </c>
      <c r="C136" s="273">
        <v>2348.6</v>
      </c>
      <c r="D136" s="273">
        <v>166.85</v>
      </c>
      <c r="E136" s="273">
        <v>1463.15</v>
      </c>
      <c r="F136" s="274">
        <v>168</v>
      </c>
      <c r="H136" s="271">
        <v>43585</v>
      </c>
      <c r="I136" s="277">
        <f t="shared" si="11"/>
        <v>-2.2727755474839777E-3</v>
      </c>
      <c r="J136" s="277">
        <f t="shared" si="12"/>
        <v>-1.6794342958161429E-2</v>
      </c>
      <c r="K136" s="277">
        <f t="shared" si="13"/>
        <v>9.9396031061260333E-3</v>
      </c>
      <c r="L136" s="278">
        <f t="shared" si="14"/>
        <v>-0.29173693086003372</v>
      </c>
      <c r="N136" s="271">
        <v>43585</v>
      </c>
      <c r="O136" s="277">
        <f t="shared" si="15"/>
        <v>-5.4986782787840392E-3</v>
      </c>
      <c r="P136" s="277">
        <f t="shared" si="16"/>
        <v>-1.5776009715556191E-2</v>
      </c>
      <c r="Q136" s="277">
        <f t="shared" si="17"/>
        <v>8.6523200430969442E-3</v>
      </c>
      <c r="R136" s="278">
        <f t="shared" si="18"/>
        <v>-0.28868784135769343</v>
      </c>
      <c r="S136" s="277"/>
      <c r="T136" s="277"/>
    </row>
    <row r="137" spans="2:20" x14ac:dyDescent="0.3">
      <c r="B137" s="271">
        <v>43587</v>
      </c>
      <c r="C137" s="273">
        <v>2368.6</v>
      </c>
      <c r="D137" s="273">
        <v>168.3</v>
      </c>
      <c r="E137" s="273">
        <v>1436.6</v>
      </c>
      <c r="F137" s="274">
        <v>173.75</v>
      </c>
      <c r="H137" s="271">
        <v>43587</v>
      </c>
      <c r="I137" s="277">
        <f t="shared" si="11"/>
        <v>8.5157114876947965E-3</v>
      </c>
      <c r="J137" s="277">
        <f t="shared" si="12"/>
        <v>8.6904405154331257E-3</v>
      </c>
      <c r="K137" s="277">
        <f t="shared" si="13"/>
        <v>-1.8145781362129774E-2</v>
      </c>
      <c r="L137" s="278">
        <f t="shared" si="14"/>
        <v>3.4226190476190479E-2</v>
      </c>
      <c r="N137" s="271">
        <v>43587</v>
      </c>
      <c r="O137" s="277">
        <f t="shared" si="15"/>
        <v>5.2898087563947351E-3</v>
      </c>
      <c r="P137" s="277">
        <f t="shared" si="16"/>
        <v>9.7087737580383634E-3</v>
      </c>
      <c r="Q137" s="277">
        <f t="shared" si="17"/>
        <v>-1.9433064425158863E-2</v>
      </c>
      <c r="R137" s="278">
        <f t="shared" si="18"/>
        <v>3.7275279978530779E-2</v>
      </c>
      <c r="S137" s="277"/>
      <c r="T137" s="277"/>
    </row>
    <row r="138" spans="2:20" x14ac:dyDescent="0.3">
      <c r="B138" s="271">
        <v>43588</v>
      </c>
      <c r="C138" s="273">
        <v>2352.9</v>
      </c>
      <c r="D138" s="273">
        <v>167.7</v>
      </c>
      <c r="E138" s="273">
        <v>1438.55</v>
      </c>
      <c r="F138" s="274">
        <v>175.9</v>
      </c>
      <c r="H138" s="271">
        <v>43588</v>
      </c>
      <c r="I138" s="277">
        <f t="shared" ref="I138:I201" si="19">(C138-C137)/C137</f>
        <v>-6.6283880773451908E-3</v>
      </c>
      <c r="J138" s="277">
        <f t="shared" ref="J138:J201" si="20">(D138-D137)/D137</f>
        <v>-3.565062388591935E-3</v>
      </c>
      <c r="K138" s="277">
        <f t="shared" ref="K138:K201" si="21">(E138-E137)/E137</f>
        <v>1.357371571766703E-3</v>
      </c>
      <c r="L138" s="278">
        <f t="shared" ref="L138:L201" si="22">(F138-F137)/F137</f>
        <v>1.2374100719424493E-2</v>
      </c>
      <c r="N138" s="271">
        <v>43588</v>
      </c>
      <c r="O138" s="277">
        <f t="shared" ref="O138:O201" si="23">I138-I$499</f>
        <v>-9.8542908086452531E-3</v>
      </c>
      <c r="P138" s="277">
        <f t="shared" ref="P138:P201" si="24">J138-J$499</f>
        <v>-2.5467291459866969E-3</v>
      </c>
      <c r="Q138" s="277">
        <f t="shared" ref="Q138:Q201" si="25">K138-K$499</f>
        <v>7.008850873761437E-5</v>
      </c>
      <c r="R138" s="278">
        <f t="shared" ref="R138:R201" si="26">L138-L$499</f>
        <v>1.5423190221764794E-2</v>
      </c>
      <c r="S138" s="277"/>
      <c r="T138" s="277"/>
    </row>
    <row r="139" spans="2:20" x14ac:dyDescent="0.3">
      <c r="B139" s="271">
        <v>43591</v>
      </c>
      <c r="C139" s="273">
        <v>2342.6999999999998</v>
      </c>
      <c r="D139" s="273">
        <v>166.75</v>
      </c>
      <c r="E139" s="273">
        <v>1412.8</v>
      </c>
      <c r="F139" s="274">
        <v>166.25</v>
      </c>
      <c r="H139" s="271">
        <v>43591</v>
      </c>
      <c r="I139" s="277">
        <f t="shared" si="19"/>
        <v>-4.3350758638277332E-3</v>
      </c>
      <c r="J139" s="277">
        <f t="shared" si="20"/>
        <v>-5.6648777579009464E-3</v>
      </c>
      <c r="K139" s="277">
        <f t="shared" si="21"/>
        <v>-1.7899968718501268E-2</v>
      </c>
      <c r="L139" s="278">
        <f t="shared" si="22"/>
        <v>-5.4860716316088715E-2</v>
      </c>
      <c r="N139" s="271">
        <v>43591</v>
      </c>
      <c r="O139" s="277">
        <f t="shared" si="23"/>
        <v>-7.5609785951277946E-3</v>
      </c>
      <c r="P139" s="277">
        <f t="shared" si="24"/>
        <v>-4.6465445152957087E-3</v>
      </c>
      <c r="Q139" s="277">
        <f t="shared" si="25"/>
        <v>-1.9187251781530357E-2</v>
      </c>
      <c r="R139" s="278">
        <f t="shared" si="26"/>
        <v>-5.1811626813748415E-2</v>
      </c>
      <c r="S139" s="277"/>
      <c r="T139" s="277"/>
    </row>
    <row r="140" spans="2:20" x14ac:dyDescent="0.3">
      <c r="B140" s="271">
        <v>43592</v>
      </c>
      <c r="C140" s="273">
        <v>2325.8000000000002</v>
      </c>
      <c r="D140" s="273">
        <v>163.5</v>
      </c>
      <c r="E140" s="273">
        <v>1387.8</v>
      </c>
      <c r="F140" s="274">
        <v>164.75</v>
      </c>
      <c r="H140" s="271">
        <v>43592</v>
      </c>
      <c r="I140" s="277">
        <f t="shared" si="19"/>
        <v>-7.2138984931914615E-3</v>
      </c>
      <c r="J140" s="277">
        <f t="shared" si="20"/>
        <v>-1.9490254872563718E-2</v>
      </c>
      <c r="K140" s="277">
        <f t="shared" si="21"/>
        <v>-1.7695356738391847E-2</v>
      </c>
      <c r="L140" s="278">
        <f t="shared" si="22"/>
        <v>-9.0225563909774441E-3</v>
      </c>
      <c r="N140" s="271">
        <v>43592</v>
      </c>
      <c r="O140" s="277">
        <f t="shared" si="23"/>
        <v>-1.0439801224491523E-2</v>
      </c>
      <c r="P140" s="277">
        <f t="shared" si="24"/>
        <v>-1.847192162995848E-2</v>
      </c>
      <c r="Q140" s="277">
        <f t="shared" si="25"/>
        <v>-1.8982639801420936E-2</v>
      </c>
      <c r="R140" s="278">
        <f t="shared" si="26"/>
        <v>-5.9734668886371432E-3</v>
      </c>
      <c r="S140" s="277"/>
      <c r="T140" s="277"/>
    </row>
    <row r="141" spans="2:20" x14ac:dyDescent="0.3">
      <c r="B141" s="271">
        <v>43593</v>
      </c>
      <c r="C141" s="273">
        <v>2289.9499999999998</v>
      </c>
      <c r="D141" s="273">
        <v>159.4</v>
      </c>
      <c r="E141" s="273">
        <v>1385.7</v>
      </c>
      <c r="F141" s="274">
        <v>160.75</v>
      </c>
      <c r="H141" s="271">
        <v>43593</v>
      </c>
      <c r="I141" s="277">
        <f t="shared" si="19"/>
        <v>-1.541405107919871E-2</v>
      </c>
      <c r="J141" s="277">
        <f t="shared" si="20"/>
        <v>-2.5076452599388344E-2</v>
      </c>
      <c r="K141" s="277">
        <f t="shared" si="21"/>
        <v>-1.5131863380889964E-3</v>
      </c>
      <c r="L141" s="278">
        <f t="shared" si="22"/>
        <v>-2.4279210925644917E-2</v>
      </c>
      <c r="N141" s="271">
        <v>43593</v>
      </c>
      <c r="O141" s="277">
        <f t="shared" si="23"/>
        <v>-1.8639953810498773E-2</v>
      </c>
      <c r="P141" s="277">
        <f t="shared" si="24"/>
        <v>-2.4058119356783106E-2</v>
      </c>
      <c r="Q141" s="277">
        <f t="shared" si="25"/>
        <v>-2.8004694011180848E-3</v>
      </c>
      <c r="R141" s="278">
        <f t="shared" si="26"/>
        <v>-2.1230121423304615E-2</v>
      </c>
      <c r="S141" s="277"/>
      <c r="T141" s="277"/>
    </row>
    <row r="142" spans="2:20" x14ac:dyDescent="0.3">
      <c r="B142" s="271">
        <v>43594</v>
      </c>
      <c r="C142" s="273">
        <v>2291.75</v>
      </c>
      <c r="D142" s="273">
        <v>157.15</v>
      </c>
      <c r="E142" s="273">
        <v>1354.2</v>
      </c>
      <c r="F142" s="274">
        <v>170.3</v>
      </c>
      <c r="H142" s="271">
        <v>43594</v>
      </c>
      <c r="I142" s="277">
        <f t="shared" si="19"/>
        <v>7.860433633922933E-4</v>
      </c>
      <c r="J142" s="277">
        <f t="shared" si="20"/>
        <v>-1.411543287327478E-2</v>
      </c>
      <c r="K142" s="277">
        <f t="shared" si="21"/>
        <v>-2.2732193115392943E-2</v>
      </c>
      <c r="L142" s="278">
        <f t="shared" si="22"/>
        <v>5.9409020217729466E-2</v>
      </c>
      <c r="N142" s="271">
        <v>43594</v>
      </c>
      <c r="O142" s="277">
        <f t="shared" si="23"/>
        <v>-2.439859367907768E-3</v>
      </c>
      <c r="P142" s="277">
        <f t="shared" si="24"/>
        <v>-1.3097099630669542E-2</v>
      </c>
      <c r="Q142" s="277">
        <f t="shared" si="25"/>
        <v>-2.4019476178422032E-2</v>
      </c>
      <c r="R142" s="278">
        <f t="shared" si="26"/>
        <v>6.2458109720069765E-2</v>
      </c>
      <c r="S142" s="277"/>
      <c r="T142" s="277"/>
    </row>
    <row r="143" spans="2:20" x14ac:dyDescent="0.3">
      <c r="B143" s="271">
        <v>43595</v>
      </c>
      <c r="C143" s="273">
        <v>2278.1999999999998</v>
      </c>
      <c r="D143" s="273">
        <v>155.94999999999999</v>
      </c>
      <c r="E143" s="273">
        <v>1341.05</v>
      </c>
      <c r="F143" s="274">
        <v>163.85</v>
      </c>
      <c r="H143" s="271">
        <v>43595</v>
      </c>
      <c r="I143" s="277">
        <f t="shared" si="19"/>
        <v>-5.9125122722810874E-3</v>
      </c>
      <c r="J143" s="277">
        <f t="shared" si="20"/>
        <v>-7.6360165447026214E-3</v>
      </c>
      <c r="K143" s="277">
        <f t="shared" si="21"/>
        <v>-9.7105302023335477E-3</v>
      </c>
      <c r="L143" s="278">
        <f t="shared" si="22"/>
        <v>-3.7874339401057056E-2</v>
      </c>
      <c r="N143" s="271">
        <v>43595</v>
      </c>
      <c r="O143" s="277">
        <f t="shared" si="23"/>
        <v>-9.1384150035811497E-3</v>
      </c>
      <c r="P143" s="277">
        <f t="shared" si="24"/>
        <v>-6.6176833020973836E-3</v>
      </c>
      <c r="Q143" s="277">
        <f t="shared" si="25"/>
        <v>-1.0997813265362637E-2</v>
      </c>
      <c r="R143" s="278">
        <f t="shared" si="26"/>
        <v>-3.4825249898716756E-2</v>
      </c>
      <c r="S143" s="277"/>
      <c r="T143" s="277"/>
    </row>
    <row r="144" spans="2:20" x14ac:dyDescent="0.3">
      <c r="B144" s="271">
        <v>43598</v>
      </c>
      <c r="C144" s="273">
        <v>2247.25</v>
      </c>
      <c r="D144" s="273">
        <v>154.19999999999999</v>
      </c>
      <c r="E144" s="273">
        <v>1332.5</v>
      </c>
      <c r="F144" s="274">
        <v>154.69999999999999</v>
      </c>
      <c r="H144" s="271">
        <v>43598</v>
      </c>
      <c r="I144" s="277">
        <f t="shared" si="19"/>
        <v>-1.3585286629795374E-2</v>
      </c>
      <c r="J144" s="277">
        <f t="shared" si="20"/>
        <v>-1.1221545367104842E-2</v>
      </c>
      <c r="K144" s="277">
        <f t="shared" si="21"/>
        <v>-6.3756012080086162E-3</v>
      </c>
      <c r="L144" s="278">
        <f t="shared" si="22"/>
        <v>-5.5843759536161157E-2</v>
      </c>
      <c r="N144" s="271">
        <v>43598</v>
      </c>
      <c r="O144" s="277">
        <f t="shared" si="23"/>
        <v>-1.6811189361095435E-2</v>
      </c>
      <c r="P144" s="277">
        <f t="shared" si="24"/>
        <v>-1.0203212124499605E-2</v>
      </c>
      <c r="Q144" s="277">
        <f t="shared" si="25"/>
        <v>-7.6628842710377044E-3</v>
      </c>
      <c r="R144" s="278">
        <f t="shared" si="26"/>
        <v>-5.2794670033820858E-2</v>
      </c>
      <c r="S144" s="277"/>
      <c r="T144" s="277"/>
    </row>
    <row r="145" spans="2:20" x14ac:dyDescent="0.3">
      <c r="B145" s="271">
        <v>43599</v>
      </c>
      <c r="C145" s="273">
        <v>2250.25</v>
      </c>
      <c r="D145" s="273">
        <v>160.75</v>
      </c>
      <c r="E145" s="273">
        <v>1320.25</v>
      </c>
      <c r="F145" s="274">
        <v>155.85</v>
      </c>
      <c r="H145" s="271">
        <v>43599</v>
      </c>
      <c r="I145" s="277">
        <f t="shared" si="19"/>
        <v>1.3349649571698743E-3</v>
      </c>
      <c r="J145" s="277">
        <f t="shared" si="20"/>
        <v>4.2477302204928742E-2</v>
      </c>
      <c r="K145" s="277">
        <f t="shared" si="21"/>
        <v>-9.1932457786116327E-3</v>
      </c>
      <c r="L145" s="278">
        <f t="shared" si="22"/>
        <v>7.4337427278604118E-3</v>
      </c>
      <c r="N145" s="271">
        <v>43599</v>
      </c>
      <c r="O145" s="277">
        <f t="shared" si="23"/>
        <v>-1.8909377741301871E-3</v>
      </c>
      <c r="P145" s="277">
        <f t="shared" si="24"/>
        <v>4.349563544753398E-2</v>
      </c>
      <c r="Q145" s="277">
        <f t="shared" si="25"/>
        <v>-1.0480528841640722E-2</v>
      </c>
      <c r="R145" s="278">
        <f t="shared" si="26"/>
        <v>1.0482832230200714E-2</v>
      </c>
      <c r="S145" s="277"/>
      <c r="T145" s="277"/>
    </row>
    <row r="146" spans="2:20" x14ac:dyDescent="0.3">
      <c r="B146" s="271">
        <v>43600</v>
      </c>
      <c r="C146" s="273">
        <v>2257.6</v>
      </c>
      <c r="D146" s="273">
        <v>160.05000000000001</v>
      </c>
      <c r="E146" s="273">
        <v>1305.95</v>
      </c>
      <c r="F146" s="274">
        <v>142.94999999999999</v>
      </c>
      <c r="H146" s="271">
        <v>43600</v>
      </c>
      <c r="I146" s="277">
        <f t="shared" si="19"/>
        <v>3.2663037440284009E-3</v>
      </c>
      <c r="J146" s="277">
        <f t="shared" si="20"/>
        <v>-4.3545878693622931E-3</v>
      </c>
      <c r="K146" s="277">
        <f t="shared" si="21"/>
        <v>-1.0831281954175312E-2</v>
      </c>
      <c r="L146" s="278">
        <f t="shared" si="22"/>
        <v>-8.2771896053898023E-2</v>
      </c>
      <c r="N146" s="271">
        <v>43600</v>
      </c>
      <c r="O146" s="277">
        <f t="shared" si="23"/>
        <v>4.0401012728339455E-5</v>
      </c>
      <c r="P146" s="277">
        <f t="shared" si="24"/>
        <v>-3.3362546267570554E-3</v>
      </c>
      <c r="Q146" s="277">
        <f t="shared" si="25"/>
        <v>-1.2118565017204401E-2</v>
      </c>
      <c r="R146" s="278">
        <f t="shared" si="26"/>
        <v>-7.9722806551557723E-2</v>
      </c>
      <c r="S146" s="277"/>
      <c r="T146" s="277"/>
    </row>
    <row r="147" spans="2:20" x14ac:dyDescent="0.3">
      <c r="B147" s="271">
        <v>43601</v>
      </c>
      <c r="C147" s="273">
        <v>2279</v>
      </c>
      <c r="D147" s="273">
        <v>163.5</v>
      </c>
      <c r="E147" s="273">
        <v>1304.4000000000001</v>
      </c>
      <c r="F147" s="274">
        <v>137.75</v>
      </c>
      <c r="H147" s="271">
        <v>43601</v>
      </c>
      <c r="I147" s="277">
        <f t="shared" si="19"/>
        <v>9.4790928419561001E-3</v>
      </c>
      <c r="J147" s="277">
        <f t="shared" si="20"/>
        <v>2.1555763823804988E-2</v>
      </c>
      <c r="K147" s="277">
        <f t="shared" si="21"/>
        <v>-1.1868754546498369E-3</v>
      </c>
      <c r="L147" s="278">
        <f t="shared" si="22"/>
        <v>-3.6376355369010065E-2</v>
      </c>
      <c r="N147" s="271">
        <v>43601</v>
      </c>
      <c r="O147" s="277">
        <f t="shared" si="23"/>
        <v>6.2531901106560386E-3</v>
      </c>
      <c r="P147" s="277">
        <f t="shared" si="24"/>
        <v>2.2574097066410226E-2</v>
      </c>
      <c r="Q147" s="277">
        <f t="shared" si="25"/>
        <v>-2.4741585176789255E-3</v>
      </c>
      <c r="R147" s="278">
        <f t="shared" si="26"/>
        <v>-3.3327265866669765E-2</v>
      </c>
      <c r="S147" s="277"/>
      <c r="T147" s="277"/>
    </row>
    <row r="148" spans="2:20" x14ac:dyDescent="0.3">
      <c r="B148" s="271">
        <v>43602</v>
      </c>
      <c r="C148" s="273">
        <v>2264.8000000000002</v>
      </c>
      <c r="D148" s="273">
        <v>160.94999999999999</v>
      </c>
      <c r="E148" s="273">
        <v>1320</v>
      </c>
      <c r="F148" s="274">
        <v>134.15</v>
      </c>
      <c r="H148" s="271">
        <v>43602</v>
      </c>
      <c r="I148" s="277">
        <f t="shared" si="19"/>
        <v>-6.2308029837647291E-3</v>
      </c>
      <c r="J148" s="277">
        <f t="shared" si="20"/>
        <v>-1.5596330275229428E-2</v>
      </c>
      <c r="K148" s="277">
        <f t="shared" si="21"/>
        <v>1.1959521619135164E-2</v>
      </c>
      <c r="L148" s="278">
        <f t="shared" si="22"/>
        <v>-2.6134301270417382E-2</v>
      </c>
      <c r="N148" s="271">
        <v>43602</v>
      </c>
      <c r="O148" s="277">
        <f t="shared" si="23"/>
        <v>-9.4567057150647914E-3</v>
      </c>
      <c r="P148" s="277">
        <f t="shared" si="24"/>
        <v>-1.457799703262419E-2</v>
      </c>
      <c r="Q148" s="277">
        <f t="shared" si="25"/>
        <v>1.0672238556106075E-2</v>
      </c>
      <c r="R148" s="278">
        <f t="shared" si="26"/>
        <v>-2.3085211768077079E-2</v>
      </c>
      <c r="S148" s="277"/>
      <c r="T148" s="277"/>
    </row>
    <row r="149" spans="2:20" x14ac:dyDescent="0.3">
      <c r="B149" s="271">
        <v>43605</v>
      </c>
      <c r="C149" s="273">
        <v>2346.25</v>
      </c>
      <c r="D149" s="273">
        <v>167.1</v>
      </c>
      <c r="E149" s="273">
        <v>1373.95</v>
      </c>
      <c r="F149" s="274">
        <v>143.55000000000001</v>
      </c>
      <c r="H149" s="271">
        <v>43605</v>
      </c>
      <c r="I149" s="277">
        <f t="shared" si="19"/>
        <v>3.5963440480395535E-2</v>
      </c>
      <c r="J149" s="277">
        <f t="shared" si="20"/>
        <v>3.8210624417521009E-2</v>
      </c>
      <c r="K149" s="277">
        <f t="shared" si="21"/>
        <v>4.0871212121212155E-2</v>
      </c>
      <c r="L149" s="278">
        <f t="shared" si="22"/>
        <v>7.0070816250465934E-2</v>
      </c>
      <c r="N149" s="271">
        <v>43605</v>
      </c>
      <c r="O149" s="277">
        <f t="shared" si="23"/>
        <v>3.2737537749095477E-2</v>
      </c>
      <c r="P149" s="277">
        <f t="shared" si="24"/>
        <v>3.9228957660126247E-2</v>
      </c>
      <c r="Q149" s="277">
        <f t="shared" si="25"/>
        <v>3.9583929058183066E-2</v>
      </c>
      <c r="R149" s="278">
        <f t="shared" si="26"/>
        <v>7.3119905752806233E-2</v>
      </c>
      <c r="S149" s="277"/>
      <c r="T149" s="277"/>
    </row>
    <row r="150" spans="2:20" x14ac:dyDescent="0.3">
      <c r="B150" s="271">
        <v>43606</v>
      </c>
      <c r="C150" s="273">
        <v>2279.4499999999998</v>
      </c>
      <c r="D150" s="273">
        <v>165.45</v>
      </c>
      <c r="E150" s="273">
        <v>1357.75</v>
      </c>
      <c r="F150" s="274">
        <v>141</v>
      </c>
      <c r="H150" s="271">
        <v>43606</v>
      </c>
      <c r="I150" s="277">
        <f t="shared" si="19"/>
        <v>-2.8470964304741688E-2</v>
      </c>
      <c r="J150" s="277">
        <f t="shared" si="20"/>
        <v>-9.8743267504488672E-3</v>
      </c>
      <c r="K150" s="277">
        <f t="shared" si="21"/>
        <v>-1.1790822082317439E-2</v>
      </c>
      <c r="L150" s="278">
        <f t="shared" si="22"/>
        <v>-1.7763845350052324E-2</v>
      </c>
      <c r="N150" s="271">
        <v>43606</v>
      </c>
      <c r="O150" s="277">
        <f t="shared" si="23"/>
        <v>-3.169686703604175E-2</v>
      </c>
      <c r="P150" s="277">
        <f t="shared" si="24"/>
        <v>-8.8559935078436295E-3</v>
      </c>
      <c r="Q150" s="277">
        <f t="shared" si="25"/>
        <v>-1.3078105145346528E-2</v>
      </c>
      <c r="R150" s="278">
        <f t="shared" si="26"/>
        <v>-1.4714755847712023E-2</v>
      </c>
      <c r="S150" s="277"/>
      <c r="T150" s="277"/>
    </row>
    <row r="151" spans="2:20" x14ac:dyDescent="0.3">
      <c r="B151" s="271">
        <v>43607</v>
      </c>
      <c r="C151" s="273">
        <v>2310.4</v>
      </c>
      <c r="D151" s="273">
        <v>166.3</v>
      </c>
      <c r="E151" s="273">
        <v>1368.45</v>
      </c>
      <c r="F151" s="274">
        <v>137.55000000000001</v>
      </c>
      <c r="H151" s="271">
        <v>43607</v>
      </c>
      <c r="I151" s="277">
        <f t="shared" si="19"/>
        <v>1.3577836758867392E-2</v>
      </c>
      <c r="J151" s="277">
        <f t="shared" si="20"/>
        <v>5.1375037775764449E-3</v>
      </c>
      <c r="K151" s="277">
        <f t="shared" si="21"/>
        <v>7.8806849567299182E-3</v>
      </c>
      <c r="L151" s="278">
        <f t="shared" si="22"/>
        <v>-2.44680851063829E-2</v>
      </c>
      <c r="N151" s="271">
        <v>43607</v>
      </c>
      <c r="O151" s="277">
        <f t="shared" si="23"/>
        <v>1.035193402756733E-2</v>
      </c>
      <c r="P151" s="277">
        <f t="shared" si="24"/>
        <v>6.1558370201816827E-3</v>
      </c>
      <c r="Q151" s="277">
        <f t="shared" si="25"/>
        <v>6.5934018937008291E-3</v>
      </c>
      <c r="R151" s="278">
        <f t="shared" si="26"/>
        <v>-2.1418995604042597E-2</v>
      </c>
      <c r="S151" s="277"/>
      <c r="T151" s="277"/>
    </row>
    <row r="152" spans="2:20" x14ac:dyDescent="0.3">
      <c r="B152" s="271">
        <v>43608</v>
      </c>
      <c r="C152" s="273">
        <v>2303</v>
      </c>
      <c r="D152" s="273">
        <v>157.35</v>
      </c>
      <c r="E152" s="273">
        <v>1367.75</v>
      </c>
      <c r="F152" s="274">
        <v>139.75</v>
      </c>
      <c r="H152" s="271">
        <v>43608</v>
      </c>
      <c r="I152" s="277">
        <f t="shared" si="19"/>
        <v>-3.202908587257657E-3</v>
      </c>
      <c r="J152" s="277">
        <f t="shared" si="20"/>
        <v>-5.3818400481058425E-2</v>
      </c>
      <c r="K152" s="277">
        <f t="shared" si="21"/>
        <v>-5.1152764076147861E-4</v>
      </c>
      <c r="L152" s="278">
        <f t="shared" si="22"/>
        <v>1.5994183933115146E-2</v>
      </c>
      <c r="N152" s="271">
        <v>43608</v>
      </c>
      <c r="O152" s="277">
        <f t="shared" si="23"/>
        <v>-6.428811318557718E-3</v>
      </c>
      <c r="P152" s="277">
        <f t="shared" si="24"/>
        <v>-5.2800067238453187E-2</v>
      </c>
      <c r="Q152" s="277">
        <f t="shared" si="25"/>
        <v>-1.7988107037905671E-3</v>
      </c>
      <c r="R152" s="278">
        <f t="shared" si="26"/>
        <v>1.9043273435455449E-2</v>
      </c>
      <c r="S152" s="277"/>
      <c r="T152" s="277"/>
    </row>
    <row r="153" spans="2:20" x14ac:dyDescent="0.3">
      <c r="B153" s="271">
        <v>43609</v>
      </c>
      <c r="C153" s="273">
        <v>2426.85</v>
      </c>
      <c r="D153" s="273">
        <v>163.9</v>
      </c>
      <c r="E153" s="273">
        <v>1384.5</v>
      </c>
      <c r="F153" s="274">
        <v>141.19999999999999</v>
      </c>
      <c r="H153" s="271">
        <v>43609</v>
      </c>
      <c r="I153" s="277">
        <f t="shared" si="19"/>
        <v>5.377768128528003E-2</v>
      </c>
      <c r="J153" s="277">
        <f t="shared" si="20"/>
        <v>4.1626946298061719E-2</v>
      </c>
      <c r="K153" s="277">
        <f t="shared" si="21"/>
        <v>1.2246390056662402E-2</v>
      </c>
      <c r="L153" s="278">
        <f t="shared" si="22"/>
        <v>1.0375670840787039E-2</v>
      </c>
      <c r="N153" s="271">
        <v>43609</v>
      </c>
      <c r="O153" s="277">
        <f t="shared" si="23"/>
        <v>5.0551778553979965E-2</v>
      </c>
      <c r="P153" s="277">
        <f t="shared" si="24"/>
        <v>4.2645279540666957E-2</v>
      </c>
      <c r="Q153" s="277">
        <f t="shared" si="25"/>
        <v>1.0959106993633312E-2</v>
      </c>
      <c r="R153" s="278">
        <f t="shared" si="26"/>
        <v>1.342476034312734E-2</v>
      </c>
      <c r="S153" s="277"/>
      <c r="T153" s="277"/>
    </row>
    <row r="154" spans="2:20" x14ac:dyDescent="0.3">
      <c r="B154" s="271">
        <v>43612</v>
      </c>
      <c r="C154" s="273">
        <v>2418.15</v>
      </c>
      <c r="D154" s="273">
        <v>166.5</v>
      </c>
      <c r="E154" s="273">
        <v>1366.85</v>
      </c>
      <c r="F154" s="274">
        <v>146.80000000000001</v>
      </c>
      <c r="H154" s="271">
        <v>43612</v>
      </c>
      <c r="I154" s="277">
        <f t="shared" si="19"/>
        <v>-3.5848939983929035E-3</v>
      </c>
      <c r="J154" s="277">
        <f t="shared" si="20"/>
        <v>1.5863331299572875E-2</v>
      </c>
      <c r="K154" s="277">
        <f t="shared" si="21"/>
        <v>-1.2748284579270561E-2</v>
      </c>
      <c r="L154" s="278">
        <f t="shared" si="22"/>
        <v>3.9660056657223962E-2</v>
      </c>
      <c r="N154" s="271">
        <v>43612</v>
      </c>
      <c r="O154" s="277">
        <f t="shared" si="23"/>
        <v>-6.8107967296929649E-3</v>
      </c>
      <c r="P154" s="277">
        <f t="shared" si="24"/>
        <v>1.6881664542178113E-2</v>
      </c>
      <c r="Q154" s="277">
        <f t="shared" si="25"/>
        <v>-1.403556764229965E-2</v>
      </c>
      <c r="R154" s="278">
        <f t="shared" si="26"/>
        <v>4.2709146159564261E-2</v>
      </c>
      <c r="S154" s="277"/>
      <c r="T154" s="277"/>
    </row>
    <row r="155" spans="2:20" x14ac:dyDescent="0.3">
      <c r="B155" s="271">
        <v>43613</v>
      </c>
      <c r="C155" s="273">
        <v>2451.0500000000002</v>
      </c>
      <c r="D155" s="273">
        <v>169.55</v>
      </c>
      <c r="E155" s="273">
        <v>1364.35</v>
      </c>
      <c r="F155" s="274">
        <v>152.80000000000001</v>
      </c>
      <c r="H155" s="271">
        <v>43613</v>
      </c>
      <c r="I155" s="277">
        <f t="shared" si="19"/>
        <v>1.3605442176870786E-2</v>
      </c>
      <c r="J155" s="277">
        <f t="shared" si="20"/>
        <v>1.8318318318318386E-2</v>
      </c>
      <c r="K155" s="277">
        <f t="shared" si="21"/>
        <v>-1.829022935947617E-3</v>
      </c>
      <c r="L155" s="278">
        <f t="shared" si="22"/>
        <v>4.0871934604904632E-2</v>
      </c>
      <c r="N155" s="271">
        <v>43613</v>
      </c>
      <c r="O155" s="277">
        <f t="shared" si="23"/>
        <v>1.0379539445570725E-2</v>
      </c>
      <c r="P155" s="277">
        <f t="shared" si="24"/>
        <v>1.9336651560923623E-2</v>
      </c>
      <c r="Q155" s="277">
        <f t="shared" si="25"/>
        <v>-3.1163059989767058E-3</v>
      </c>
      <c r="R155" s="278">
        <f t="shared" si="26"/>
        <v>4.3921024107244931E-2</v>
      </c>
      <c r="S155" s="277"/>
      <c r="T155" s="277"/>
    </row>
    <row r="156" spans="2:20" x14ac:dyDescent="0.3">
      <c r="B156" s="271">
        <v>43614</v>
      </c>
      <c r="C156" s="273">
        <v>2440.9499999999998</v>
      </c>
      <c r="D156" s="273">
        <v>165.85</v>
      </c>
      <c r="E156" s="273">
        <v>1358.25</v>
      </c>
      <c r="F156" s="274">
        <v>151.69999999999999</v>
      </c>
      <c r="H156" s="271">
        <v>43614</v>
      </c>
      <c r="I156" s="277">
        <f t="shared" si="19"/>
        <v>-4.1206829726037264E-3</v>
      </c>
      <c r="J156" s="277">
        <f t="shared" si="20"/>
        <v>-2.182247124741974E-2</v>
      </c>
      <c r="K156" s="277">
        <f t="shared" si="21"/>
        <v>-4.4709935133945902E-3</v>
      </c>
      <c r="L156" s="278">
        <f t="shared" si="22"/>
        <v>-7.1989528795812999E-3</v>
      </c>
      <c r="N156" s="271">
        <v>43614</v>
      </c>
      <c r="O156" s="277">
        <f t="shared" si="23"/>
        <v>-7.3465857039037878E-3</v>
      </c>
      <c r="P156" s="277">
        <f t="shared" si="24"/>
        <v>-2.0804138004814503E-2</v>
      </c>
      <c r="Q156" s="277">
        <f t="shared" si="25"/>
        <v>-5.7582765764236793E-3</v>
      </c>
      <c r="R156" s="278">
        <f t="shared" si="26"/>
        <v>-4.149863377240999E-3</v>
      </c>
      <c r="S156" s="277"/>
      <c r="T156" s="277"/>
    </row>
    <row r="157" spans="2:20" x14ac:dyDescent="0.3">
      <c r="B157" s="271">
        <v>43615</v>
      </c>
      <c r="C157" s="273">
        <v>2468.85</v>
      </c>
      <c r="D157" s="273">
        <v>164</v>
      </c>
      <c r="E157" s="273">
        <v>1374.6</v>
      </c>
      <c r="F157" s="274">
        <v>155</v>
      </c>
      <c r="H157" s="271">
        <v>43615</v>
      </c>
      <c r="I157" s="277">
        <f t="shared" si="19"/>
        <v>1.1429976033921258E-2</v>
      </c>
      <c r="J157" s="277">
        <f t="shared" si="20"/>
        <v>-1.1154657823334304E-2</v>
      </c>
      <c r="K157" s="277">
        <f t="shared" si="21"/>
        <v>1.2037548315847531E-2</v>
      </c>
      <c r="L157" s="278">
        <f t="shared" si="22"/>
        <v>2.1753460777851098E-2</v>
      </c>
      <c r="N157" s="271">
        <v>43615</v>
      </c>
      <c r="O157" s="277">
        <f t="shared" si="23"/>
        <v>8.2040733026211964E-3</v>
      </c>
      <c r="P157" s="277">
        <f t="shared" si="24"/>
        <v>-1.0136324580729066E-2</v>
      </c>
      <c r="Q157" s="277">
        <f t="shared" si="25"/>
        <v>1.0750265252818442E-2</v>
      </c>
      <c r="R157" s="278">
        <f t="shared" si="26"/>
        <v>2.4802550280191401E-2</v>
      </c>
      <c r="S157" s="277"/>
      <c r="T157" s="277"/>
    </row>
    <row r="158" spans="2:20" x14ac:dyDescent="0.3">
      <c r="B158" s="271">
        <v>43616</v>
      </c>
      <c r="C158" s="273">
        <v>2448.3000000000002</v>
      </c>
      <c r="D158" s="273">
        <v>160.55000000000001</v>
      </c>
      <c r="E158" s="273">
        <v>1407.3</v>
      </c>
      <c r="F158" s="274">
        <v>147.80000000000001</v>
      </c>
      <c r="H158" s="271">
        <v>43616</v>
      </c>
      <c r="I158" s="277">
        <f t="shared" si="19"/>
        <v>-8.3237134698340223E-3</v>
      </c>
      <c r="J158" s="277">
        <f t="shared" si="20"/>
        <v>-2.103658536585359E-2</v>
      </c>
      <c r="K158" s="277">
        <f t="shared" si="21"/>
        <v>2.3788738542121379E-2</v>
      </c>
      <c r="L158" s="278">
        <f t="shared" si="22"/>
        <v>-4.6451612903225734E-2</v>
      </c>
      <c r="N158" s="271">
        <v>43616</v>
      </c>
      <c r="O158" s="277">
        <f t="shared" si="23"/>
        <v>-1.1549616201134084E-2</v>
      </c>
      <c r="P158" s="277">
        <f t="shared" si="24"/>
        <v>-2.0018252123248353E-2</v>
      </c>
      <c r="Q158" s="277">
        <f t="shared" si="25"/>
        <v>2.250145547909229E-2</v>
      </c>
      <c r="R158" s="278">
        <f t="shared" si="26"/>
        <v>-4.3402523400885434E-2</v>
      </c>
      <c r="S158" s="277"/>
      <c r="T158" s="277"/>
    </row>
    <row r="159" spans="2:20" x14ac:dyDescent="0.3">
      <c r="B159" s="271">
        <v>43619</v>
      </c>
      <c r="C159" s="273">
        <v>2453.6999999999998</v>
      </c>
      <c r="D159" s="273">
        <v>164.2</v>
      </c>
      <c r="E159" s="273">
        <v>1459.25</v>
      </c>
      <c r="F159" s="274">
        <v>149.44999999999999</v>
      </c>
      <c r="H159" s="271">
        <v>43619</v>
      </c>
      <c r="I159" s="277">
        <f t="shared" si="19"/>
        <v>2.2056120573457649E-3</v>
      </c>
      <c r="J159" s="277">
        <f t="shared" si="20"/>
        <v>2.2734350669573199E-2</v>
      </c>
      <c r="K159" s="277">
        <f t="shared" si="21"/>
        <v>3.6914659276629042E-2</v>
      </c>
      <c r="L159" s="278">
        <f t="shared" si="22"/>
        <v>1.1163734776725149E-2</v>
      </c>
      <c r="N159" s="271">
        <v>43619</v>
      </c>
      <c r="O159" s="277">
        <f t="shared" si="23"/>
        <v>-1.0202906739542965E-3</v>
      </c>
      <c r="P159" s="277">
        <f t="shared" si="24"/>
        <v>2.3752683912178437E-2</v>
      </c>
      <c r="Q159" s="277">
        <f t="shared" si="25"/>
        <v>3.5627376213599952E-2</v>
      </c>
      <c r="R159" s="278">
        <f t="shared" si="26"/>
        <v>1.421282427906545E-2</v>
      </c>
      <c r="S159" s="277"/>
      <c r="T159" s="277"/>
    </row>
    <row r="160" spans="2:20" x14ac:dyDescent="0.3">
      <c r="B160" s="271">
        <v>43620</v>
      </c>
      <c r="C160" s="273">
        <v>2420.35</v>
      </c>
      <c r="D160" s="273">
        <v>165.9</v>
      </c>
      <c r="E160" s="273">
        <v>1421.5</v>
      </c>
      <c r="F160" s="274">
        <v>152.80000000000001</v>
      </c>
      <c r="H160" s="271">
        <v>43620</v>
      </c>
      <c r="I160" s="277">
        <f t="shared" si="19"/>
        <v>-1.3591718629009215E-2</v>
      </c>
      <c r="J160" s="277">
        <f t="shared" si="20"/>
        <v>1.0353227771011067E-2</v>
      </c>
      <c r="K160" s="277">
        <f t="shared" si="21"/>
        <v>-2.5869453486379989E-2</v>
      </c>
      <c r="L160" s="278">
        <f t="shared" si="22"/>
        <v>2.2415523586483927E-2</v>
      </c>
      <c r="N160" s="271">
        <v>43620</v>
      </c>
      <c r="O160" s="277">
        <f t="shared" si="23"/>
        <v>-1.6817621360309277E-2</v>
      </c>
      <c r="P160" s="277">
        <f t="shared" si="24"/>
        <v>1.1371561013616305E-2</v>
      </c>
      <c r="Q160" s="277">
        <f t="shared" si="25"/>
        <v>-2.7156736549409078E-2</v>
      </c>
      <c r="R160" s="278">
        <f t="shared" si="26"/>
        <v>2.546461308882423E-2</v>
      </c>
      <c r="S160" s="277"/>
      <c r="T160" s="277"/>
    </row>
    <row r="161" spans="2:20" x14ac:dyDescent="0.3">
      <c r="B161" s="271">
        <v>43622</v>
      </c>
      <c r="C161" s="273">
        <v>2432.4</v>
      </c>
      <c r="D161" s="273">
        <v>163.1</v>
      </c>
      <c r="E161" s="273">
        <v>1428.55</v>
      </c>
      <c r="F161" s="274">
        <v>143.4</v>
      </c>
      <c r="H161" s="271">
        <v>43622</v>
      </c>
      <c r="I161" s="277">
        <f t="shared" si="19"/>
        <v>4.9786187948024797E-3</v>
      </c>
      <c r="J161" s="277">
        <f t="shared" si="20"/>
        <v>-1.6877637130801756E-2</v>
      </c>
      <c r="K161" s="277">
        <f t="shared" si="21"/>
        <v>4.9595497713682407E-3</v>
      </c>
      <c r="L161" s="278">
        <f t="shared" si="22"/>
        <v>-6.1518324607329873E-2</v>
      </c>
      <c r="N161" s="271">
        <v>43622</v>
      </c>
      <c r="O161" s="277">
        <f t="shared" si="23"/>
        <v>1.7527160635024183E-3</v>
      </c>
      <c r="P161" s="277">
        <f t="shared" si="24"/>
        <v>-1.5859303888196518E-2</v>
      </c>
      <c r="Q161" s="277">
        <f t="shared" si="25"/>
        <v>3.6722667083391521E-3</v>
      </c>
      <c r="R161" s="278">
        <f t="shared" si="26"/>
        <v>-5.8469235104989574E-2</v>
      </c>
      <c r="S161" s="277"/>
      <c r="T161" s="277"/>
    </row>
    <row r="162" spans="2:20" x14ac:dyDescent="0.3">
      <c r="B162" s="271">
        <v>43623</v>
      </c>
      <c r="C162" s="273">
        <v>2410.15</v>
      </c>
      <c r="D162" s="273">
        <v>164.2</v>
      </c>
      <c r="E162" s="273">
        <v>1418.35</v>
      </c>
      <c r="F162" s="274">
        <v>139.9</v>
      </c>
      <c r="H162" s="271">
        <v>43623</v>
      </c>
      <c r="I162" s="277">
        <f t="shared" si="19"/>
        <v>-9.1473441868113788E-3</v>
      </c>
      <c r="J162" s="277">
        <f t="shared" si="20"/>
        <v>6.7443286327406151E-3</v>
      </c>
      <c r="K162" s="277">
        <f t="shared" si="21"/>
        <v>-7.1401071016065562E-3</v>
      </c>
      <c r="L162" s="278">
        <f t="shared" si="22"/>
        <v>-2.4407252440725242E-2</v>
      </c>
      <c r="N162" s="271">
        <v>43623</v>
      </c>
      <c r="O162" s="277">
        <f t="shared" si="23"/>
        <v>-1.237324691811144E-2</v>
      </c>
      <c r="P162" s="277">
        <f t="shared" si="24"/>
        <v>7.7626618753458528E-3</v>
      </c>
      <c r="Q162" s="277">
        <f t="shared" si="25"/>
        <v>-8.4273901646356453E-3</v>
      </c>
      <c r="R162" s="278">
        <f t="shared" si="26"/>
        <v>-2.1358162938384939E-2</v>
      </c>
      <c r="S162" s="277"/>
      <c r="T162" s="277"/>
    </row>
    <row r="163" spans="2:20" x14ac:dyDescent="0.3">
      <c r="B163" s="271">
        <v>43626</v>
      </c>
      <c r="C163" s="273">
        <v>2343</v>
      </c>
      <c r="D163" s="273">
        <v>165.2</v>
      </c>
      <c r="E163" s="273">
        <v>1422.6</v>
      </c>
      <c r="F163" s="274">
        <v>135.9</v>
      </c>
      <c r="H163" s="271">
        <v>43626</v>
      </c>
      <c r="I163" s="277">
        <f t="shared" si="19"/>
        <v>-2.7861336431342483E-2</v>
      </c>
      <c r="J163" s="277">
        <f t="shared" si="20"/>
        <v>6.0901339829476254E-3</v>
      </c>
      <c r="K163" s="277">
        <f t="shared" si="21"/>
        <v>2.996439524799944E-3</v>
      </c>
      <c r="L163" s="278">
        <f t="shared" si="22"/>
        <v>-2.8591851322373123E-2</v>
      </c>
      <c r="N163" s="271">
        <v>43626</v>
      </c>
      <c r="O163" s="277">
        <f t="shared" si="23"/>
        <v>-3.1087239162642544E-2</v>
      </c>
      <c r="P163" s="277">
        <f t="shared" si="24"/>
        <v>7.1084672255528631E-3</v>
      </c>
      <c r="Q163" s="277">
        <f t="shared" si="25"/>
        <v>1.7091564617708554E-3</v>
      </c>
      <c r="R163" s="278">
        <f t="shared" si="26"/>
        <v>-2.554276182003282E-2</v>
      </c>
      <c r="S163" s="277"/>
      <c r="T163" s="277"/>
    </row>
    <row r="164" spans="2:20" x14ac:dyDescent="0.3">
      <c r="B164" s="271">
        <v>43627</v>
      </c>
      <c r="C164" s="273">
        <v>2306.5500000000002</v>
      </c>
      <c r="D164" s="273">
        <v>169.35</v>
      </c>
      <c r="E164" s="273">
        <v>1425.5</v>
      </c>
      <c r="F164" s="274">
        <v>139.55000000000001</v>
      </c>
      <c r="H164" s="271">
        <v>43627</v>
      </c>
      <c r="I164" s="277">
        <f t="shared" si="19"/>
        <v>-1.5556978233034494E-2</v>
      </c>
      <c r="J164" s="277">
        <f t="shared" si="20"/>
        <v>2.51210653753027E-2</v>
      </c>
      <c r="K164" s="277">
        <f t="shared" si="21"/>
        <v>2.0385210178546966E-3</v>
      </c>
      <c r="L164" s="278">
        <f t="shared" si="22"/>
        <v>2.6857983811626237E-2</v>
      </c>
      <c r="N164" s="271">
        <v>43627</v>
      </c>
      <c r="O164" s="277">
        <f t="shared" si="23"/>
        <v>-1.8782880964334555E-2</v>
      </c>
      <c r="P164" s="277">
        <f t="shared" si="24"/>
        <v>2.6139398617907938E-2</v>
      </c>
      <c r="Q164" s="277">
        <f t="shared" si="25"/>
        <v>7.5123795482560799E-4</v>
      </c>
      <c r="R164" s="278">
        <f t="shared" si="26"/>
        <v>2.990707331396654E-2</v>
      </c>
      <c r="S164" s="277"/>
      <c r="T164" s="277"/>
    </row>
    <row r="165" spans="2:20" x14ac:dyDescent="0.3">
      <c r="B165" s="271">
        <v>43628</v>
      </c>
      <c r="C165" s="273">
        <v>2277.0500000000002</v>
      </c>
      <c r="D165" s="273">
        <v>170.1</v>
      </c>
      <c r="E165" s="273">
        <v>1425.45</v>
      </c>
      <c r="F165" s="274">
        <v>134.75</v>
      </c>
      <c r="H165" s="271">
        <v>43628</v>
      </c>
      <c r="I165" s="277">
        <f t="shared" si="19"/>
        <v>-1.2789664217120807E-2</v>
      </c>
      <c r="J165" s="277">
        <f t="shared" si="20"/>
        <v>4.4286979627989375E-3</v>
      </c>
      <c r="K165" s="277">
        <f t="shared" si="21"/>
        <v>-3.5075412136060697E-5</v>
      </c>
      <c r="L165" s="278">
        <f t="shared" si="22"/>
        <v>-3.4396273737011901E-2</v>
      </c>
      <c r="N165" s="271">
        <v>43628</v>
      </c>
      <c r="O165" s="277">
        <f t="shared" si="23"/>
        <v>-1.6015566948420868E-2</v>
      </c>
      <c r="P165" s="277">
        <f t="shared" si="24"/>
        <v>5.4470312054041752E-3</v>
      </c>
      <c r="Q165" s="277">
        <f t="shared" si="25"/>
        <v>-1.3223584751651492E-3</v>
      </c>
      <c r="R165" s="278">
        <f t="shared" si="26"/>
        <v>-3.1347184234671602E-2</v>
      </c>
      <c r="S165" s="277"/>
      <c r="T165" s="277"/>
    </row>
    <row r="166" spans="2:20" x14ac:dyDescent="0.3">
      <c r="B166" s="271">
        <v>43629</v>
      </c>
      <c r="C166" s="273">
        <v>2258.5500000000002</v>
      </c>
      <c r="D166" s="273">
        <v>168.45</v>
      </c>
      <c r="E166" s="273">
        <v>1429.45</v>
      </c>
      <c r="F166" s="274">
        <v>117.1</v>
      </c>
      <c r="H166" s="271">
        <v>43629</v>
      </c>
      <c r="I166" s="277">
        <f t="shared" si="19"/>
        <v>-8.1245471113941276E-3</v>
      </c>
      <c r="J166" s="277">
        <f t="shared" si="20"/>
        <v>-9.7001763668430677E-3</v>
      </c>
      <c r="K166" s="277">
        <f t="shared" si="21"/>
        <v>2.8061313971026692E-3</v>
      </c>
      <c r="L166" s="278">
        <f t="shared" si="22"/>
        <v>-0.13098330241187389</v>
      </c>
      <c r="N166" s="271">
        <v>43629</v>
      </c>
      <c r="O166" s="277">
        <f t="shared" si="23"/>
        <v>-1.1350449842694189E-2</v>
      </c>
      <c r="P166" s="277">
        <f t="shared" si="24"/>
        <v>-8.6818431242378299E-3</v>
      </c>
      <c r="Q166" s="277">
        <f t="shared" si="25"/>
        <v>1.5188483340735806E-3</v>
      </c>
      <c r="R166" s="278">
        <f t="shared" si="26"/>
        <v>-0.12793421290953358</v>
      </c>
      <c r="S166" s="277"/>
      <c r="T166" s="277"/>
    </row>
    <row r="167" spans="2:20" x14ac:dyDescent="0.3">
      <c r="B167" s="271">
        <v>43630</v>
      </c>
      <c r="C167" s="273">
        <v>2208.3000000000002</v>
      </c>
      <c r="D167" s="273">
        <v>169.55</v>
      </c>
      <c r="E167" s="273">
        <v>1412.75</v>
      </c>
      <c r="F167" s="274">
        <v>115.05</v>
      </c>
      <c r="H167" s="271">
        <v>43630</v>
      </c>
      <c r="I167" s="277">
        <f t="shared" si="19"/>
        <v>-2.2248787939164506E-2</v>
      </c>
      <c r="J167" s="277">
        <f t="shared" si="20"/>
        <v>6.5301276343129877E-3</v>
      </c>
      <c r="K167" s="277">
        <f t="shared" si="21"/>
        <v>-1.168281506873276E-2</v>
      </c>
      <c r="L167" s="278">
        <f t="shared" si="22"/>
        <v>-1.7506404782237382E-2</v>
      </c>
      <c r="N167" s="271">
        <v>43630</v>
      </c>
      <c r="O167" s="277">
        <f t="shared" si="23"/>
        <v>-2.5474690670464567E-2</v>
      </c>
      <c r="P167" s="277">
        <f t="shared" si="24"/>
        <v>7.5484608769182254E-3</v>
      </c>
      <c r="Q167" s="277">
        <f t="shared" si="25"/>
        <v>-1.2970098131761849E-2</v>
      </c>
      <c r="R167" s="278">
        <f t="shared" si="26"/>
        <v>-1.4457315279897081E-2</v>
      </c>
      <c r="S167" s="277"/>
      <c r="T167" s="277"/>
    </row>
    <row r="168" spans="2:20" x14ac:dyDescent="0.3">
      <c r="B168" s="271">
        <v>43633</v>
      </c>
      <c r="C168" s="273">
        <v>2192.0500000000002</v>
      </c>
      <c r="D168" s="273">
        <v>164.05</v>
      </c>
      <c r="E168" s="273">
        <v>1401.95</v>
      </c>
      <c r="F168" s="274">
        <v>116.15</v>
      </c>
      <c r="H168" s="271">
        <v>43633</v>
      </c>
      <c r="I168" s="277">
        <f t="shared" si="19"/>
        <v>-7.358601639270026E-3</v>
      </c>
      <c r="J168" s="277">
        <f t="shared" si="20"/>
        <v>-3.2438808611029192E-2</v>
      </c>
      <c r="K168" s="277">
        <f t="shared" si="21"/>
        <v>-7.6446646611218931E-3</v>
      </c>
      <c r="L168" s="278">
        <f t="shared" si="22"/>
        <v>9.5610604085181097E-3</v>
      </c>
      <c r="N168" s="271">
        <v>43633</v>
      </c>
      <c r="O168" s="277">
        <f t="shared" si="23"/>
        <v>-1.0584504370570087E-2</v>
      </c>
      <c r="P168" s="277">
        <f t="shared" si="24"/>
        <v>-3.1420475368423954E-2</v>
      </c>
      <c r="Q168" s="277">
        <f t="shared" si="25"/>
        <v>-8.9319477241509813E-3</v>
      </c>
      <c r="R168" s="278">
        <f t="shared" si="26"/>
        <v>1.2610149910858411E-2</v>
      </c>
      <c r="S168" s="277"/>
      <c r="T168" s="277"/>
    </row>
    <row r="169" spans="2:20" x14ac:dyDescent="0.3">
      <c r="B169" s="271">
        <v>43634</v>
      </c>
      <c r="C169" s="273">
        <v>2195.8000000000002</v>
      </c>
      <c r="D169" s="273">
        <v>168.1</v>
      </c>
      <c r="E169" s="273">
        <v>1380.05</v>
      </c>
      <c r="F169" s="274">
        <v>109.3</v>
      </c>
      <c r="H169" s="271">
        <v>43634</v>
      </c>
      <c r="I169" s="277">
        <f t="shared" si="19"/>
        <v>1.7107274012910288E-3</v>
      </c>
      <c r="J169" s="277">
        <f t="shared" si="20"/>
        <v>2.4687595245351922E-2</v>
      </c>
      <c r="K169" s="277">
        <f t="shared" si="21"/>
        <v>-1.5621099183280494E-2</v>
      </c>
      <c r="L169" s="278">
        <f t="shared" si="22"/>
        <v>-5.8975462763667739E-2</v>
      </c>
      <c r="N169" s="271">
        <v>43634</v>
      </c>
      <c r="O169" s="277">
        <f t="shared" si="23"/>
        <v>-1.5151753300090326E-3</v>
      </c>
      <c r="P169" s="277">
        <f t="shared" si="24"/>
        <v>2.570592848795716E-2</v>
      </c>
      <c r="Q169" s="277">
        <f t="shared" si="25"/>
        <v>-1.6908382246309583E-2</v>
      </c>
      <c r="R169" s="278">
        <f t="shared" si="26"/>
        <v>-5.592637326132744E-2</v>
      </c>
      <c r="S169" s="277"/>
      <c r="T169" s="277"/>
    </row>
    <row r="170" spans="2:20" x14ac:dyDescent="0.3">
      <c r="B170" s="271">
        <v>43635</v>
      </c>
      <c r="C170" s="273">
        <v>2156.5</v>
      </c>
      <c r="D170" s="273">
        <v>168.5</v>
      </c>
      <c r="E170" s="273">
        <v>1381.15</v>
      </c>
      <c r="F170" s="274">
        <v>103.2</v>
      </c>
      <c r="H170" s="271">
        <v>43635</v>
      </c>
      <c r="I170" s="277">
        <f t="shared" si="19"/>
        <v>-1.7897804900264221E-2</v>
      </c>
      <c r="J170" s="277">
        <f t="shared" si="20"/>
        <v>2.37953599048189E-3</v>
      </c>
      <c r="K170" s="277">
        <f t="shared" si="21"/>
        <v>7.9707256983452518E-4</v>
      </c>
      <c r="L170" s="278">
        <f t="shared" si="22"/>
        <v>-5.5809698078682475E-2</v>
      </c>
      <c r="N170" s="271">
        <v>43635</v>
      </c>
      <c r="O170" s="277">
        <f t="shared" si="23"/>
        <v>-2.1123707631564282E-2</v>
      </c>
      <c r="P170" s="277">
        <f t="shared" si="24"/>
        <v>3.3978692330871281E-3</v>
      </c>
      <c r="Q170" s="277">
        <f t="shared" si="25"/>
        <v>-4.9021049319456346E-4</v>
      </c>
      <c r="R170" s="278">
        <f t="shared" si="26"/>
        <v>-5.2760608576342176E-2</v>
      </c>
      <c r="S170" s="277"/>
      <c r="T170" s="277"/>
    </row>
    <row r="171" spans="2:20" x14ac:dyDescent="0.3">
      <c r="B171" s="271">
        <v>43636</v>
      </c>
      <c r="C171" s="273">
        <v>2152.25</v>
      </c>
      <c r="D171" s="273">
        <v>172</v>
      </c>
      <c r="E171" s="273">
        <v>1392.05</v>
      </c>
      <c r="F171" s="274">
        <v>114.55</v>
      </c>
      <c r="H171" s="271">
        <v>43636</v>
      </c>
      <c r="I171" s="277">
        <f t="shared" si="19"/>
        <v>-1.970785995826571E-3</v>
      </c>
      <c r="J171" s="277">
        <f t="shared" si="20"/>
        <v>2.0771513353115726E-2</v>
      </c>
      <c r="K171" s="277">
        <f t="shared" si="21"/>
        <v>7.8919740795712727E-3</v>
      </c>
      <c r="L171" s="278">
        <f t="shared" si="22"/>
        <v>0.10998062015503871</v>
      </c>
      <c r="N171" s="271">
        <v>43636</v>
      </c>
      <c r="O171" s="277">
        <f t="shared" si="23"/>
        <v>-5.1966887271266329E-3</v>
      </c>
      <c r="P171" s="277">
        <f t="shared" si="24"/>
        <v>2.1789846595720964E-2</v>
      </c>
      <c r="Q171" s="277">
        <f t="shared" si="25"/>
        <v>6.6046910165421836E-3</v>
      </c>
      <c r="R171" s="278">
        <f t="shared" si="26"/>
        <v>0.113029709657379</v>
      </c>
      <c r="S171" s="277"/>
      <c r="T171" s="277"/>
    </row>
    <row r="172" spans="2:20" x14ac:dyDescent="0.3">
      <c r="B172" s="271">
        <v>43637</v>
      </c>
      <c r="C172" s="273">
        <v>2214.6999999999998</v>
      </c>
      <c r="D172" s="273">
        <v>172.4</v>
      </c>
      <c r="E172" s="273">
        <v>1383</v>
      </c>
      <c r="F172" s="274">
        <v>109.6</v>
      </c>
      <c r="H172" s="271">
        <v>43637</v>
      </c>
      <c r="I172" s="277">
        <f t="shared" si="19"/>
        <v>2.9016145893831953E-2</v>
      </c>
      <c r="J172" s="277">
        <f t="shared" si="20"/>
        <v>2.3255813953488701E-3</v>
      </c>
      <c r="K172" s="277">
        <f t="shared" si="21"/>
        <v>-6.5012032613770733E-3</v>
      </c>
      <c r="L172" s="278">
        <f t="shared" si="22"/>
        <v>-4.3212570929725039E-2</v>
      </c>
      <c r="N172" s="271">
        <v>43637</v>
      </c>
      <c r="O172" s="277">
        <f t="shared" si="23"/>
        <v>2.5790243162531892E-2</v>
      </c>
      <c r="P172" s="277">
        <f t="shared" si="24"/>
        <v>3.3439146379541079E-3</v>
      </c>
      <c r="Q172" s="277">
        <f t="shared" si="25"/>
        <v>-7.7884863244061624E-3</v>
      </c>
      <c r="R172" s="278">
        <f t="shared" si="26"/>
        <v>-4.016348142738474E-2</v>
      </c>
      <c r="S172" s="277"/>
      <c r="T172" s="277"/>
    </row>
    <row r="173" spans="2:20" x14ac:dyDescent="0.3">
      <c r="B173" s="271">
        <v>43640</v>
      </c>
      <c r="C173" s="273">
        <v>2242.4499999999998</v>
      </c>
      <c r="D173" s="273">
        <v>168.45</v>
      </c>
      <c r="E173" s="273">
        <v>1376.15</v>
      </c>
      <c r="F173" s="274">
        <v>111.95</v>
      </c>
      <c r="H173" s="271">
        <v>43640</v>
      </c>
      <c r="I173" s="277">
        <f t="shared" si="19"/>
        <v>1.2529913758071071E-2</v>
      </c>
      <c r="J173" s="277">
        <f t="shared" si="20"/>
        <v>-2.2911832946635829E-2</v>
      </c>
      <c r="K173" s="277">
        <f t="shared" si="21"/>
        <v>-4.9530007230657331E-3</v>
      </c>
      <c r="L173" s="278">
        <f t="shared" si="22"/>
        <v>2.1441605839416136E-2</v>
      </c>
      <c r="N173" s="271">
        <v>43640</v>
      </c>
      <c r="O173" s="277">
        <f t="shared" si="23"/>
        <v>9.3040110267710099E-3</v>
      </c>
      <c r="P173" s="277">
        <f t="shared" si="24"/>
        <v>-2.1893499704030591E-2</v>
      </c>
      <c r="Q173" s="277">
        <f t="shared" si="25"/>
        <v>-6.2402837860948222E-3</v>
      </c>
      <c r="R173" s="278">
        <f t="shared" si="26"/>
        <v>2.4490695341756439E-2</v>
      </c>
      <c r="S173" s="277"/>
      <c r="T173" s="277"/>
    </row>
    <row r="174" spans="2:20" x14ac:dyDescent="0.3">
      <c r="B174" s="271">
        <v>43641</v>
      </c>
      <c r="C174" s="273">
        <v>2243.5</v>
      </c>
      <c r="D174" s="273">
        <v>170.35</v>
      </c>
      <c r="E174" s="273">
        <v>1363.1</v>
      </c>
      <c r="F174" s="274">
        <v>110.05</v>
      </c>
      <c r="H174" s="271">
        <v>43641</v>
      </c>
      <c r="I174" s="277">
        <f t="shared" si="19"/>
        <v>4.6823786483541751E-4</v>
      </c>
      <c r="J174" s="277">
        <f t="shared" si="20"/>
        <v>1.1279311368358597E-2</v>
      </c>
      <c r="K174" s="277">
        <f t="shared" si="21"/>
        <v>-9.4829778730517612E-3</v>
      </c>
      <c r="L174" s="278">
        <f t="shared" si="22"/>
        <v>-1.6971862438588704E-2</v>
      </c>
      <c r="N174" s="271">
        <v>43641</v>
      </c>
      <c r="O174" s="277">
        <f t="shared" si="23"/>
        <v>-2.7576648664646439E-3</v>
      </c>
      <c r="P174" s="277">
        <f t="shared" si="24"/>
        <v>1.2297644610963835E-2</v>
      </c>
      <c r="Q174" s="277">
        <f t="shared" si="25"/>
        <v>-1.077026093608085E-2</v>
      </c>
      <c r="R174" s="278">
        <f t="shared" si="26"/>
        <v>-1.3922772936248403E-2</v>
      </c>
      <c r="S174" s="277"/>
      <c r="T174" s="277"/>
    </row>
    <row r="175" spans="2:20" x14ac:dyDescent="0.3">
      <c r="B175" s="271">
        <v>43642</v>
      </c>
      <c r="C175" s="273">
        <v>2228.9499999999998</v>
      </c>
      <c r="D175" s="273">
        <v>177.85</v>
      </c>
      <c r="E175" s="273">
        <v>1359.95</v>
      </c>
      <c r="F175" s="274">
        <v>113.05</v>
      </c>
      <c r="H175" s="271">
        <v>43642</v>
      </c>
      <c r="I175" s="277">
        <f t="shared" si="19"/>
        <v>-6.4854022732338673E-3</v>
      </c>
      <c r="J175" s="277">
        <f t="shared" si="20"/>
        <v>4.4027003228646902E-2</v>
      </c>
      <c r="K175" s="277">
        <f t="shared" si="21"/>
        <v>-2.3109089575231927E-3</v>
      </c>
      <c r="L175" s="278">
        <f t="shared" si="22"/>
        <v>2.7260336210813266E-2</v>
      </c>
      <c r="N175" s="271">
        <v>43642</v>
      </c>
      <c r="O175" s="277">
        <f t="shared" si="23"/>
        <v>-9.7113050045339287E-3</v>
      </c>
      <c r="P175" s="277">
        <f t="shared" si="24"/>
        <v>4.504533647125214E-2</v>
      </c>
      <c r="Q175" s="277">
        <f t="shared" si="25"/>
        <v>-3.5981920205522813E-3</v>
      </c>
      <c r="R175" s="278">
        <f t="shared" si="26"/>
        <v>3.0309425713153568E-2</v>
      </c>
      <c r="S175" s="277"/>
      <c r="T175" s="277"/>
    </row>
    <row r="176" spans="2:20" x14ac:dyDescent="0.3">
      <c r="B176" s="271">
        <v>43643</v>
      </c>
      <c r="C176" s="273">
        <v>2268.5</v>
      </c>
      <c r="D176" s="273">
        <v>176.85</v>
      </c>
      <c r="E176" s="273">
        <v>1361.4</v>
      </c>
      <c r="F176" s="274">
        <v>112.4</v>
      </c>
      <c r="H176" s="271">
        <v>43643</v>
      </c>
      <c r="I176" s="277">
        <f t="shared" si="19"/>
        <v>1.7743780703918969E-2</v>
      </c>
      <c r="J176" s="277">
        <f t="shared" si="20"/>
        <v>-5.6227157717177395E-3</v>
      </c>
      <c r="K176" s="277">
        <f t="shared" si="21"/>
        <v>1.0662156696937721E-3</v>
      </c>
      <c r="L176" s="278">
        <f t="shared" si="22"/>
        <v>-5.7496682883679037E-3</v>
      </c>
      <c r="N176" s="271">
        <v>43643</v>
      </c>
      <c r="O176" s="277">
        <f t="shared" si="23"/>
        <v>1.4517877972618908E-2</v>
      </c>
      <c r="P176" s="277">
        <f t="shared" si="24"/>
        <v>-4.6043825291125018E-3</v>
      </c>
      <c r="Q176" s="277">
        <f t="shared" si="25"/>
        <v>-2.210673933353165E-4</v>
      </c>
      <c r="R176" s="278">
        <f t="shared" si="26"/>
        <v>-2.7005787860276023E-3</v>
      </c>
      <c r="S176" s="277"/>
      <c r="T176" s="277"/>
    </row>
    <row r="177" spans="2:20" x14ac:dyDescent="0.3">
      <c r="B177" s="271">
        <v>43644</v>
      </c>
      <c r="C177" s="273">
        <v>2268.65</v>
      </c>
      <c r="D177" s="273">
        <v>174.35</v>
      </c>
      <c r="E177" s="273">
        <v>1358.15</v>
      </c>
      <c r="F177" s="274">
        <v>108.75</v>
      </c>
      <c r="H177" s="271">
        <v>43644</v>
      </c>
      <c r="I177" s="277">
        <f t="shared" si="19"/>
        <v>6.6122988759131999E-5</v>
      </c>
      <c r="J177" s="277">
        <f t="shared" si="20"/>
        <v>-1.4136273678258411E-2</v>
      </c>
      <c r="K177" s="277">
        <f t="shared" si="21"/>
        <v>-2.3872484207433523E-3</v>
      </c>
      <c r="L177" s="278">
        <f t="shared" si="22"/>
        <v>-3.2473309608540973E-2</v>
      </c>
      <c r="N177" s="271">
        <v>43644</v>
      </c>
      <c r="O177" s="277">
        <f t="shared" si="23"/>
        <v>-3.1597797425409295E-3</v>
      </c>
      <c r="P177" s="277">
        <f t="shared" si="24"/>
        <v>-1.3117940435653173E-2</v>
      </c>
      <c r="Q177" s="277">
        <f t="shared" si="25"/>
        <v>-3.6745314837724409E-3</v>
      </c>
      <c r="R177" s="278">
        <f t="shared" si="26"/>
        <v>-2.9424220106200671E-2</v>
      </c>
      <c r="S177" s="277"/>
      <c r="T177" s="277"/>
    </row>
    <row r="178" spans="2:20" x14ac:dyDescent="0.3">
      <c r="B178" s="271">
        <v>43647</v>
      </c>
      <c r="C178" s="273">
        <v>2267.75</v>
      </c>
      <c r="D178" s="273">
        <v>174.05</v>
      </c>
      <c r="E178" s="273">
        <v>1353.85</v>
      </c>
      <c r="F178" s="274">
        <v>109.15</v>
      </c>
      <c r="H178" s="271">
        <v>43647</v>
      </c>
      <c r="I178" s="277">
        <f t="shared" si="19"/>
        <v>-3.967117007912595E-4</v>
      </c>
      <c r="J178" s="277">
        <f t="shared" si="20"/>
        <v>-1.7206767995410551E-3</v>
      </c>
      <c r="K178" s="277">
        <f t="shared" si="21"/>
        <v>-3.1660714943122495E-3</v>
      </c>
      <c r="L178" s="278">
        <f t="shared" si="22"/>
        <v>3.6781609195402822E-3</v>
      </c>
      <c r="N178" s="271">
        <v>43647</v>
      </c>
      <c r="O178" s="277">
        <f t="shared" si="23"/>
        <v>-3.6226144320913208E-3</v>
      </c>
      <c r="P178" s="277">
        <f t="shared" si="24"/>
        <v>-7.0234355693581715E-4</v>
      </c>
      <c r="Q178" s="277">
        <f t="shared" si="25"/>
        <v>-4.4533545573413377E-3</v>
      </c>
      <c r="R178" s="278">
        <f t="shared" si="26"/>
        <v>6.7272504218805831E-3</v>
      </c>
      <c r="S178" s="277"/>
      <c r="T178" s="277"/>
    </row>
    <row r="179" spans="2:20" x14ac:dyDescent="0.3">
      <c r="B179" s="271">
        <v>43648</v>
      </c>
      <c r="C179" s="273">
        <v>2318.4</v>
      </c>
      <c r="D179" s="273">
        <v>174.65</v>
      </c>
      <c r="E179" s="273">
        <v>1345.75</v>
      </c>
      <c r="F179" s="274">
        <v>100.8</v>
      </c>
      <c r="H179" s="271">
        <v>43648</v>
      </c>
      <c r="I179" s="277">
        <f t="shared" si="19"/>
        <v>2.2334913460478487E-2</v>
      </c>
      <c r="J179" s="277">
        <f t="shared" si="20"/>
        <v>3.4472852628554683E-3</v>
      </c>
      <c r="K179" s="277">
        <f t="shared" si="21"/>
        <v>-5.9829375484728069E-3</v>
      </c>
      <c r="L179" s="278">
        <f t="shared" si="22"/>
        <v>-7.6500229042601994E-2</v>
      </c>
      <c r="N179" s="271">
        <v>43648</v>
      </c>
      <c r="O179" s="277">
        <f t="shared" si="23"/>
        <v>1.9109010729178425E-2</v>
      </c>
      <c r="P179" s="277">
        <f t="shared" si="24"/>
        <v>4.4656185054607065E-3</v>
      </c>
      <c r="Q179" s="277">
        <f t="shared" si="25"/>
        <v>-7.2702206115018951E-3</v>
      </c>
      <c r="R179" s="278">
        <f t="shared" si="26"/>
        <v>-7.3451139540261695E-2</v>
      </c>
      <c r="S179" s="277"/>
      <c r="T179" s="277"/>
    </row>
    <row r="180" spans="2:20" x14ac:dyDescent="0.3">
      <c r="B180" s="271">
        <v>43649</v>
      </c>
      <c r="C180" s="273">
        <v>2338.9</v>
      </c>
      <c r="D180" s="273">
        <v>172.7</v>
      </c>
      <c r="E180" s="273">
        <v>1352</v>
      </c>
      <c r="F180" s="274">
        <v>99.75</v>
      </c>
      <c r="H180" s="271">
        <v>43649</v>
      </c>
      <c r="I180" s="277">
        <f t="shared" si="19"/>
        <v>8.842305037957212E-3</v>
      </c>
      <c r="J180" s="277">
        <f t="shared" si="20"/>
        <v>-1.1165187517893025E-2</v>
      </c>
      <c r="K180" s="277">
        <f t="shared" si="21"/>
        <v>4.6442504179825374E-3</v>
      </c>
      <c r="L180" s="278">
        <f t="shared" si="22"/>
        <v>-1.0416666666666638E-2</v>
      </c>
      <c r="N180" s="271">
        <v>43649</v>
      </c>
      <c r="O180" s="277">
        <f t="shared" si="23"/>
        <v>5.6164023066571506E-3</v>
      </c>
      <c r="P180" s="277">
        <f t="shared" si="24"/>
        <v>-1.0146854275287788E-2</v>
      </c>
      <c r="Q180" s="277">
        <f t="shared" si="25"/>
        <v>3.3569673549534488E-3</v>
      </c>
      <c r="R180" s="278">
        <f t="shared" si="26"/>
        <v>-7.3675771643263374E-3</v>
      </c>
      <c r="S180" s="277"/>
      <c r="T180" s="277"/>
    </row>
    <row r="181" spans="2:20" x14ac:dyDescent="0.3">
      <c r="B181" s="271">
        <v>43650</v>
      </c>
      <c r="C181" s="273">
        <v>2345.65</v>
      </c>
      <c r="D181" s="273">
        <v>171.05</v>
      </c>
      <c r="E181" s="273">
        <v>1359.7</v>
      </c>
      <c r="F181" s="274">
        <v>96.25</v>
      </c>
      <c r="H181" s="271">
        <v>43650</v>
      </c>
      <c r="I181" s="277">
        <f t="shared" si="19"/>
        <v>2.8859720381375861E-3</v>
      </c>
      <c r="J181" s="277">
        <f t="shared" si="20"/>
        <v>-9.5541401273884045E-3</v>
      </c>
      <c r="K181" s="277">
        <f t="shared" si="21"/>
        <v>5.6952662721893831E-3</v>
      </c>
      <c r="L181" s="278">
        <f t="shared" si="22"/>
        <v>-3.5087719298245612E-2</v>
      </c>
      <c r="N181" s="271">
        <v>43650</v>
      </c>
      <c r="O181" s="277">
        <f t="shared" si="23"/>
        <v>-3.3993069316247534E-4</v>
      </c>
      <c r="P181" s="277">
        <f t="shared" si="24"/>
        <v>-8.5358068847831668E-3</v>
      </c>
      <c r="Q181" s="277">
        <f t="shared" si="25"/>
        <v>4.407983209160294E-3</v>
      </c>
      <c r="R181" s="278">
        <f t="shared" si="26"/>
        <v>-3.2038629795905313E-2</v>
      </c>
      <c r="S181" s="277"/>
      <c r="T181" s="277"/>
    </row>
    <row r="182" spans="2:20" x14ac:dyDescent="0.3">
      <c r="B182" s="271">
        <v>43651</v>
      </c>
      <c r="C182" s="273">
        <v>2307.1999999999998</v>
      </c>
      <c r="D182" s="273">
        <v>163.65</v>
      </c>
      <c r="E182" s="273">
        <v>1358.7</v>
      </c>
      <c r="F182" s="274">
        <v>88.15</v>
      </c>
      <c r="H182" s="271">
        <v>43651</v>
      </c>
      <c r="I182" s="277">
        <f t="shared" si="19"/>
        <v>-1.6392044848975881E-2</v>
      </c>
      <c r="J182" s="277">
        <f t="shared" si="20"/>
        <v>-4.3262204033908243E-2</v>
      </c>
      <c r="K182" s="277">
        <f t="shared" si="21"/>
        <v>-7.3545635066558793E-4</v>
      </c>
      <c r="L182" s="278">
        <f t="shared" si="22"/>
        <v>-8.4155844155844095E-2</v>
      </c>
      <c r="N182" s="271">
        <v>43651</v>
      </c>
      <c r="O182" s="277">
        <f t="shared" si="23"/>
        <v>-1.9617947580275942E-2</v>
      </c>
      <c r="P182" s="277">
        <f t="shared" si="24"/>
        <v>-4.2243870791303005E-2</v>
      </c>
      <c r="Q182" s="277">
        <f t="shared" si="25"/>
        <v>-2.0227394136946766E-3</v>
      </c>
      <c r="R182" s="278">
        <f t="shared" si="26"/>
        <v>-8.1106754653503796E-2</v>
      </c>
      <c r="S182" s="277"/>
      <c r="T182" s="277"/>
    </row>
    <row r="183" spans="2:20" x14ac:dyDescent="0.3">
      <c r="B183" s="271">
        <v>43654</v>
      </c>
      <c r="C183" s="273">
        <v>2210.6999999999998</v>
      </c>
      <c r="D183" s="273">
        <v>161.94999999999999</v>
      </c>
      <c r="E183" s="273">
        <v>1340.25</v>
      </c>
      <c r="F183" s="274">
        <v>93.15</v>
      </c>
      <c r="H183" s="271">
        <v>43654</v>
      </c>
      <c r="I183" s="277">
        <f t="shared" si="19"/>
        <v>-4.1825589459084607E-2</v>
      </c>
      <c r="J183" s="277">
        <f t="shared" si="20"/>
        <v>-1.0388023220287302E-2</v>
      </c>
      <c r="K183" s="277">
        <f t="shared" si="21"/>
        <v>-1.3579156546699084E-2</v>
      </c>
      <c r="L183" s="278">
        <f t="shared" si="22"/>
        <v>5.6721497447532611E-2</v>
      </c>
      <c r="N183" s="271">
        <v>43654</v>
      </c>
      <c r="O183" s="277">
        <f t="shared" si="23"/>
        <v>-4.5051492190384665E-2</v>
      </c>
      <c r="P183" s="277">
        <f t="shared" si="24"/>
        <v>-9.3696899776820643E-3</v>
      </c>
      <c r="Q183" s="277">
        <f t="shared" si="25"/>
        <v>-1.4866439609728173E-2</v>
      </c>
      <c r="R183" s="278">
        <f t="shared" si="26"/>
        <v>5.977058694987291E-2</v>
      </c>
      <c r="S183" s="277"/>
      <c r="T183" s="277"/>
    </row>
    <row r="184" spans="2:20" x14ac:dyDescent="0.3">
      <c r="B184" s="271">
        <v>43655</v>
      </c>
      <c r="C184" s="273">
        <v>2228.15</v>
      </c>
      <c r="D184" s="273">
        <v>161.5</v>
      </c>
      <c r="E184" s="273">
        <v>1321</v>
      </c>
      <c r="F184" s="274">
        <v>91.35</v>
      </c>
      <c r="H184" s="271">
        <v>43655</v>
      </c>
      <c r="I184" s="277">
        <f t="shared" si="19"/>
        <v>7.8934274211789369E-3</v>
      </c>
      <c r="J184" s="277">
        <f t="shared" si="20"/>
        <v>-2.7786353812904517E-3</v>
      </c>
      <c r="K184" s="277">
        <f t="shared" si="21"/>
        <v>-1.4362991979108375E-2</v>
      </c>
      <c r="L184" s="278">
        <f t="shared" si="22"/>
        <v>-1.9323671497584662E-2</v>
      </c>
      <c r="N184" s="271">
        <v>43655</v>
      </c>
      <c r="O184" s="277">
        <f t="shared" si="23"/>
        <v>4.6675246898788755E-3</v>
      </c>
      <c r="P184" s="277">
        <f t="shared" si="24"/>
        <v>-1.7603021386852138E-3</v>
      </c>
      <c r="Q184" s="277">
        <f t="shared" si="25"/>
        <v>-1.5650275042137462E-2</v>
      </c>
      <c r="R184" s="278">
        <f t="shared" si="26"/>
        <v>-1.6274581995244359E-2</v>
      </c>
      <c r="S184" s="277"/>
      <c r="T184" s="277"/>
    </row>
    <row r="185" spans="2:20" x14ac:dyDescent="0.3">
      <c r="B185" s="271">
        <v>43656</v>
      </c>
      <c r="C185" s="273">
        <v>2261.25</v>
      </c>
      <c r="D185" s="273">
        <v>160</v>
      </c>
      <c r="E185" s="273">
        <v>1322.95</v>
      </c>
      <c r="F185" s="274">
        <v>93</v>
      </c>
      <c r="H185" s="271">
        <v>43656</v>
      </c>
      <c r="I185" s="277">
        <f t="shared" si="19"/>
        <v>1.4855373291744231E-2</v>
      </c>
      <c r="J185" s="277">
        <f t="shared" si="20"/>
        <v>-9.2879256965944269E-3</v>
      </c>
      <c r="K185" s="277">
        <f t="shared" si="21"/>
        <v>1.4761544284633199E-3</v>
      </c>
      <c r="L185" s="278">
        <f t="shared" si="22"/>
        <v>1.8062397372742265E-2</v>
      </c>
      <c r="N185" s="271">
        <v>43656</v>
      </c>
      <c r="O185" s="277">
        <f t="shared" si="23"/>
        <v>1.162947056044417E-2</v>
      </c>
      <c r="P185" s="277">
        <f t="shared" si="24"/>
        <v>-8.2695924539891892E-3</v>
      </c>
      <c r="Q185" s="277">
        <f t="shared" si="25"/>
        <v>1.8887136543423123E-4</v>
      </c>
      <c r="R185" s="278">
        <f t="shared" si="26"/>
        <v>2.1111486875082568E-2</v>
      </c>
      <c r="S185" s="277"/>
      <c r="T185" s="277"/>
    </row>
    <row r="186" spans="2:20" x14ac:dyDescent="0.3">
      <c r="B186" s="271">
        <v>43657</v>
      </c>
      <c r="C186" s="273">
        <v>2275.65</v>
      </c>
      <c r="D186" s="273">
        <v>163.65</v>
      </c>
      <c r="E186" s="273">
        <v>1332.45</v>
      </c>
      <c r="F186" s="274">
        <v>92.45</v>
      </c>
      <c r="H186" s="271">
        <v>43657</v>
      </c>
      <c r="I186" s="277">
        <f t="shared" si="19"/>
        <v>6.36815920398014E-3</v>
      </c>
      <c r="J186" s="277">
        <f t="shared" si="20"/>
        <v>2.2812500000000034E-2</v>
      </c>
      <c r="K186" s="277">
        <f t="shared" si="21"/>
        <v>7.1809214256018748E-3</v>
      </c>
      <c r="L186" s="278">
        <f t="shared" si="22"/>
        <v>-5.9139784946236253E-3</v>
      </c>
      <c r="N186" s="271">
        <v>43657</v>
      </c>
      <c r="O186" s="277">
        <f t="shared" si="23"/>
        <v>3.1422564726800786E-3</v>
      </c>
      <c r="P186" s="277">
        <f t="shared" si="24"/>
        <v>2.3830833242605272E-2</v>
      </c>
      <c r="Q186" s="277">
        <f t="shared" si="25"/>
        <v>5.8936383625727857E-3</v>
      </c>
      <c r="R186" s="278">
        <f t="shared" si="26"/>
        <v>-2.864888992283324E-3</v>
      </c>
      <c r="S186" s="277"/>
      <c r="T186" s="277"/>
    </row>
    <row r="187" spans="2:20" x14ac:dyDescent="0.3">
      <c r="B187" s="271">
        <v>43658</v>
      </c>
      <c r="C187" s="273">
        <v>2219.8000000000002</v>
      </c>
      <c r="D187" s="273">
        <v>167.65</v>
      </c>
      <c r="E187" s="273">
        <v>1361.95</v>
      </c>
      <c r="F187" s="274">
        <v>94.2</v>
      </c>
      <c r="H187" s="271">
        <v>43658</v>
      </c>
      <c r="I187" s="277">
        <f t="shared" si="19"/>
        <v>-2.4542438424186457E-2</v>
      </c>
      <c r="J187" s="277">
        <f t="shared" si="20"/>
        <v>2.4442407577146347E-2</v>
      </c>
      <c r="K187" s="277">
        <f t="shared" si="21"/>
        <v>2.2139667529738449E-2</v>
      </c>
      <c r="L187" s="278">
        <f t="shared" si="22"/>
        <v>1.8929150892374257E-2</v>
      </c>
      <c r="N187" s="271">
        <v>43658</v>
      </c>
      <c r="O187" s="277">
        <f t="shared" si="23"/>
        <v>-2.7768341155486518E-2</v>
      </c>
      <c r="P187" s="277">
        <f t="shared" si="24"/>
        <v>2.5460740819751585E-2</v>
      </c>
      <c r="Q187" s="277">
        <f t="shared" si="25"/>
        <v>2.085238446670936E-2</v>
      </c>
      <c r="R187" s="278">
        <f t="shared" si="26"/>
        <v>2.1978240394714559E-2</v>
      </c>
      <c r="S187" s="277"/>
      <c r="T187" s="277"/>
    </row>
    <row r="188" spans="2:20" x14ac:dyDescent="0.3">
      <c r="B188" s="271">
        <v>43661</v>
      </c>
      <c r="C188" s="273">
        <v>2178.6999999999998</v>
      </c>
      <c r="D188" s="273">
        <v>166.75</v>
      </c>
      <c r="E188" s="273">
        <v>1353.15</v>
      </c>
      <c r="F188" s="274">
        <v>93.2</v>
      </c>
      <c r="H188" s="271">
        <v>43661</v>
      </c>
      <c r="I188" s="277">
        <f t="shared" si="19"/>
        <v>-1.8515181547887359E-2</v>
      </c>
      <c r="J188" s="277">
        <f t="shared" si="20"/>
        <v>-5.3683268714584294E-3</v>
      </c>
      <c r="K188" s="277">
        <f t="shared" si="21"/>
        <v>-6.4613238371452357E-3</v>
      </c>
      <c r="L188" s="278">
        <f t="shared" si="22"/>
        <v>-1.0615711252653927E-2</v>
      </c>
      <c r="N188" s="271">
        <v>43661</v>
      </c>
      <c r="O188" s="277">
        <f t="shared" si="23"/>
        <v>-2.1741084279187421E-2</v>
      </c>
      <c r="P188" s="277">
        <f t="shared" si="24"/>
        <v>-4.3499936288531917E-3</v>
      </c>
      <c r="Q188" s="277">
        <f t="shared" si="25"/>
        <v>-7.7486069001743239E-3</v>
      </c>
      <c r="R188" s="278">
        <f t="shared" si="26"/>
        <v>-7.5666217503136263E-3</v>
      </c>
      <c r="S188" s="277"/>
      <c r="T188" s="277"/>
    </row>
    <row r="189" spans="2:20" x14ac:dyDescent="0.3">
      <c r="B189" s="271">
        <v>43662</v>
      </c>
      <c r="C189" s="273">
        <v>2203.6</v>
      </c>
      <c r="D189" s="273">
        <v>166.9</v>
      </c>
      <c r="E189" s="273">
        <v>1372.3</v>
      </c>
      <c r="F189" s="274">
        <v>103.85</v>
      </c>
      <c r="H189" s="271">
        <v>43662</v>
      </c>
      <c r="I189" s="277">
        <f t="shared" si="19"/>
        <v>1.1428833708174642E-2</v>
      </c>
      <c r="J189" s="277">
        <f t="shared" si="20"/>
        <v>8.9955022488759026E-4</v>
      </c>
      <c r="K189" s="277">
        <f t="shared" si="21"/>
        <v>1.4152163470420769E-2</v>
      </c>
      <c r="L189" s="278">
        <f t="shared" si="22"/>
        <v>0.11427038626609433</v>
      </c>
      <c r="N189" s="271">
        <v>43662</v>
      </c>
      <c r="O189" s="277">
        <f t="shared" si="23"/>
        <v>8.2029309768745801E-3</v>
      </c>
      <c r="P189" s="277">
        <f t="shared" si="24"/>
        <v>1.9178834674928283E-3</v>
      </c>
      <c r="Q189" s="277">
        <f t="shared" si="25"/>
        <v>1.286488040739168E-2</v>
      </c>
      <c r="R189" s="278">
        <f t="shared" si="26"/>
        <v>0.11731947576843463</v>
      </c>
      <c r="S189" s="277"/>
      <c r="T189" s="277"/>
    </row>
    <row r="190" spans="2:20" x14ac:dyDescent="0.3">
      <c r="B190" s="271">
        <v>43663</v>
      </c>
      <c r="C190" s="273">
        <v>2203.35</v>
      </c>
      <c r="D190" s="273">
        <v>168.65</v>
      </c>
      <c r="E190" s="273">
        <v>1395.9</v>
      </c>
      <c r="F190" s="274">
        <v>98.4</v>
      </c>
      <c r="H190" s="271">
        <v>43663</v>
      </c>
      <c r="I190" s="277">
        <f t="shared" si="19"/>
        <v>-1.1345071700853149E-4</v>
      </c>
      <c r="J190" s="277">
        <f t="shared" si="20"/>
        <v>1.0485320551228279E-2</v>
      </c>
      <c r="K190" s="277">
        <f t="shared" si="21"/>
        <v>1.7197405815055116E-2</v>
      </c>
      <c r="L190" s="278">
        <f t="shared" si="22"/>
        <v>-5.2479537794896378E-2</v>
      </c>
      <c r="N190" s="271">
        <v>43663</v>
      </c>
      <c r="O190" s="277">
        <f t="shared" si="23"/>
        <v>-3.3393534483085927E-3</v>
      </c>
      <c r="P190" s="277">
        <f t="shared" si="24"/>
        <v>1.1503653793833517E-2</v>
      </c>
      <c r="Q190" s="277">
        <f t="shared" si="25"/>
        <v>1.5910122752026027E-2</v>
      </c>
      <c r="R190" s="278">
        <f t="shared" si="26"/>
        <v>-4.9430448292556078E-2</v>
      </c>
      <c r="S190" s="277"/>
      <c r="T190" s="277"/>
    </row>
    <row r="191" spans="2:20" x14ac:dyDescent="0.3">
      <c r="B191" s="271">
        <v>43664</v>
      </c>
      <c r="C191" s="273">
        <v>2201.1999999999998</v>
      </c>
      <c r="D191" s="273">
        <v>163.05000000000001</v>
      </c>
      <c r="E191" s="273">
        <v>1384.95</v>
      </c>
      <c r="F191" s="274">
        <v>85.8</v>
      </c>
      <c r="H191" s="271">
        <v>43664</v>
      </c>
      <c r="I191" s="277">
        <f t="shared" si="19"/>
        <v>-9.7578686999346038E-4</v>
      </c>
      <c r="J191" s="277">
        <f t="shared" si="20"/>
        <v>-3.3204862140527688E-2</v>
      </c>
      <c r="K191" s="277">
        <f t="shared" si="21"/>
        <v>-7.8444014614227706E-3</v>
      </c>
      <c r="L191" s="278">
        <f t="shared" si="22"/>
        <v>-0.12804878048780496</v>
      </c>
      <c r="N191" s="271">
        <v>43664</v>
      </c>
      <c r="O191" s="277">
        <f t="shared" si="23"/>
        <v>-4.2016896012935217E-3</v>
      </c>
      <c r="P191" s="277">
        <f t="shared" si="24"/>
        <v>-3.2186528897922451E-2</v>
      </c>
      <c r="Q191" s="277">
        <f t="shared" si="25"/>
        <v>-9.1316845244518597E-3</v>
      </c>
      <c r="R191" s="278">
        <f t="shared" si="26"/>
        <v>-0.12499969098546466</v>
      </c>
      <c r="S191" s="277"/>
      <c r="T191" s="277"/>
    </row>
    <row r="192" spans="2:20" x14ac:dyDescent="0.3">
      <c r="B192" s="271">
        <v>43665</v>
      </c>
      <c r="C192" s="273">
        <v>2207.9499999999998</v>
      </c>
      <c r="D192" s="273">
        <v>161.25</v>
      </c>
      <c r="E192" s="273">
        <v>1369.1</v>
      </c>
      <c r="F192" s="274">
        <v>83.25</v>
      </c>
      <c r="H192" s="271">
        <v>43665</v>
      </c>
      <c r="I192" s="277">
        <f t="shared" si="19"/>
        <v>3.0665091768126481E-3</v>
      </c>
      <c r="J192" s="277">
        <f t="shared" si="20"/>
        <v>-1.1039558417663362E-2</v>
      </c>
      <c r="K192" s="277">
        <f t="shared" si="21"/>
        <v>-1.1444456478573332E-2</v>
      </c>
      <c r="L192" s="278">
        <f t="shared" si="22"/>
        <v>-2.9720279720279689E-2</v>
      </c>
      <c r="N192" s="271">
        <v>43665</v>
      </c>
      <c r="O192" s="277">
        <f t="shared" si="23"/>
        <v>-1.5939355448741331E-4</v>
      </c>
      <c r="P192" s="277">
        <f t="shared" si="24"/>
        <v>-1.0021225175058124E-2</v>
      </c>
      <c r="Q192" s="277">
        <f t="shared" si="25"/>
        <v>-1.2731739541602421E-2</v>
      </c>
      <c r="R192" s="278">
        <f t="shared" si="26"/>
        <v>-2.6671190217939386E-2</v>
      </c>
      <c r="S192" s="277"/>
      <c r="T192" s="277"/>
    </row>
    <row r="193" spans="2:20" x14ac:dyDescent="0.3">
      <c r="B193" s="271">
        <v>43668</v>
      </c>
      <c r="C193" s="273">
        <v>2198.8000000000002</v>
      </c>
      <c r="D193" s="273">
        <v>167.25</v>
      </c>
      <c r="E193" s="273">
        <v>1404.2</v>
      </c>
      <c r="F193" s="274">
        <v>91.15</v>
      </c>
      <c r="H193" s="271">
        <v>43668</v>
      </c>
      <c r="I193" s="277">
        <f t="shared" si="19"/>
        <v>-4.1441155823273342E-3</v>
      </c>
      <c r="J193" s="277">
        <f t="shared" si="20"/>
        <v>3.7209302325581395E-2</v>
      </c>
      <c r="K193" s="277">
        <f t="shared" si="21"/>
        <v>2.5637279964940574E-2</v>
      </c>
      <c r="L193" s="278">
        <f t="shared" si="22"/>
        <v>9.4894894894894957E-2</v>
      </c>
      <c r="N193" s="271">
        <v>43668</v>
      </c>
      <c r="O193" s="277">
        <f t="shared" si="23"/>
        <v>-7.3700183136273956E-3</v>
      </c>
      <c r="P193" s="277">
        <f t="shared" si="24"/>
        <v>3.8227635568186633E-2</v>
      </c>
      <c r="Q193" s="277">
        <f t="shared" si="25"/>
        <v>2.4349996901911485E-2</v>
      </c>
      <c r="R193" s="278">
        <f t="shared" si="26"/>
        <v>9.7943984397235256E-2</v>
      </c>
      <c r="S193" s="277"/>
      <c r="T193" s="277"/>
    </row>
    <row r="194" spans="2:20" x14ac:dyDescent="0.3">
      <c r="B194" s="271">
        <v>43669</v>
      </c>
      <c r="C194" s="273">
        <v>2204.5500000000002</v>
      </c>
      <c r="D194" s="273">
        <v>168.1</v>
      </c>
      <c r="E194" s="273">
        <v>1429.35</v>
      </c>
      <c r="F194" s="274">
        <v>90.65</v>
      </c>
      <c r="H194" s="271">
        <v>43669</v>
      </c>
      <c r="I194" s="277">
        <f t="shared" si="19"/>
        <v>2.615062761506276E-3</v>
      </c>
      <c r="J194" s="277">
        <f t="shared" si="20"/>
        <v>5.0822122571001155E-3</v>
      </c>
      <c r="K194" s="277">
        <f t="shared" si="21"/>
        <v>1.791055405212923E-2</v>
      </c>
      <c r="L194" s="278">
        <f t="shared" si="22"/>
        <v>-5.485463521667581E-3</v>
      </c>
      <c r="N194" s="271">
        <v>43669</v>
      </c>
      <c r="O194" s="277">
        <f t="shared" si="23"/>
        <v>-6.1083996979378538E-4</v>
      </c>
      <c r="P194" s="277">
        <f t="shared" si="24"/>
        <v>6.1005454997053532E-3</v>
      </c>
      <c r="Q194" s="277">
        <f t="shared" si="25"/>
        <v>1.6623270989100141E-2</v>
      </c>
      <c r="R194" s="278">
        <f t="shared" si="26"/>
        <v>-2.4363740193272796E-3</v>
      </c>
      <c r="S194" s="277"/>
      <c r="T194" s="277"/>
    </row>
    <row r="195" spans="2:20" x14ac:dyDescent="0.3">
      <c r="B195" s="271">
        <v>43670</v>
      </c>
      <c r="C195" s="273">
        <v>2201.25</v>
      </c>
      <c r="D195" s="273">
        <v>165.05</v>
      </c>
      <c r="E195" s="273">
        <v>1483.4</v>
      </c>
      <c r="F195" s="274">
        <v>89.15</v>
      </c>
      <c r="H195" s="271">
        <v>43670</v>
      </c>
      <c r="I195" s="277">
        <f t="shared" si="19"/>
        <v>-1.4969041300946595E-3</v>
      </c>
      <c r="J195" s="277">
        <f t="shared" si="20"/>
        <v>-1.8143961927424051E-2</v>
      </c>
      <c r="K195" s="277">
        <f t="shared" si="21"/>
        <v>3.7814391156819664E-2</v>
      </c>
      <c r="L195" s="278">
        <f t="shared" si="22"/>
        <v>-1.6547159404302261E-2</v>
      </c>
      <c r="N195" s="271">
        <v>43670</v>
      </c>
      <c r="O195" s="277">
        <f t="shared" si="23"/>
        <v>-4.7228068613947207E-3</v>
      </c>
      <c r="P195" s="277">
        <f t="shared" si="24"/>
        <v>-1.7125628684818813E-2</v>
      </c>
      <c r="Q195" s="277">
        <f t="shared" si="25"/>
        <v>3.6527108093790575E-2</v>
      </c>
      <c r="R195" s="278">
        <f t="shared" si="26"/>
        <v>-1.349806990196196E-2</v>
      </c>
      <c r="S195" s="277"/>
      <c r="T195" s="277"/>
    </row>
    <row r="196" spans="2:20" x14ac:dyDescent="0.3">
      <c r="B196" s="271">
        <v>43671</v>
      </c>
      <c r="C196" s="273">
        <v>2195</v>
      </c>
      <c r="D196" s="273">
        <v>171.45</v>
      </c>
      <c r="E196" s="273">
        <v>1495.85</v>
      </c>
      <c r="F196" s="274">
        <v>87.65</v>
      </c>
      <c r="H196" s="271">
        <v>43671</v>
      </c>
      <c r="I196" s="277">
        <f t="shared" si="19"/>
        <v>-2.8392958546280523E-3</v>
      </c>
      <c r="J196" s="277">
        <f t="shared" si="20"/>
        <v>3.8776128445925338E-2</v>
      </c>
      <c r="K196" s="277">
        <f t="shared" si="21"/>
        <v>8.3928812188215022E-3</v>
      </c>
      <c r="L196" s="278">
        <f t="shared" si="22"/>
        <v>-1.6825574873808188E-2</v>
      </c>
      <c r="N196" s="271">
        <v>43671</v>
      </c>
      <c r="O196" s="277">
        <f t="shared" si="23"/>
        <v>-6.0651985859281141E-3</v>
      </c>
      <c r="P196" s="277">
        <f t="shared" si="24"/>
        <v>3.9794461688530576E-2</v>
      </c>
      <c r="Q196" s="277">
        <f t="shared" si="25"/>
        <v>7.1055981557924131E-3</v>
      </c>
      <c r="R196" s="278">
        <f t="shared" si="26"/>
        <v>-1.3776485371467887E-2</v>
      </c>
      <c r="S196" s="277"/>
      <c r="T196" s="277"/>
    </row>
    <row r="197" spans="2:20" x14ac:dyDescent="0.3">
      <c r="B197" s="271">
        <v>43672</v>
      </c>
      <c r="C197" s="273">
        <v>2197.8000000000002</v>
      </c>
      <c r="D197" s="273">
        <v>164.1</v>
      </c>
      <c r="E197" s="273">
        <v>1526.45</v>
      </c>
      <c r="F197" s="274">
        <v>96.05</v>
      </c>
      <c r="H197" s="271">
        <v>43672</v>
      </c>
      <c r="I197" s="277">
        <f t="shared" si="19"/>
        <v>1.2756264236902879E-3</v>
      </c>
      <c r="J197" s="277">
        <f t="shared" si="20"/>
        <v>-4.2869641294838112E-2</v>
      </c>
      <c r="K197" s="277">
        <f t="shared" si="21"/>
        <v>2.0456596583882165E-2</v>
      </c>
      <c r="L197" s="278">
        <f t="shared" si="22"/>
        <v>9.5835710211066641E-2</v>
      </c>
      <c r="N197" s="271">
        <v>43672</v>
      </c>
      <c r="O197" s="277">
        <f t="shared" si="23"/>
        <v>-1.9502763076097735E-3</v>
      </c>
      <c r="P197" s="277">
        <f t="shared" si="24"/>
        <v>-4.1851308052232875E-2</v>
      </c>
      <c r="Q197" s="277">
        <f t="shared" si="25"/>
        <v>1.9169313520853076E-2</v>
      </c>
      <c r="R197" s="278">
        <f t="shared" si="26"/>
        <v>9.888479971340694E-2</v>
      </c>
      <c r="S197" s="277"/>
      <c r="T197" s="277"/>
    </row>
    <row r="198" spans="2:20" x14ac:dyDescent="0.3">
      <c r="B198" s="271">
        <v>43675</v>
      </c>
      <c r="C198" s="273">
        <v>2140.25</v>
      </c>
      <c r="D198" s="273">
        <v>155.65</v>
      </c>
      <c r="E198" s="273">
        <v>1513.25</v>
      </c>
      <c r="F198" s="274">
        <v>94.75</v>
      </c>
      <c r="H198" s="271">
        <v>43675</v>
      </c>
      <c r="I198" s="277">
        <f t="shared" si="19"/>
        <v>-2.6185276185276267E-2</v>
      </c>
      <c r="J198" s="277">
        <f t="shared" si="20"/>
        <v>-5.1492992078001149E-2</v>
      </c>
      <c r="K198" s="277">
        <f t="shared" si="21"/>
        <v>-8.6475154770873884E-3</v>
      </c>
      <c r="L198" s="278">
        <f t="shared" si="22"/>
        <v>-1.353461738677769E-2</v>
      </c>
      <c r="N198" s="271">
        <v>43675</v>
      </c>
      <c r="O198" s="277">
        <f t="shared" si="23"/>
        <v>-2.9411178916576328E-2</v>
      </c>
      <c r="P198" s="277">
        <f t="shared" si="24"/>
        <v>-5.0474658835395911E-2</v>
      </c>
      <c r="Q198" s="277">
        <f t="shared" si="25"/>
        <v>-9.9347985401164775E-3</v>
      </c>
      <c r="R198" s="278">
        <f t="shared" si="26"/>
        <v>-1.0485527884437389E-2</v>
      </c>
      <c r="S198" s="277"/>
      <c r="T198" s="277"/>
    </row>
    <row r="199" spans="2:20" x14ac:dyDescent="0.3">
      <c r="B199" s="271">
        <v>43676</v>
      </c>
      <c r="C199" s="273">
        <v>2043.1</v>
      </c>
      <c r="D199" s="273">
        <v>150.6</v>
      </c>
      <c r="E199" s="273">
        <v>1508.75</v>
      </c>
      <c r="F199" s="274">
        <v>86.05</v>
      </c>
      <c r="H199" s="271">
        <v>43676</v>
      </c>
      <c r="I199" s="277">
        <f t="shared" si="19"/>
        <v>-4.5391893470389015E-2</v>
      </c>
      <c r="J199" s="277">
        <f t="shared" si="20"/>
        <v>-3.2444587214905306E-2</v>
      </c>
      <c r="K199" s="277">
        <f t="shared" si="21"/>
        <v>-2.9737320337022964E-3</v>
      </c>
      <c r="L199" s="278">
        <f t="shared" si="22"/>
        <v>-9.1820580474934063E-2</v>
      </c>
      <c r="N199" s="271">
        <v>43676</v>
      </c>
      <c r="O199" s="277">
        <f t="shared" si="23"/>
        <v>-4.8617796201689073E-2</v>
      </c>
      <c r="P199" s="277">
        <f t="shared" si="24"/>
        <v>-3.1426253972300068E-2</v>
      </c>
      <c r="Q199" s="277">
        <f t="shared" si="25"/>
        <v>-4.261015096731385E-3</v>
      </c>
      <c r="R199" s="278">
        <f t="shared" si="26"/>
        <v>-8.8771490972593764E-2</v>
      </c>
      <c r="S199" s="277"/>
      <c r="T199" s="277"/>
    </row>
    <row r="200" spans="2:20" x14ac:dyDescent="0.3">
      <c r="B200" s="271">
        <v>43677</v>
      </c>
      <c r="C200" s="273">
        <v>2129.4499999999998</v>
      </c>
      <c r="D200" s="273">
        <v>154.1</v>
      </c>
      <c r="E200" s="273">
        <v>1521.1</v>
      </c>
      <c r="F200" s="274">
        <v>91.2</v>
      </c>
      <c r="H200" s="271">
        <v>43677</v>
      </c>
      <c r="I200" s="277">
        <f t="shared" si="19"/>
        <v>4.2264206353090847E-2</v>
      </c>
      <c r="J200" s="277">
        <f t="shared" si="20"/>
        <v>2.3240371845949535E-2</v>
      </c>
      <c r="K200" s="277">
        <f t="shared" si="21"/>
        <v>8.1855840927919869E-3</v>
      </c>
      <c r="L200" s="278">
        <f t="shared" si="22"/>
        <v>5.984892504357938E-2</v>
      </c>
      <c r="N200" s="271">
        <v>43677</v>
      </c>
      <c r="O200" s="277">
        <f t="shared" si="23"/>
        <v>3.9038303621790782E-2</v>
      </c>
      <c r="P200" s="277">
        <f t="shared" si="24"/>
        <v>2.4258705088554773E-2</v>
      </c>
      <c r="Q200" s="277">
        <f t="shared" si="25"/>
        <v>6.8983010297628978E-3</v>
      </c>
      <c r="R200" s="278">
        <f t="shared" si="26"/>
        <v>6.2898014545919687E-2</v>
      </c>
      <c r="S200" s="277"/>
      <c r="T200" s="277"/>
    </row>
    <row r="201" spans="2:20" x14ac:dyDescent="0.3">
      <c r="B201" s="271">
        <v>43678</v>
      </c>
      <c r="C201" s="273">
        <v>1994.35</v>
      </c>
      <c r="D201" s="273">
        <v>145.44999999999999</v>
      </c>
      <c r="E201" s="273">
        <v>1504.7</v>
      </c>
      <c r="F201" s="274">
        <v>88.4</v>
      </c>
      <c r="H201" s="271">
        <v>43678</v>
      </c>
      <c r="I201" s="277">
        <f t="shared" si="19"/>
        <v>-6.3443612200333385E-2</v>
      </c>
      <c r="J201" s="277">
        <f t="shared" si="20"/>
        <v>-5.6132381570408861E-2</v>
      </c>
      <c r="K201" s="277">
        <f t="shared" si="21"/>
        <v>-1.078167115902956E-2</v>
      </c>
      <c r="L201" s="278">
        <f t="shared" si="22"/>
        <v>-3.0701754385964879E-2</v>
      </c>
      <c r="N201" s="271">
        <v>43678</v>
      </c>
      <c r="O201" s="277">
        <f t="shared" si="23"/>
        <v>-6.666951493163345E-2</v>
      </c>
      <c r="P201" s="277">
        <f t="shared" si="24"/>
        <v>-5.5114048327803623E-2</v>
      </c>
      <c r="Q201" s="277">
        <f t="shared" si="25"/>
        <v>-1.2068954222058649E-2</v>
      </c>
      <c r="R201" s="278">
        <f t="shared" si="26"/>
        <v>-2.7652664883624577E-2</v>
      </c>
      <c r="S201" s="277"/>
      <c r="T201" s="277"/>
    </row>
    <row r="202" spans="2:20" x14ac:dyDescent="0.3">
      <c r="B202" s="271">
        <v>43679</v>
      </c>
      <c r="C202" s="273">
        <v>1963.6</v>
      </c>
      <c r="D202" s="273">
        <v>143</v>
      </c>
      <c r="E202" s="273">
        <v>1545.2</v>
      </c>
      <c r="F202" s="274">
        <v>88.3</v>
      </c>
      <c r="H202" s="271">
        <v>43679</v>
      </c>
      <c r="I202" s="277">
        <f t="shared" ref="I202:I265" si="27">(C202-C201)/C201</f>
        <v>-1.5418557424724848E-2</v>
      </c>
      <c r="J202" s="277">
        <f t="shared" ref="J202:J265" si="28">(D202-D201)/D201</f>
        <v>-1.6844276383636912E-2</v>
      </c>
      <c r="K202" s="277">
        <f t="shared" ref="K202:K265" si="29">(E202-E201)/E201</f>
        <v>2.6915664252010366E-2</v>
      </c>
      <c r="L202" s="278">
        <f t="shared" ref="L202:L265" si="30">(F202-F201)/F201</f>
        <v>-1.13122171945711E-3</v>
      </c>
      <c r="N202" s="271">
        <v>43679</v>
      </c>
      <c r="O202" s="277">
        <f t="shared" ref="O202:O265" si="31">I202-I$499</f>
        <v>-1.864446015602491E-2</v>
      </c>
      <c r="P202" s="277">
        <f t="shared" ref="P202:P265" si="32">J202-J$499</f>
        <v>-1.5825943141031674E-2</v>
      </c>
      <c r="Q202" s="277">
        <f t="shared" ref="Q202:Q265" si="33">K202-K$499</f>
        <v>2.5628381188981277E-2</v>
      </c>
      <c r="R202" s="278">
        <f t="shared" ref="R202:R265" si="34">L202-L$499</f>
        <v>1.9178677828831914E-3</v>
      </c>
      <c r="S202" s="277"/>
      <c r="T202" s="277"/>
    </row>
    <row r="203" spans="2:20" x14ac:dyDescent="0.3">
      <c r="B203" s="271">
        <v>43682</v>
      </c>
      <c r="C203" s="273">
        <v>1904.95</v>
      </c>
      <c r="D203" s="273">
        <v>140.69999999999999</v>
      </c>
      <c r="E203" s="273">
        <v>1525.4</v>
      </c>
      <c r="F203" s="274">
        <v>81.099999999999994</v>
      </c>
      <c r="H203" s="271">
        <v>43682</v>
      </c>
      <c r="I203" s="277">
        <f t="shared" si="27"/>
        <v>-2.9868608677938412E-2</v>
      </c>
      <c r="J203" s="277">
        <f t="shared" si="28"/>
        <v>-1.6083916083916162E-2</v>
      </c>
      <c r="K203" s="277">
        <f t="shared" si="29"/>
        <v>-1.2813875226507865E-2</v>
      </c>
      <c r="L203" s="278">
        <f t="shared" si="30"/>
        <v>-8.1540203850509654E-2</v>
      </c>
      <c r="N203" s="271">
        <v>43682</v>
      </c>
      <c r="O203" s="277">
        <f t="shared" si="31"/>
        <v>-3.309451140923847E-2</v>
      </c>
      <c r="P203" s="277">
        <f t="shared" si="32"/>
        <v>-1.5065582841310925E-2</v>
      </c>
      <c r="Q203" s="277">
        <f t="shared" si="33"/>
        <v>-1.4101158289536954E-2</v>
      </c>
      <c r="R203" s="278">
        <f t="shared" si="34"/>
        <v>-7.8491114348169355E-2</v>
      </c>
      <c r="S203" s="277"/>
      <c r="T203" s="277"/>
    </row>
    <row r="204" spans="2:20" x14ac:dyDescent="0.3">
      <c r="B204" s="271">
        <v>43683</v>
      </c>
      <c r="C204" s="273">
        <v>1884.35</v>
      </c>
      <c r="D204" s="273">
        <v>140.80000000000001</v>
      </c>
      <c r="E204" s="273">
        <v>1565.85</v>
      </c>
      <c r="F204" s="274">
        <v>85.35</v>
      </c>
      <c r="H204" s="271">
        <v>43683</v>
      </c>
      <c r="I204" s="277">
        <f t="shared" si="27"/>
        <v>-1.0813932124202806E-2</v>
      </c>
      <c r="J204" s="277">
        <f t="shared" si="28"/>
        <v>7.1073205401579775E-4</v>
      </c>
      <c r="K204" s="277">
        <f t="shared" si="29"/>
        <v>2.651763471876217E-2</v>
      </c>
      <c r="L204" s="278">
        <f t="shared" si="30"/>
        <v>5.2404438964241677E-2</v>
      </c>
      <c r="N204" s="271">
        <v>43683</v>
      </c>
      <c r="O204" s="277">
        <f t="shared" si="31"/>
        <v>-1.4039834855502867E-2</v>
      </c>
      <c r="P204" s="277">
        <f t="shared" si="32"/>
        <v>1.7290652966210356E-3</v>
      </c>
      <c r="Q204" s="277">
        <f t="shared" si="33"/>
        <v>2.5230351655733081E-2</v>
      </c>
      <c r="R204" s="278">
        <f t="shared" si="34"/>
        <v>5.5453528466581976E-2</v>
      </c>
      <c r="S204" s="277"/>
      <c r="T204" s="277"/>
    </row>
    <row r="205" spans="2:20" x14ac:dyDescent="0.3">
      <c r="B205" s="271">
        <v>43684</v>
      </c>
      <c r="C205" s="273">
        <v>1873.45</v>
      </c>
      <c r="D205" s="273">
        <v>136.65</v>
      </c>
      <c r="E205" s="273">
        <v>1559.2</v>
      </c>
      <c r="F205" s="274">
        <v>86.85</v>
      </c>
      <c r="H205" s="271">
        <v>43684</v>
      </c>
      <c r="I205" s="277">
        <f t="shared" si="27"/>
        <v>-5.7844880197414836E-3</v>
      </c>
      <c r="J205" s="277">
        <f t="shared" si="28"/>
        <v>-2.9474431818181854E-2</v>
      </c>
      <c r="K205" s="277">
        <f t="shared" si="29"/>
        <v>-4.246894657853475E-3</v>
      </c>
      <c r="L205" s="278">
        <f t="shared" si="30"/>
        <v>1.7574692442882251E-2</v>
      </c>
      <c r="N205" s="271">
        <v>43684</v>
      </c>
      <c r="O205" s="277">
        <f t="shared" si="31"/>
        <v>-9.010390751041545E-3</v>
      </c>
      <c r="P205" s="277">
        <f t="shared" si="32"/>
        <v>-2.8456098575576617E-2</v>
      </c>
      <c r="Q205" s="277">
        <f t="shared" si="33"/>
        <v>-5.5341777208825632E-3</v>
      </c>
      <c r="R205" s="278">
        <f t="shared" si="34"/>
        <v>2.0623781945222554E-2</v>
      </c>
      <c r="S205" s="277"/>
      <c r="T205" s="277"/>
    </row>
    <row r="206" spans="2:20" x14ac:dyDescent="0.3">
      <c r="B206" s="271">
        <v>43685</v>
      </c>
      <c r="C206" s="273">
        <v>1871.9</v>
      </c>
      <c r="D206" s="273">
        <v>138.69999999999999</v>
      </c>
      <c r="E206" s="273">
        <v>1565.9</v>
      </c>
      <c r="F206" s="274">
        <v>89.2</v>
      </c>
      <c r="H206" s="271">
        <v>43685</v>
      </c>
      <c r="I206" s="277">
        <f t="shared" si="27"/>
        <v>-8.2735060983744131E-4</v>
      </c>
      <c r="J206" s="277">
        <f t="shared" si="28"/>
        <v>1.5001829491401265E-2</v>
      </c>
      <c r="K206" s="277">
        <f t="shared" si="29"/>
        <v>4.2970754232940257E-3</v>
      </c>
      <c r="L206" s="278">
        <f t="shared" si="30"/>
        <v>2.7058146229130785E-2</v>
      </c>
      <c r="N206" s="271">
        <v>43685</v>
      </c>
      <c r="O206" s="277">
        <f t="shared" si="31"/>
        <v>-4.0532533411375025E-3</v>
      </c>
      <c r="P206" s="277">
        <f t="shared" si="32"/>
        <v>1.6020162734006502E-2</v>
      </c>
      <c r="Q206" s="277">
        <f t="shared" si="33"/>
        <v>3.0097923602649371E-3</v>
      </c>
      <c r="R206" s="278">
        <f t="shared" si="34"/>
        <v>3.0107235731471088E-2</v>
      </c>
      <c r="S206" s="277"/>
      <c r="T206" s="277"/>
    </row>
    <row r="207" spans="2:20" x14ac:dyDescent="0.3">
      <c r="B207" s="271">
        <v>43686</v>
      </c>
      <c r="C207" s="273">
        <v>1940.8</v>
      </c>
      <c r="D207" s="273">
        <v>141.5</v>
      </c>
      <c r="E207" s="273">
        <v>1575.5</v>
      </c>
      <c r="F207" s="274">
        <v>82.15</v>
      </c>
      <c r="H207" s="271">
        <v>43686</v>
      </c>
      <c r="I207" s="277">
        <f t="shared" si="27"/>
        <v>3.680752176932521E-2</v>
      </c>
      <c r="J207" s="277">
        <f t="shared" si="28"/>
        <v>2.0187454938716737E-2</v>
      </c>
      <c r="K207" s="277">
        <f t="shared" si="29"/>
        <v>6.1306596845264122E-3</v>
      </c>
      <c r="L207" s="278">
        <f t="shared" si="30"/>
        <v>-7.9035874439461848E-2</v>
      </c>
      <c r="N207" s="271">
        <v>43686</v>
      </c>
      <c r="O207" s="277">
        <f t="shared" si="31"/>
        <v>3.3581619038025146E-2</v>
      </c>
      <c r="P207" s="277">
        <f t="shared" si="32"/>
        <v>2.1205788181321975E-2</v>
      </c>
      <c r="Q207" s="277">
        <f t="shared" si="33"/>
        <v>4.843376621497324E-3</v>
      </c>
      <c r="R207" s="278">
        <f t="shared" si="34"/>
        <v>-7.5986784937121549E-2</v>
      </c>
      <c r="S207" s="277"/>
      <c r="T207" s="277"/>
    </row>
    <row r="208" spans="2:20" x14ac:dyDescent="0.3">
      <c r="B208" s="271">
        <v>43690</v>
      </c>
      <c r="C208" s="273">
        <v>1992.15</v>
      </c>
      <c r="D208" s="273">
        <v>139.75</v>
      </c>
      <c r="E208" s="273">
        <v>1573.35</v>
      </c>
      <c r="F208" s="274">
        <v>73.599999999999994</v>
      </c>
      <c r="H208" s="271">
        <v>43690</v>
      </c>
      <c r="I208" s="277">
        <f t="shared" si="27"/>
        <v>2.6458161582852503E-2</v>
      </c>
      <c r="J208" s="277">
        <f t="shared" si="28"/>
        <v>-1.2367491166077738E-2</v>
      </c>
      <c r="K208" s="277">
        <f t="shared" si="29"/>
        <v>-1.3646461440813018E-3</v>
      </c>
      <c r="L208" s="278">
        <f t="shared" si="30"/>
        <v>-0.10407790626902022</v>
      </c>
      <c r="N208" s="271">
        <v>43690</v>
      </c>
      <c r="O208" s="277">
        <f t="shared" si="31"/>
        <v>2.3232258851552442E-2</v>
      </c>
      <c r="P208" s="277">
        <f t="shared" si="32"/>
        <v>-1.13491579234725E-2</v>
      </c>
      <c r="Q208" s="277">
        <f t="shared" si="33"/>
        <v>-2.6519292071103904E-3</v>
      </c>
      <c r="R208" s="278">
        <f t="shared" si="34"/>
        <v>-0.10102881676667992</v>
      </c>
      <c r="S208" s="277"/>
      <c r="T208" s="277"/>
    </row>
    <row r="209" spans="2:20" x14ac:dyDescent="0.3">
      <c r="B209" s="271">
        <v>43691</v>
      </c>
      <c r="C209" s="273">
        <v>2350.65</v>
      </c>
      <c r="D209" s="273">
        <v>146.55000000000001</v>
      </c>
      <c r="E209" s="273">
        <v>1569.7</v>
      </c>
      <c r="F209" s="274">
        <v>76.55</v>
      </c>
      <c r="H209" s="271">
        <v>43691</v>
      </c>
      <c r="I209" s="277">
        <f t="shared" si="27"/>
        <v>0.17995632858971461</v>
      </c>
      <c r="J209" s="277">
        <f t="shared" si="28"/>
        <v>4.865831842576037E-2</v>
      </c>
      <c r="K209" s="277">
        <f t="shared" si="29"/>
        <v>-2.3198906791240754E-3</v>
      </c>
      <c r="L209" s="278">
        <f t="shared" si="30"/>
        <v>4.0081521739130474E-2</v>
      </c>
      <c r="N209" s="271">
        <v>43691</v>
      </c>
      <c r="O209" s="277">
        <f t="shared" si="31"/>
        <v>0.17673042585841456</v>
      </c>
      <c r="P209" s="277">
        <f t="shared" si="32"/>
        <v>4.9676651668365608E-2</v>
      </c>
      <c r="Q209" s="277">
        <f t="shared" si="33"/>
        <v>-3.607173742153164E-3</v>
      </c>
      <c r="R209" s="278">
        <f t="shared" si="34"/>
        <v>4.3130611241470773E-2</v>
      </c>
      <c r="S209" s="277"/>
      <c r="T209" s="277"/>
    </row>
    <row r="210" spans="2:20" x14ac:dyDescent="0.3">
      <c r="B210" s="271">
        <v>43693</v>
      </c>
      <c r="C210" s="273">
        <v>2364.9</v>
      </c>
      <c r="D210" s="273">
        <v>144.4</v>
      </c>
      <c r="E210" s="273">
        <v>1597.45</v>
      </c>
      <c r="F210" s="274">
        <v>79.45</v>
      </c>
      <c r="H210" s="271">
        <v>43693</v>
      </c>
      <c r="I210" s="277">
        <f t="shared" si="27"/>
        <v>6.0621530215046902E-3</v>
      </c>
      <c r="J210" s="277">
        <f t="shared" si="28"/>
        <v>-1.4670760832480419E-2</v>
      </c>
      <c r="K210" s="277">
        <f t="shared" si="29"/>
        <v>1.767853730012104E-2</v>
      </c>
      <c r="L210" s="278">
        <f t="shared" si="30"/>
        <v>3.7883736120182962E-2</v>
      </c>
      <c r="N210" s="271">
        <v>43693</v>
      </c>
      <c r="O210" s="277">
        <f t="shared" si="31"/>
        <v>2.8362502902046288E-3</v>
      </c>
      <c r="P210" s="277">
        <f t="shared" si="32"/>
        <v>-1.3652427589875182E-2</v>
      </c>
      <c r="Q210" s="277">
        <f t="shared" si="33"/>
        <v>1.6391254237091951E-2</v>
      </c>
      <c r="R210" s="278">
        <f t="shared" si="34"/>
        <v>4.0932825622523261E-2</v>
      </c>
      <c r="S210" s="277"/>
      <c r="T210" s="277"/>
    </row>
    <row r="211" spans="2:20" x14ac:dyDescent="0.3">
      <c r="B211" s="271">
        <v>43696</v>
      </c>
      <c r="C211" s="273">
        <v>2311.9499999999998</v>
      </c>
      <c r="D211" s="273">
        <v>144.30000000000001</v>
      </c>
      <c r="E211" s="273">
        <v>1586.45</v>
      </c>
      <c r="F211" s="274">
        <v>76.650000000000006</v>
      </c>
      <c r="H211" s="271">
        <v>43696</v>
      </c>
      <c r="I211" s="277">
        <f t="shared" si="27"/>
        <v>-2.23899530635546E-2</v>
      </c>
      <c r="J211" s="277">
        <f t="shared" si="28"/>
        <v>-6.9252077562322934E-4</v>
      </c>
      <c r="K211" s="277">
        <f t="shared" si="29"/>
        <v>-6.8859745218942687E-3</v>
      </c>
      <c r="L211" s="278">
        <f t="shared" si="30"/>
        <v>-3.524229074889864E-2</v>
      </c>
      <c r="N211" s="271">
        <v>43696</v>
      </c>
      <c r="O211" s="277">
        <f t="shared" si="31"/>
        <v>-2.5615855794854661E-2</v>
      </c>
      <c r="P211" s="277">
        <f t="shared" si="32"/>
        <v>3.2581246698200859E-4</v>
      </c>
      <c r="Q211" s="277">
        <f t="shared" si="33"/>
        <v>-8.1732575849233578E-3</v>
      </c>
      <c r="R211" s="278">
        <f t="shared" si="34"/>
        <v>-3.2193201246558341E-2</v>
      </c>
      <c r="S211" s="277"/>
      <c r="T211" s="277"/>
    </row>
    <row r="212" spans="2:20" x14ac:dyDescent="0.3">
      <c r="B212" s="271">
        <v>43697</v>
      </c>
      <c r="C212" s="273">
        <v>2211.3000000000002</v>
      </c>
      <c r="D212" s="273">
        <v>142.4</v>
      </c>
      <c r="E212" s="273">
        <v>1595.15</v>
      </c>
      <c r="F212" s="274">
        <v>71.2</v>
      </c>
      <c r="H212" s="271">
        <v>43697</v>
      </c>
      <c r="I212" s="277">
        <f t="shared" si="27"/>
        <v>-4.353467851813389E-2</v>
      </c>
      <c r="J212" s="277">
        <f t="shared" si="28"/>
        <v>-1.3167013167013205E-2</v>
      </c>
      <c r="K212" s="277">
        <f t="shared" si="29"/>
        <v>5.4839421349554317E-3</v>
      </c>
      <c r="L212" s="278">
        <f t="shared" si="30"/>
        <v>-7.1102413568167031E-2</v>
      </c>
      <c r="N212" s="271">
        <v>43697</v>
      </c>
      <c r="O212" s="277">
        <f t="shared" si="31"/>
        <v>-4.6760581249433955E-2</v>
      </c>
      <c r="P212" s="277">
        <f t="shared" si="32"/>
        <v>-1.2148679924407968E-2</v>
      </c>
      <c r="Q212" s="277">
        <f t="shared" si="33"/>
        <v>4.1966590719263435E-3</v>
      </c>
      <c r="R212" s="278">
        <f t="shared" si="34"/>
        <v>-6.8053324065826731E-2</v>
      </c>
      <c r="S212" s="277"/>
      <c r="T212" s="277"/>
    </row>
    <row r="213" spans="2:20" x14ac:dyDescent="0.3">
      <c r="B213" s="271">
        <v>43698</v>
      </c>
      <c r="C213" s="273">
        <v>2214.5500000000002</v>
      </c>
      <c r="D213" s="273">
        <v>139.94999999999999</v>
      </c>
      <c r="E213" s="273">
        <v>1589.15</v>
      </c>
      <c r="F213" s="274">
        <v>65.400000000000006</v>
      </c>
      <c r="H213" s="271">
        <v>43698</v>
      </c>
      <c r="I213" s="277">
        <f t="shared" si="27"/>
        <v>1.469723691945914E-3</v>
      </c>
      <c r="J213" s="277">
        <f t="shared" si="28"/>
        <v>-1.7205056179775399E-2</v>
      </c>
      <c r="K213" s="277">
        <f t="shared" si="29"/>
        <v>-3.7614017490518129E-3</v>
      </c>
      <c r="L213" s="278">
        <f t="shared" si="30"/>
        <v>-8.1460674157303334E-2</v>
      </c>
      <c r="N213" s="271">
        <v>43698</v>
      </c>
      <c r="O213" s="277">
        <f t="shared" si="31"/>
        <v>-1.7561790393541474E-3</v>
      </c>
      <c r="P213" s="277">
        <f t="shared" si="32"/>
        <v>-1.6186722937170162E-2</v>
      </c>
      <c r="Q213" s="277">
        <f t="shared" si="33"/>
        <v>-5.048684812080902E-3</v>
      </c>
      <c r="R213" s="278">
        <f t="shared" si="34"/>
        <v>-7.8411584654963035E-2</v>
      </c>
      <c r="S213" s="277"/>
      <c r="T213" s="277"/>
    </row>
    <row r="214" spans="2:20" x14ac:dyDescent="0.3">
      <c r="B214" s="271">
        <v>43699</v>
      </c>
      <c r="C214" s="273">
        <v>2302</v>
      </c>
      <c r="D214" s="273">
        <v>129.05000000000001</v>
      </c>
      <c r="E214" s="273">
        <v>1570.2</v>
      </c>
      <c r="F214" s="274">
        <v>56.3</v>
      </c>
      <c r="H214" s="271">
        <v>43699</v>
      </c>
      <c r="I214" s="277">
        <f t="shared" si="27"/>
        <v>3.9488835203540136E-2</v>
      </c>
      <c r="J214" s="277">
        <f t="shared" si="28"/>
        <v>-7.788495891389767E-2</v>
      </c>
      <c r="K214" s="277">
        <f t="shared" si="29"/>
        <v>-1.1924613787244782E-2</v>
      </c>
      <c r="L214" s="278">
        <f t="shared" si="30"/>
        <v>-0.13914373088685028</v>
      </c>
      <c r="N214" s="271">
        <v>43699</v>
      </c>
      <c r="O214" s="277">
        <f t="shared" si="31"/>
        <v>3.6262932472240078E-2</v>
      </c>
      <c r="P214" s="277">
        <f t="shared" si="32"/>
        <v>-7.6866625671292432E-2</v>
      </c>
      <c r="Q214" s="277">
        <f t="shared" si="33"/>
        <v>-1.3211896850273871E-2</v>
      </c>
      <c r="R214" s="278">
        <f t="shared" si="34"/>
        <v>-0.13609464138450997</v>
      </c>
      <c r="S214" s="277"/>
      <c r="T214" s="277"/>
    </row>
    <row r="215" spans="2:20" x14ac:dyDescent="0.3">
      <c r="B215" s="271">
        <v>43700</v>
      </c>
      <c r="C215" s="273">
        <v>2320.9499999999998</v>
      </c>
      <c r="D215" s="273">
        <v>137.4</v>
      </c>
      <c r="E215" s="273">
        <v>1580.4</v>
      </c>
      <c r="F215" s="274">
        <v>59.25</v>
      </c>
      <c r="H215" s="271">
        <v>43700</v>
      </c>
      <c r="I215" s="277">
        <f t="shared" si="27"/>
        <v>8.2319721980885392E-3</v>
      </c>
      <c r="J215" s="277">
        <f t="shared" si="28"/>
        <v>6.4703603254552447E-2</v>
      </c>
      <c r="K215" s="277">
        <f t="shared" si="29"/>
        <v>6.4959877722583397E-3</v>
      </c>
      <c r="L215" s="278">
        <f t="shared" si="30"/>
        <v>5.2397868561278919E-2</v>
      </c>
      <c r="N215" s="271">
        <v>43700</v>
      </c>
      <c r="O215" s="277">
        <f t="shared" si="31"/>
        <v>5.0060694667884778E-3</v>
      </c>
      <c r="P215" s="277">
        <f t="shared" si="32"/>
        <v>6.5721936497157685E-2</v>
      </c>
      <c r="Q215" s="277">
        <f t="shared" si="33"/>
        <v>5.2087047092292515E-3</v>
      </c>
      <c r="R215" s="278">
        <f t="shared" si="34"/>
        <v>5.5446958063619219E-2</v>
      </c>
      <c r="S215" s="277"/>
      <c r="T215" s="277"/>
    </row>
    <row r="216" spans="2:20" x14ac:dyDescent="0.3">
      <c r="B216" s="271">
        <v>43703</v>
      </c>
      <c r="C216" s="273">
        <v>2392.25</v>
      </c>
      <c r="D216" s="273">
        <v>135.05000000000001</v>
      </c>
      <c r="E216" s="273">
        <v>1597.55</v>
      </c>
      <c r="F216" s="274">
        <v>62.9</v>
      </c>
      <c r="H216" s="271">
        <v>43703</v>
      </c>
      <c r="I216" s="277">
        <f t="shared" si="27"/>
        <v>3.0720179236950466E-2</v>
      </c>
      <c r="J216" s="277">
        <f t="shared" si="28"/>
        <v>-1.7103347889374048E-2</v>
      </c>
      <c r="K216" s="277">
        <f t="shared" si="29"/>
        <v>1.0851683118197838E-2</v>
      </c>
      <c r="L216" s="278">
        <f t="shared" si="30"/>
        <v>6.1603375527426139E-2</v>
      </c>
      <c r="N216" s="271">
        <v>43703</v>
      </c>
      <c r="O216" s="277">
        <f t="shared" si="31"/>
        <v>2.7494276505650405E-2</v>
      </c>
      <c r="P216" s="277">
        <f t="shared" si="32"/>
        <v>-1.608501464676881E-2</v>
      </c>
      <c r="Q216" s="277">
        <f t="shared" si="33"/>
        <v>9.5644000551687487E-3</v>
      </c>
      <c r="R216" s="278">
        <f t="shared" si="34"/>
        <v>6.4652465029766445E-2</v>
      </c>
      <c r="S216" s="277"/>
      <c r="T216" s="277"/>
    </row>
    <row r="217" spans="2:20" x14ac:dyDescent="0.3">
      <c r="B217" s="271">
        <v>43704</v>
      </c>
      <c r="C217" s="273">
        <v>2546.75</v>
      </c>
      <c r="D217" s="273">
        <v>138.1</v>
      </c>
      <c r="E217" s="273">
        <v>1599.45</v>
      </c>
      <c r="F217" s="274">
        <v>64.5</v>
      </c>
      <c r="H217" s="271">
        <v>43704</v>
      </c>
      <c r="I217" s="277">
        <f t="shared" si="27"/>
        <v>6.4583551050266488E-2</v>
      </c>
      <c r="J217" s="277">
        <f t="shared" si="28"/>
        <v>2.258422806367999E-2</v>
      </c>
      <c r="K217" s="277">
        <f t="shared" si="29"/>
        <v>1.1893211480079441E-3</v>
      </c>
      <c r="L217" s="278">
        <f t="shared" si="30"/>
        <v>2.5437201907790166E-2</v>
      </c>
      <c r="N217" s="271">
        <v>43704</v>
      </c>
      <c r="O217" s="277">
        <f t="shared" si="31"/>
        <v>6.1357648318966423E-2</v>
      </c>
      <c r="P217" s="277">
        <f t="shared" si="32"/>
        <v>2.3602561306285227E-2</v>
      </c>
      <c r="Q217" s="277">
        <f t="shared" si="33"/>
        <v>-9.7961915021144499E-5</v>
      </c>
      <c r="R217" s="278">
        <f t="shared" si="34"/>
        <v>2.8486291410130468E-2</v>
      </c>
      <c r="S217" s="277"/>
      <c r="T217" s="277"/>
    </row>
    <row r="218" spans="2:20" x14ac:dyDescent="0.3">
      <c r="B218" s="271">
        <v>43705</v>
      </c>
      <c r="C218" s="273">
        <v>2692.85</v>
      </c>
      <c r="D218" s="273">
        <v>132.35</v>
      </c>
      <c r="E218" s="273">
        <v>1603.15</v>
      </c>
      <c r="F218" s="274">
        <v>59.5</v>
      </c>
      <c r="H218" s="271">
        <v>43705</v>
      </c>
      <c r="I218" s="277">
        <f t="shared" si="27"/>
        <v>5.7367232747619477E-2</v>
      </c>
      <c r="J218" s="277">
        <f t="shared" si="28"/>
        <v>-4.1636495293265754E-2</v>
      </c>
      <c r="K218" s="277">
        <f t="shared" si="29"/>
        <v>2.3132951952233864E-3</v>
      </c>
      <c r="L218" s="278">
        <f t="shared" si="30"/>
        <v>-7.7519379844961239E-2</v>
      </c>
      <c r="N218" s="271">
        <v>43705</v>
      </c>
      <c r="O218" s="277">
        <f t="shared" si="31"/>
        <v>5.4141330016319419E-2</v>
      </c>
      <c r="P218" s="277">
        <f t="shared" si="32"/>
        <v>-4.0618162050660517E-2</v>
      </c>
      <c r="Q218" s="277">
        <f t="shared" si="33"/>
        <v>1.0260121321942978E-3</v>
      </c>
      <c r="R218" s="278">
        <f t="shared" si="34"/>
        <v>-7.447029034262094E-2</v>
      </c>
      <c r="S218" s="277"/>
      <c r="T218" s="277"/>
    </row>
    <row r="219" spans="2:20" x14ac:dyDescent="0.3">
      <c r="B219" s="271">
        <v>43706</v>
      </c>
      <c r="C219" s="273">
        <v>2640.95</v>
      </c>
      <c r="D219" s="273">
        <v>135.75</v>
      </c>
      <c r="E219" s="273">
        <v>1615.25</v>
      </c>
      <c r="F219" s="274">
        <v>57.4</v>
      </c>
      <c r="H219" s="271">
        <v>43706</v>
      </c>
      <c r="I219" s="277">
        <f t="shared" si="27"/>
        <v>-1.9273260671779004E-2</v>
      </c>
      <c r="J219" s="277">
        <f t="shared" si="28"/>
        <v>2.5689459765772617E-2</v>
      </c>
      <c r="K219" s="277">
        <f t="shared" si="29"/>
        <v>7.5476405826029429E-3</v>
      </c>
      <c r="L219" s="278">
        <f t="shared" si="30"/>
        <v>-3.5294117647058851E-2</v>
      </c>
      <c r="N219" s="271">
        <v>43706</v>
      </c>
      <c r="O219" s="277">
        <f t="shared" si="31"/>
        <v>-2.2499163403079066E-2</v>
      </c>
      <c r="P219" s="277">
        <f t="shared" si="32"/>
        <v>2.6707793008377854E-2</v>
      </c>
      <c r="Q219" s="277">
        <f t="shared" si="33"/>
        <v>6.2603575195738538E-3</v>
      </c>
      <c r="R219" s="278">
        <f t="shared" si="34"/>
        <v>-3.2245028144718552E-2</v>
      </c>
      <c r="S219" s="277"/>
      <c r="T219" s="277"/>
    </row>
    <row r="220" spans="2:20" x14ac:dyDescent="0.3">
      <c r="B220" s="271">
        <v>43707</v>
      </c>
      <c r="C220" s="273">
        <v>2660.2</v>
      </c>
      <c r="D220" s="273">
        <v>139.15</v>
      </c>
      <c r="E220" s="273">
        <v>1616.2</v>
      </c>
      <c r="F220" s="274">
        <v>59.95</v>
      </c>
      <c r="H220" s="271">
        <v>43707</v>
      </c>
      <c r="I220" s="277">
        <f t="shared" si="27"/>
        <v>7.2890437153297115E-3</v>
      </c>
      <c r="J220" s="277">
        <f t="shared" si="28"/>
        <v>2.5046040515653817E-2</v>
      </c>
      <c r="K220" s="277">
        <f t="shared" si="29"/>
        <v>5.8814425011610922E-4</v>
      </c>
      <c r="L220" s="278">
        <f t="shared" si="30"/>
        <v>4.4425087108014009E-2</v>
      </c>
      <c r="N220" s="271">
        <v>43707</v>
      </c>
      <c r="O220" s="277">
        <f t="shared" si="31"/>
        <v>4.0631409840296501E-3</v>
      </c>
      <c r="P220" s="277">
        <f t="shared" si="32"/>
        <v>2.6064373758259055E-2</v>
      </c>
      <c r="Q220" s="277">
        <f t="shared" si="33"/>
        <v>-6.9913881291297942E-4</v>
      </c>
      <c r="R220" s="278">
        <f t="shared" si="34"/>
        <v>4.7474176610354309E-2</v>
      </c>
      <c r="S220" s="277"/>
      <c r="T220" s="277"/>
    </row>
    <row r="221" spans="2:20" x14ac:dyDescent="0.3">
      <c r="B221" s="271">
        <v>43711</v>
      </c>
      <c r="C221" s="273">
        <v>2648.4</v>
      </c>
      <c r="D221" s="273">
        <v>134.15</v>
      </c>
      <c r="E221" s="273">
        <v>1576.75</v>
      </c>
      <c r="F221" s="274">
        <v>58.75</v>
      </c>
      <c r="H221" s="271">
        <v>43711</v>
      </c>
      <c r="I221" s="277">
        <f t="shared" si="27"/>
        <v>-4.4357567100217002E-3</v>
      </c>
      <c r="J221" s="277">
        <f t="shared" si="28"/>
        <v>-3.5932446999640676E-2</v>
      </c>
      <c r="K221" s="277">
        <f t="shared" si="29"/>
        <v>-2.4409107783690164E-2</v>
      </c>
      <c r="L221" s="278">
        <f t="shared" si="30"/>
        <v>-2.0016680567139331E-2</v>
      </c>
      <c r="N221" s="271">
        <v>43711</v>
      </c>
      <c r="O221" s="277">
        <f t="shared" si="31"/>
        <v>-7.6616594413217616E-3</v>
      </c>
      <c r="P221" s="277">
        <f t="shared" si="32"/>
        <v>-3.4914113757035438E-2</v>
      </c>
      <c r="Q221" s="277">
        <f t="shared" si="33"/>
        <v>-2.5696390846719253E-2</v>
      </c>
      <c r="R221" s="278">
        <f t="shared" si="34"/>
        <v>-1.6967591064799028E-2</v>
      </c>
      <c r="S221" s="277"/>
      <c r="T221" s="277"/>
    </row>
    <row r="222" spans="2:20" x14ac:dyDescent="0.3">
      <c r="B222" s="271">
        <v>43712</v>
      </c>
      <c r="C222" s="273">
        <v>2605.25</v>
      </c>
      <c r="D222" s="273">
        <v>136.69999999999999</v>
      </c>
      <c r="E222" s="273">
        <v>1535.15</v>
      </c>
      <c r="F222" s="274">
        <v>59.45</v>
      </c>
      <c r="H222" s="271">
        <v>43712</v>
      </c>
      <c r="I222" s="277">
        <f t="shared" si="27"/>
        <v>-1.6292856064038699E-2</v>
      </c>
      <c r="J222" s="277">
        <f t="shared" si="28"/>
        <v>1.9008572493477323E-2</v>
      </c>
      <c r="K222" s="277">
        <f t="shared" si="29"/>
        <v>-2.6383383542096028E-2</v>
      </c>
      <c r="L222" s="278">
        <f t="shared" si="30"/>
        <v>1.1914893617021326E-2</v>
      </c>
      <c r="N222" s="271">
        <v>43712</v>
      </c>
      <c r="O222" s="277">
        <f t="shared" si="31"/>
        <v>-1.9518758795338761E-2</v>
      </c>
      <c r="P222" s="277">
        <f t="shared" si="32"/>
        <v>2.0026905736082561E-2</v>
      </c>
      <c r="Q222" s="277">
        <f t="shared" si="33"/>
        <v>-2.7670666605125117E-2</v>
      </c>
      <c r="R222" s="278">
        <f t="shared" si="34"/>
        <v>1.4963983119361627E-2</v>
      </c>
      <c r="S222" s="277"/>
      <c r="T222" s="277"/>
    </row>
    <row r="223" spans="2:20" x14ac:dyDescent="0.3">
      <c r="B223" s="271">
        <v>43713</v>
      </c>
      <c r="C223" s="273">
        <v>2529.1</v>
      </c>
      <c r="D223" s="273">
        <v>139.30000000000001</v>
      </c>
      <c r="E223" s="273">
        <v>1519.75</v>
      </c>
      <c r="F223" s="274">
        <v>61.95</v>
      </c>
      <c r="H223" s="271">
        <v>43713</v>
      </c>
      <c r="I223" s="277">
        <f t="shared" si="27"/>
        <v>-2.92294405527301E-2</v>
      </c>
      <c r="J223" s="277">
        <f t="shared" si="28"/>
        <v>1.9019751280175735E-2</v>
      </c>
      <c r="K223" s="277">
        <f t="shared" si="29"/>
        <v>-1.0031593003941042E-2</v>
      </c>
      <c r="L223" s="278">
        <f t="shared" si="30"/>
        <v>4.2052144659377629E-2</v>
      </c>
      <c r="N223" s="271">
        <v>43713</v>
      </c>
      <c r="O223" s="277">
        <f t="shared" si="31"/>
        <v>-3.2455343284030158E-2</v>
      </c>
      <c r="P223" s="277">
        <f t="shared" si="32"/>
        <v>2.0038084522780972E-2</v>
      </c>
      <c r="Q223" s="277">
        <f t="shared" si="33"/>
        <v>-1.1318876066970131E-2</v>
      </c>
      <c r="R223" s="278">
        <f t="shared" si="34"/>
        <v>4.5101234161717928E-2</v>
      </c>
      <c r="S223" s="277"/>
      <c r="T223" s="277"/>
    </row>
    <row r="224" spans="2:20" x14ac:dyDescent="0.3">
      <c r="B224" s="271">
        <v>43714</v>
      </c>
      <c r="C224" s="273">
        <v>2516.6999999999998</v>
      </c>
      <c r="D224" s="273">
        <v>141.80000000000001</v>
      </c>
      <c r="E224" s="273">
        <v>1532.4</v>
      </c>
      <c r="F224" s="274">
        <v>60.4</v>
      </c>
      <c r="H224" s="271">
        <v>43714</v>
      </c>
      <c r="I224" s="277">
        <f t="shared" si="27"/>
        <v>-4.9029298960104745E-3</v>
      </c>
      <c r="J224" s="277">
        <f t="shared" si="28"/>
        <v>1.7946877243359655E-2</v>
      </c>
      <c r="K224" s="277">
        <f t="shared" si="29"/>
        <v>8.3237374568186154E-3</v>
      </c>
      <c r="L224" s="278">
        <f t="shared" si="30"/>
        <v>-2.5020177562550511E-2</v>
      </c>
      <c r="N224" s="271">
        <v>43714</v>
      </c>
      <c r="O224" s="277">
        <f t="shared" si="31"/>
        <v>-8.1288326273105359E-3</v>
      </c>
      <c r="P224" s="277">
        <f t="shared" si="32"/>
        <v>1.8965210485964893E-2</v>
      </c>
      <c r="Q224" s="277">
        <f t="shared" si="33"/>
        <v>7.0364543937895263E-3</v>
      </c>
      <c r="R224" s="278">
        <f t="shared" si="34"/>
        <v>-2.1971088060210208E-2</v>
      </c>
      <c r="S224" s="277"/>
      <c r="T224" s="277"/>
    </row>
    <row r="225" spans="2:20" x14ac:dyDescent="0.3">
      <c r="B225" s="271">
        <v>43717</v>
      </c>
      <c r="C225" s="273">
        <v>2595.85</v>
      </c>
      <c r="D225" s="273">
        <v>141.25</v>
      </c>
      <c r="E225" s="273">
        <v>1540.6</v>
      </c>
      <c r="F225" s="274">
        <v>63.1</v>
      </c>
      <c r="H225" s="271">
        <v>43717</v>
      </c>
      <c r="I225" s="277">
        <f t="shared" si="27"/>
        <v>3.1449914570667974E-2</v>
      </c>
      <c r="J225" s="277">
        <f t="shared" si="28"/>
        <v>-3.8787023977433803E-3</v>
      </c>
      <c r="K225" s="277">
        <f t="shared" si="29"/>
        <v>5.3510832680761016E-3</v>
      </c>
      <c r="L225" s="278">
        <f t="shared" si="30"/>
        <v>4.4701986754966935E-2</v>
      </c>
      <c r="N225" s="271">
        <v>43717</v>
      </c>
      <c r="O225" s="277">
        <f t="shared" si="31"/>
        <v>2.8224011839367912E-2</v>
      </c>
      <c r="P225" s="277">
        <f t="shared" si="32"/>
        <v>-2.8603691551381425E-3</v>
      </c>
      <c r="Q225" s="277">
        <f t="shared" si="33"/>
        <v>4.0638002050470134E-3</v>
      </c>
      <c r="R225" s="278">
        <f t="shared" si="34"/>
        <v>4.7751076257307234E-2</v>
      </c>
      <c r="S225" s="277"/>
      <c r="T225" s="277"/>
    </row>
    <row r="226" spans="2:20" x14ac:dyDescent="0.3">
      <c r="B226" s="271">
        <v>43719</v>
      </c>
      <c r="C226" s="273">
        <v>2602.6999999999998</v>
      </c>
      <c r="D226" s="273">
        <v>146.30000000000001</v>
      </c>
      <c r="E226" s="273">
        <v>1561.45</v>
      </c>
      <c r="F226" s="274">
        <v>71.599999999999994</v>
      </c>
      <c r="H226" s="271">
        <v>43719</v>
      </c>
      <c r="I226" s="277">
        <f t="shared" si="27"/>
        <v>2.6388273590538395E-3</v>
      </c>
      <c r="J226" s="277">
        <f t="shared" si="28"/>
        <v>3.575221238938061E-2</v>
      </c>
      <c r="K226" s="277">
        <f t="shared" si="29"/>
        <v>1.353368817343901E-2</v>
      </c>
      <c r="L226" s="278">
        <f t="shared" si="30"/>
        <v>0.13470681458003159</v>
      </c>
      <c r="N226" s="271">
        <v>43719</v>
      </c>
      <c r="O226" s="277">
        <f t="shared" si="31"/>
        <v>-5.8707537224622196E-4</v>
      </c>
      <c r="P226" s="277">
        <f t="shared" si="32"/>
        <v>3.6770545631985847E-2</v>
      </c>
      <c r="Q226" s="277">
        <f t="shared" si="33"/>
        <v>1.2246405110409921E-2</v>
      </c>
      <c r="R226" s="278">
        <f t="shared" si="34"/>
        <v>0.1377559040823719</v>
      </c>
      <c r="S226" s="277"/>
      <c r="T226" s="277"/>
    </row>
    <row r="227" spans="2:20" x14ac:dyDescent="0.3">
      <c r="B227" s="271">
        <v>43720</v>
      </c>
      <c r="C227" s="273">
        <v>2527.5</v>
      </c>
      <c r="D227" s="273">
        <v>145.44999999999999</v>
      </c>
      <c r="E227" s="273">
        <v>1540.3</v>
      </c>
      <c r="F227" s="274">
        <v>67.95</v>
      </c>
      <c r="H227" s="271">
        <v>43720</v>
      </c>
      <c r="I227" s="277">
        <f t="shared" si="27"/>
        <v>-2.889307257847613E-2</v>
      </c>
      <c r="J227" s="277">
        <f t="shared" si="28"/>
        <v>-5.8099794941901756E-3</v>
      </c>
      <c r="K227" s="277">
        <f t="shared" si="29"/>
        <v>-1.3545102308751538E-2</v>
      </c>
      <c r="L227" s="278">
        <f t="shared" si="30"/>
        <v>-5.09776536312848E-2</v>
      </c>
      <c r="N227" s="271">
        <v>43720</v>
      </c>
      <c r="O227" s="277">
        <f t="shared" si="31"/>
        <v>-3.2118975309776192E-2</v>
      </c>
      <c r="P227" s="277">
        <f t="shared" si="32"/>
        <v>-4.7916462515849379E-3</v>
      </c>
      <c r="Q227" s="277">
        <f t="shared" si="33"/>
        <v>-1.4832385371780627E-2</v>
      </c>
      <c r="R227" s="278">
        <f t="shared" si="34"/>
        <v>-4.7928564128944501E-2</v>
      </c>
      <c r="S227" s="277"/>
      <c r="T227" s="277"/>
    </row>
    <row r="228" spans="2:20" x14ac:dyDescent="0.3">
      <c r="B228" s="271">
        <v>43721</v>
      </c>
      <c r="C228" s="273">
        <v>2521.85</v>
      </c>
      <c r="D228" s="273">
        <v>149.30000000000001</v>
      </c>
      <c r="E228" s="273">
        <v>1548.2</v>
      </c>
      <c r="F228" s="274">
        <v>68.55</v>
      </c>
      <c r="H228" s="271">
        <v>43721</v>
      </c>
      <c r="I228" s="277">
        <f t="shared" si="27"/>
        <v>-2.2354104846686808E-3</v>
      </c>
      <c r="J228" s="277">
        <f t="shared" si="28"/>
        <v>2.6469577174286853E-2</v>
      </c>
      <c r="K228" s="277">
        <f t="shared" si="29"/>
        <v>5.1288709991560676E-3</v>
      </c>
      <c r="L228" s="278">
        <f t="shared" si="30"/>
        <v>8.8300220750551044E-3</v>
      </c>
      <c r="N228" s="271">
        <v>43721</v>
      </c>
      <c r="O228" s="277">
        <f t="shared" si="31"/>
        <v>-5.4613132159687418E-3</v>
      </c>
      <c r="P228" s="277">
        <f t="shared" si="32"/>
        <v>2.7487910416892091E-2</v>
      </c>
      <c r="Q228" s="277">
        <f t="shared" si="33"/>
        <v>3.8415879361269789E-3</v>
      </c>
      <c r="R228" s="278">
        <f t="shared" si="34"/>
        <v>1.1879111577395405E-2</v>
      </c>
      <c r="S228" s="277"/>
      <c r="T228" s="277"/>
    </row>
    <row r="229" spans="2:20" x14ac:dyDescent="0.3">
      <c r="B229" s="271">
        <v>43724</v>
      </c>
      <c r="C229" s="273">
        <v>2550.15</v>
      </c>
      <c r="D229" s="273">
        <v>148.65</v>
      </c>
      <c r="E229" s="273">
        <v>1521.3</v>
      </c>
      <c r="F229" s="274">
        <v>67.05</v>
      </c>
      <c r="H229" s="271">
        <v>43724</v>
      </c>
      <c r="I229" s="277">
        <f t="shared" si="27"/>
        <v>1.1221920415568009E-2</v>
      </c>
      <c r="J229" s="277">
        <f t="shared" si="28"/>
        <v>-4.353650368385838E-3</v>
      </c>
      <c r="K229" s="277">
        <f t="shared" si="29"/>
        <v>-1.7375016147784583E-2</v>
      </c>
      <c r="L229" s="278">
        <f t="shared" si="30"/>
        <v>-2.1881838074398249E-2</v>
      </c>
      <c r="N229" s="271">
        <v>43724</v>
      </c>
      <c r="O229" s="277">
        <f t="shared" si="31"/>
        <v>7.9960176842679472E-3</v>
      </c>
      <c r="P229" s="277">
        <f t="shared" si="32"/>
        <v>-3.3353171257806003E-3</v>
      </c>
      <c r="Q229" s="277">
        <f t="shared" si="33"/>
        <v>-1.8662299210813672E-2</v>
      </c>
      <c r="R229" s="278">
        <f t="shared" si="34"/>
        <v>-1.8832748572057946E-2</v>
      </c>
      <c r="S229" s="277"/>
      <c r="T229" s="277"/>
    </row>
    <row r="230" spans="2:20" x14ac:dyDescent="0.3">
      <c r="B230" s="271">
        <v>43725</v>
      </c>
      <c r="C230" s="273">
        <v>2464.1</v>
      </c>
      <c r="D230" s="273">
        <v>145.4</v>
      </c>
      <c r="E230" s="273">
        <v>1530.9</v>
      </c>
      <c r="F230" s="274">
        <v>65.099999999999994</v>
      </c>
      <c r="H230" s="271">
        <v>43725</v>
      </c>
      <c r="I230" s="277">
        <f t="shared" si="27"/>
        <v>-3.3743113150206921E-2</v>
      </c>
      <c r="J230" s="277">
        <f t="shared" si="28"/>
        <v>-2.1863437605112682E-2</v>
      </c>
      <c r="K230" s="277">
        <f t="shared" si="29"/>
        <v>6.3103924275291767E-3</v>
      </c>
      <c r="L230" s="278">
        <f t="shared" si="30"/>
        <v>-2.9082774049217046E-2</v>
      </c>
      <c r="N230" s="271">
        <v>43725</v>
      </c>
      <c r="O230" s="277">
        <f t="shared" si="31"/>
        <v>-3.6969015881506986E-2</v>
      </c>
      <c r="P230" s="277">
        <f t="shared" si="32"/>
        <v>-2.0845104362507444E-2</v>
      </c>
      <c r="Q230" s="277">
        <f t="shared" si="33"/>
        <v>5.0231093645000877E-3</v>
      </c>
      <c r="R230" s="278">
        <f t="shared" si="34"/>
        <v>-2.6033684546876743E-2</v>
      </c>
      <c r="S230" s="277"/>
      <c r="T230" s="277"/>
    </row>
    <row r="231" spans="2:20" x14ac:dyDescent="0.3">
      <c r="B231" s="271">
        <v>43726</v>
      </c>
      <c r="C231" s="273">
        <v>2548.3000000000002</v>
      </c>
      <c r="D231" s="273">
        <v>149.69999999999999</v>
      </c>
      <c r="E231" s="273">
        <v>1547.75</v>
      </c>
      <c r="F231" s="274">
        <v>64.099999999999994</v>
      </c>
      <c r="H231" s="271">
        <v>43726</v>
      </c>
      <c r="I231" s="277">
        <f t="shared" si="27"/>
        <v>3.4170691124548631E-2</v>
      </c>
      <c r="J231" s="277">
        <f t="shared" si="28"/>
        <v>2.957359009628599E-2</v>
      </c>
      <c r="K231" s="277">
        <f t="shared" si="29"/>
        <v>1.1006597426350453E-2</v>
      </c>
      <c r="L231" s="278">
        <f t="shared" si="30"/>
        <v>-1.5360983102918589E-2</v>
      </c>
      <c r="N231" s="271">
        <v>43726</v>
      </c>
      <c r="O231" s="277">
        <f t="shared" si="31"/>
        <v>3.094478839324857E-2</v>
      </c>
      <c r="P231" s="277">
        <f t="shared" si="32"/>
        <v>3.0591923338891228E-2</v>
      </c>
      <c r="Q231" s="277">
        <f t="shared" si="33"/>
        <v>9.719314363321364E-3</v>
      </c>
      <c r="R231" s="278">
        <f t="shared" si="34"/>
        <v>-1.2311893600578288E-2</v>
      </c>
      <c r="S231" s="277"/>
      <c r="T231" s="277"/>
    </row>
    <row r="232" spans="2:20" x14ac:dyDescent="0.3">
      <c r="B232" s="271">
        <v>43727</v>
      </c>
      <c r="C232" s="273">
        <v>2554.3000000000002</v>
      </c>
      <c r="D232" s="273">
        <v>146.15</v>
      </c>
      <c r="E232" s="273">
        <v>1553.9</v>
      </c>
      <c r="F232" s="274">
        <v>54.1</v>
      </c>
      <c r="H232" s="271">
        <v>43727</v>
      </c>
      <c r="I232" s="277">
        <f t="shared" si="27"/>
        <v>2.3545108503708351E-3</v>
      </c>
      <c r="J232" s="277">
        <f t="shared" si="28"/>
        <v>-2.3714094856379313E-2</v>
      </c>
      <c r="K232" s="277">
        <f t="shared" si="29"/>
        <v>3.9735099337748934E-3</v>
      </c>
      <c r="L232" s="278">
        <f t="shared" si="30"/>
        <v>-0.15600624024960988</v>
      </c>
      <c r="N232" s="271">
        <v>43727</v>
      </c>
      <c r="O232" s="277">
        <f t="shared" si="31"/>
        <v>-8.7139188092922627E-4</v>
      </c>
      <c r="P232" s="277">
        <f t="shared" si="32"/>
        <v>-2.2695761613774075E-2</v>
      </c>
      <c r="Q232" s="277">
        <f t="shared" si="33"/>
        <v>2.6862268707458048E-3</v>
      </c>
      <c r="R232" s="278">
        <f t="shared" si="34"/>
        <v>-0.15295715074726957</v>
      </c>
      <c r="S232" s="277"/>
      <c r="T232" s="277"/>
    </row>
    <row r="233" spans="2:20" x14ac:dyDescent="0.3">
      <c r="B233" s="271">
        <v>43728</v>
      </c>
      <c r="C233" s="273">
        <v>2642.95</v>
      </c>
      <c r="D233" s="273">
        <v>158.94999999999999</v>
      </c>
      <c r="E233" s="273">
        <v>1671</v>
      </c>
      <c r="F233" s="274">
        <v>55.5</v>
      </c>
      <c r="H233" s="271">
        <v>43728</v>
      </c>
      <c r="I233" s="277">
        <f t="shared" si="27"/>
        <v>3.4706181732764213E-2</v>
      </c>
      <c r="J233" s="277">
        <f t="shared" si="28"/>
        <v>8.758125213821405E-2</v>
      </c>
      <c r="K233" s="277">
        <f t="shared" si="29"/>
        <v>7.535877469592632E-2</v>
      </c>
      <c r="L233" s="278">
        <f t="shared" si="30"/>
        <v>2.5878003696857645E-2</v>
      </c>
      <c r="N233" s="271">
        <v>43728</v>
      </c>
      <c r="O233" s="277">
        <f t="shared" si="31"/>
        <v>3.1480279001464148E-2</v>
      </c>
      <c r="P233" s="277">
        <f t="shared" si="32"/>
        <v>8.8599585380819287E-2</v>
      </c>
      <c r="Q233" s="277">
        <f t="shared" si="33"/>
        <v>7.4071491632897238E-2</v>
      </c>
      <c r="R233" s="278">
        <f t="shared" si="34"/>
        <v>2.8927093199197947E-2</v>
      </c>
      <c r="S233" s="277"/>
      <c r="T233" s="277"/>
    </row>
    <row r="234" spans="2:20" x14ac:dyDescent="0.3">
      <c r="B234" s="271">
        <v>43731</v>
      </c>
      <c r="C234" s="273">
        <v>2877.25</v>
      </c>
      <c r="D234" s="273">
        <v>157.9</v>
      </c>
      <c r="E234" s="273">
        <v>1802.75</v>
      </c>
      <c r="F234" s="274">
        <v>55.45</v>
      </c>
      <c r="H234" s="271">
        <v>43731</v>
      </c>
      <c r="I234" s="277">
        <f t="shared" si="27"/>
        <v>8.865093929132227E-2</v>
      </c>
      <c r="J234" s="277">
        <f t="shared" si="28"/>
        <v>-6.6058508965082295E-3</v>
      </c>
      <c r="K234" s="277">
        <f t="shared" si="29"/>
        <v>7.8845002992220234E-2</v>
      </c>
      <c r="L234" s="278">
        <f t="shared" si="30"/>
        <v>-9.0090090090084974E-4</v>
      </c>
      <c r="N234" s="271">
        <v>43731</v>
      </c>
      <c r="O234" s="277">
        <f t="shared" si="31"/>
        <v>8.5425036560022205E-2</v>
      </c>
      <c r="P234" s="277">
        <f t="shared" si="32"/>
        <v>-5.5875176539029918E-3</v>
      </c>
      <c r="Q234" s="277">
        <f t="shared" si="33"/>
        <v>7.7557719929191152E-2</v>
      </c>
      <c r="R234" s="278">
        <f t="shared" si="34"/>
        <v>2.1481886014394517E-3</v>
      </c>
      <c r="S234" s="277"/>
      <c r="T234" s="277"/>
    </row>
    <row r="235" spans="2:20" x14ac:dyDescent="0.3">
      <c r="B235" s="271">
        <v>43732</v>
      </c>
      <c r="C235" s="273">
        <v>2831.35</v>
      </c>
      <c r="D235" s="273">
        <v>159.94999999999999</v>
      </c>
      <c r="E235" s="273">
        <v>1765.9</v>
      </c>
      <c r="F235" s="274">
        <v>56.05</v>
      </c>
      <c r="H235" s="271">
        <v>43732</v>
      </c>
      <c r="I235" s="277">
        <f t="shared" si="27"/>
        <v>-1.5952732644017757E-2</v>
      </c>
      <c r="J235" s="277">
        <f t="shared" si="28"/>
        <v>1.2982900569980893E-2</v>
      </c>
      <c r="K235" s="277">
        <f t="shared" si="29"/>
        <v>-2.0440992927471868E-2</v>
      </c>
      <c r="L235" s="278">
        <f t="shared" si="30"/>
        <v>1.0820559062218111E-2</v>
      </c>
      <c r="N235" s="271">
        <v>43732</v>
      </c>
      <c r="O235" s="277">
        <f t="shared" si="31"/>
        <v>-1.9178635375317818E-2</v>
      </c>
      <c r="P235" s="277">
        <f t="shared" si="32"/>
        <v>1.400123381258613E-2</v>
      </c>
      <c r="Q235" s="277">
        <f t="shared" si="33"/>
        <v>-2.1728275990500957E-2</v>
      </c>
      <c r="R235" s="278">
        <f t="shared" si="34"/>
        <v>1.3869648564558412E-2</v>
      </c>
      <c r="S235" s="277"/>
      <c r="T235" s="277"/>
    </row>
    <row r="236" spans="2:20" x14ac:dyDescent="0.3">
      <c r="B236" s="271">
        <v>43733</v>
      </c>
      <c r="C236" s="273">
        <v>2823.35</v>
      </c>
      <c r="D236" s="273">
        <v>156.19999999999999</v>
      </c>
      <c r="E236" s="273">
        <v>1751.8</v>
      </c>
      <c r="F236" s="274">
        <v>53.7</v>
      </c>
      <c r="H236" s="271">
        <v>43733</v>
      </c>
      <c r="I236" s="277">
        <f t="shared" si="27"/>
        <v>-2.8255072668515019E-3</v>
      </c>
      <c r="J236" s="277">
        <f t="shared" si="28"/>
        <v>-2.3444826508283841E-2</v>
      </c>
      <c r="K236" s="277">
        <f t="shared" si="29"/>
        <v>-7.9845970893029812E-3</v>
      </c>
      <c r="L236" s="278">
        <f t="shared" si="30"/>
        <v>-4.1926851025869662E-2</v>
      </c>
      <c r="N236" s="271">
        <v>43733</v>
      </c>
      <c r="O236" s="277">
        <f t="shared" si="31"/>
        <v>-6.0514099981515638E-3</v>
      </c>
      <c r="P236" s="277">
        <f t="shared" si="32"/>
        <v>-2.2426493265678603E-2</v>
      </c>
      <c r="Q236" s="277">
        <f t="shared" si="33"/>
        <v>-9.2718801523320703E-3</v>
      </c>
      <c r="R236" s="278">
        <f t="shared" si="34"/>
        <v>-3.8877761523529362E-2</v>
      </c>
      <c r="S236" s="277"/>
      <c r="T236" s="277"/>
    </row>
    <row r="237" spans="2:20" x14ac:dyDescent="0.3">
      <c r="B237" s="271">
        <v>43734</v>
      </c>
      <c r="C237" s="273">
        <v>2861.95</v>
      </c>
      <c r="D237" s="273">
        <v>166.1</v>
      </c>
      <c r="E237" s="273">
        <v>1770.95</v>
      </c>
      <c r="F237" s="274">
        <v>51.05</v>
      </c>
      <c r="H237" s="271">
        <v>43734</v>
      </c>
      <c r="I237" s="277">
        <f t="shared" si="27"/>
        <v>1.3671702056068115E-2</v>
      </c>
      <c r="J237" s="277">
        <f t="shared" si="28"/>
        <v>6.3380281690140886E-2</v>
      </c>
      <c r="K237" s="277">
        <f t="shared" si="29"/>
        <v>1.0931613197853688E-2</v>
      </c>
      <c r="L237" s="278">
        <f t="shared" si="30"/>
        <v>-4.9348230912476823E-2</v>
      </c>
      <c r="N237" s="271">
        <v>43734</v>
      </c>
      <c r="O237" s="277">
        <f t="shared" si="31"/>
        <v>1.0445799324768053E-2</v>
      </c>
      <c r="P237" s="277">
        <f t="shared" si="32"/>
        <v>6.4398614932746123E-2</v>
      </c>
      <c r="Q237" s="277">
        <f t="shared" si="33"/>
        <v>9.644330134824599E-3</v>
      </c>
      <c r="R237" s="278">
        <f t="shared" si="34"/>
        <v>-4.6299141410136524E-2</v>
      </c>
      <c r="S237" s="277"/>
      <c r="T237" s="277"/>
    </row>
    <row r="238" spans="2:20" x14ac:dyDescent="0.3">
      <c r="B238" s="271">
        <v>43735</v>
      </c>
      <c r="C238" s="273">
        <v>2857.2</v>
      </c>
      <c r="D238" s="273">
        <v>157.25</v>
      </c>
      <c r="E238" s="273">
        <v>1776.3</v>
      </c>
      <c r="F238" s="274">
        <v>48.75</v>
      </c>
      <c r="H238" s="271">
        <v>43735</v>
      </c>
      <c r="I238" s="277">
        <f t="shared" si="27"/>
        <v>-1.6597075420604834E-3</v>
      </c>
      <c r="J238" s="277">
        <f t="shared" si="28"/>
        <v>-5.328115593016252E-2</v>
      </c>
      <c r="K238" s="277">
        <f t="shared" si="29"/>
        <v>3.0209774414861564E-3</v>
      </c>
      <c r="L238" s="278">
        <f t="shared" si="30"/>
        <v>-4.5053868756121399E-2</v>
      </c>
      <c r="N238" s="271">
        <v>43735</v>
      </c>
      <c r="O238" s="277">
        <f t="shared" si="31"/>
        <v>-4.8856102733605446E-3</v>
      </c>
      <c r="P238" s="277">
        <f t="shared" si="32"/>
        <v>-5.2262822687557282E-2</v>
      </c>
      <c r="Q238" s="277">
        <f t="shared" si="33"/>
        <v>1.7336943784570678E-3</v>
      </c>
      <c r="R238" s="278">
        <f t="shared" si="34"/>
        <v>-4.2004779253781099E-2</v>
      </c>
      <c r="S238" s="277"/>
      <c r="T238" s="277"/>
    </row>
    <row r="239" spans="2:20" x14ac:dyDescent="0.3">
      <c r="B239" s="271">
        <v>43738</v>
      </c>
      <c r="C239" s="273">
        <v>2904.05</v>
      </c>
      <c r="D239" s="273">
        <v>154.15</v>
      </c>
      <c r="E239" s="273">
        <v>1762.15</v>
      </c>
      <c r="F239" s="274">
        <v>41.4</v>
      </c>
      <c r="H239" s="271">
        <v>43738</v>
      </c>
      <c r="I239" s="277">
        <f t="shared" si="27"/>
        <v>1.6397172056558999E-2</v>
      </c>
      <c r="J239" s="277">
        <f t="shared" si="28"/>
        <v>-1.9713831478537325E-2</v>
      </c>
      <c r="K239" s="277">
        <f t="shared" si="29"/>
        <v>-7.9659967347857144E-3</v>
      </c>
      <c r="L239" s="278">
        <f t="shared" si="30"/>
        <v>-0.15076923076923079</v>
      </c>
      <c r="N239" s="271">
        <v>43738</v>
      </c>
      <c r="O239" s="277">
        <f t="shared" si="31"/>
        <v>1.3171269325258937E-2</v>
      </c>
      <c r="P239" s="277">
        <f t="shared" si="32"/>
        <v>-1.8695498235932088E-2</v>
      </c>
      <c r="Q239" s="277">
        <f t="shared" si="33"/>
        <v>-9.2532797978148035E-3</v>
      </c>
      <c r="R239" s="278">
        <f t="shared" si="34"/>
        <v>-0.14772014126689048</v>
      </c>
      <c r="S239" s="277"/>
      <c r="T239" s="277"/>
    </row>
    <row r="240" spans="2:20" x14ac:dyDescent="0.3">
      <c r="B240" s="271">
        <v>43739</v>
      </c>
      <c r="C240" s="273">
        <v>2902.9</v>
      </c>
      <c r="D240" s="273">
        <v>151.30000000000001</v>
      </c>
      <c r="E240" s="273">
        <v>1766.1</v>
      </c>
      <c r="F240" s="274">
        <v>32</v>
      </c>
      <c r="H240" s="271">
        <v>43739</v>
      </c>
      <c r="I240" s="277">
        <f t="shared" si="27"/>
        <v>-3.9599869148261596E-4</v>
      </c>
      <c r="J240" s="277">
        <f t="shared" si="28"/>
        <v>-1.8488485241647708E-2</v>
      </c>
      <c r="K240" s="277">
        <f t="shared" si="29"/>
        <v>2.2415798882046466E-3</v>
      </c>
      <c r="L240" s="278">
        <f t="shared" si="30"/>
        <v>-0.22705314009661834</v>
      </c>
      <c r="N240" s="271">
        <v>43739</v>
      </c>
      <c r="O240" s="277">
        <f t="shared" si="31"/>
        <v>-3.6219014227826772E-3</v>
      </c>
      <c r="P240" s="277">
        <f t="shared" si="32"/>
        <v>-1.747015199904247E-2</v>
      </c>
      <c r="Q240" s="277">
        <f t="shared" si="33"/>
        <v>9.5429682517555797E-4</v>
      </c>
      <c r="R240" s="278">
        <f t="shared" si="34"/>
        <v>-0.22400405059427803</v>
      </c>
      <c r="S240" s="277"/>
      <c r="T240" s="277"/>
    </row>
    <row r="241" spans="2:20" x14ac:dyDescent="0.3">
      <c r="B241" s="271">
        <v>43741</v>
      </c>
      <c r="C241" s="273">
        <v>2922.85</v>
      </c>
      <c r="D241" s="273">
        <v>144.4</v>
      </c>
      <c r="E241" s="273">
        <v>1748.95</v>
      </c>
      <c r="F241" s="274">
        <v>42.5</v>
      </c>
      <c r="H241" s="271">
        <v>43741</v>
      </c>
      <c r="I241" s="277">
        <f t="shared" si="27"/>
        <v>6.8724379069206023E-3</v>
      </c>
      <c r="J241" s="277">
        <f t="shared" si="28"/>
        <v>-4.5604758757435596E-2</v>
      </c>
      <c r="K241" s="277">
        <f t="shared" si="29"/>
        <v>-9.7106619104240215E-3</v>
      </c>
      <c r="L241" s="278">
        <f t="shared" si="30"/>
        <v>0.328125</v>
      </c>
      <c r="N241" s="271">
        <v>43741</v>
      </c>
      <c r="O241" s="277">
        <f t="shared" si="31"/>
        <v>3.6465351756205409E-3</v>
      </c>
      <c r="P241" s="277">
        <f t="shared" si="32"/>
        <v>-4.4586425514830358E-2</v>
      </c>
      <c r="Q241" s="277">
        <f t="shared" si="33"/>
        <v>-1.0997944973453111E-2</v>
      </c>
      <c r="R241" s="278">
        <f t="shared" si="34"/>
        <v>0.33117408950234029</v>
      </c>
      <c r="S241" s="277"/>
      <c r="T241" s="277"/>
    </row>
    <row r="242" spans="2:20" x14ac:dyDescent="0.3">
      <c r="B242" s="271">
        <v>43742</v>
      </c>
      <c r="C242" s="273">
        <v>3001.65</v>
      </c>
      <c r="D242" s="273">
        <v>143.30000000000001</v>
      </c>
      <c r="E242" s="273">
        <v>1724.4</v>
      </c>
      <c r="F242" s="274">
        <v>42.15</v>
      </c>
      <c r="H242" s="271">
        <v>43742</v>
      </c>
      <c r="I242" s="277">
        <f t="shared" si="27"/>
        <v>2.695998768325442E-2</v>
      </c>
      <c r="J242" s="277">
        <f t="shared" si="28"/>
        <v>-7.6177285318559159E-3</v>
      </c>
      <c r="K242" s="277">
        <f t="shared" si="29"/>
        <v>-1.4036993624746251E-2</v>
      </c>
      <c r="L242" s="278">
        <f t="shared" si="30"/>
        <v>-8.2352941176470924E-3</v>
      </c>
      <c r="N242" s="271">
        <v>43742</v>
      </c>
      <c r="O242" s="277">
        <f t="shared" si="31"/>
        <v>2.3734084951954358E-2</v>
      </c>
      <c r="P242" s="277">
        <f t="shared" si="32"/>
        <v>-6.5993952892506782E-3</v>
      </c>
      <c r="Q242" s="277">
        <f t="shared" si="33"/>
        <v>-1.532427668777534E-2</v>
      </c>
      <c r="R242" s="278">
        <f t="shared" si="34"/>
        <v>-5.1862046153067914E-3</v>
      </c>
      <c r="S242" s="277"/>
      <c r="T242" s="277"/>
    </row>
    <row r="243" spans="2:20" x14ac:dyDescent="0.3">
      <c r="B243" s="271">
        <v>43745</v>
      </c>
      <c r="C243" s="273">
        <v>2984.2</v>
      </c>
      <c r="D243" s="273">
        <v>142.65</v>
      </c>
      <c r="E243" s="273">
        <v>1725.15</v>
      </c>
      <c r="F243" s="274">
        <v>45.65</v>
      </c>
      <c r="H243" s="271">
        <v>43745</v>
      </c>
      <c r="I243" s="277">
        <f t="shared" si="27"/>
        <v>-5.813469258574541E-3</v>
      </c>
      <c r="J243" s="277">
        <f t="shared" si="28"/>
        <v>-4.5359385903698925E-3</v>
      </c>
      <c r="K243" s="277">
        <f t="shared" si="29"/>
        <v>4.3493389004871255E-4</v>
      </c>
      <c r="L243" s="278">
        <f t="shared" si="30"/>
        <v>8.3036773428232499E-2</v>
      </c>
      <c r="N243" s="271">
        <v>43745</v>
      </c>
      <c r="O243" s="277">
        <f t="shared" si="31"/>
        <v>-9.0393719898746033E-3</v>
      </c>
      <c r="P243" s="277">
        <f t="shared" si="32"/>
        <v>-3.5176053477646548E-3</v>
      </c>
      <c r="Q243" s="277">
        <f t="shared" si="33"/>
        <v>-8.5234917298037608E-4</v>
      </c>
      <c r="R243" s="278">
        <f t="shared" si="34"/>
        <v>8.6085862930572798E-2</v>
      </c>
      <c r="S243" s="277"/>
      <c r="T243" s="277"/>
    </row>
    <row r="244" spans="2:20" x14ac:dyDescent="0.3">
      <c r="B244" s="271">
        <v>43747</v>
      </c>
      <c r="C244" s="273">
        <v>3000.85</v>
      </c>
      <c r="D244" s="273">
        <v>145.69999999999999</v>
      </c>
      <c r="E244" s="273">
        <v>1773.45</v>
      </c>
      <c r="F244" s="274">
        <v>43.25</v>
      </c>
      <c r="H244" s="271">
        <v>43747</v>
      </c>
      <c r="I244" s="277">
        <f t="shared" si="27"/>
        <v>5.5793847597346334E-3</v>
      </c>
      <c r="J244" s="277">
        <f t="shared" si="28"/>
        <v>2.1381002453557538E-2</v>
      </c>
      <c r="K244" s="277">
        <f t="shared" si="29"/>
        <v>2.7997565429093093E-2</v>
      </c>
      <c r="L244" s="278">
        <f t="shared" si="30"/>
        <v>-5.2573932092004352E-2</v>
      </c>
      <c r="N244" s="271">
        <v>43747</v>
      </c>
      <c r="O244" s="277">
        <f t="shared" si="31"/>
        <v>2.353482028434572E-3</v>
      </c>
      <c r="P244" s="277">
        <f t="shared" si="32"/>
        <v>2.2399335696162776E-2</v>
      </c>
      <c r="Q244" s="277">
        <f t="shared" si="33"/>
        <v>2.6710282366064004E-2</v>
      </c>
      <c r="R244" s="278">
        <f t="shared" si="34"/>
        <v>-4.9524842589664053E-2</v>
      </c>
      <c r="S244" s="277"/>
      <c r="T244" s="277"/>
    </row>
    <row r="245" spans="2:20" x14ac:dyDescent="0.3">
      <c r="B245" s="271">
        <v>43748</v>
      </c>
      <c r="C245" s="273">
        <v>2991.9</v>
      </c>
      <c r="D245" s="273">
        <v>141.15</v>
      </c>
      <c r="E245" s="273">
        <v>1778.6</v>
      </c>
      <c r="F245" s="274">
        <v>40.950000000000003</v>
      </c>
      <c r="H245" s="271">
        <v>43748</v>
      </c>
      <c r="I245" s="277">
        <f t="shared" si="27"/>
        <v>-2.9824882949830277E-3</v>
      </c>
      <c r="J245" s="277">
        <f t="shared" si="28"/>
        <v>-3.1228551818805652E-2</v>
      </c>
      <c r="K245" s="277">
        <f t="shared" si="29"/>
        <v>2.903944289379381E-3</v>
      </c>
      <c r="L245" s="278">
        <f t="shared" si="30"/>
        <v>-5.3179190751445019E-2</v>
      </c>
      <c r="N245" s="271">
        <v>43748</v>
      </c>
      <c r="O245" s="277">
        <f t="shared" si="31"/>
        <v>-6.2083910262830892E-3</v>
      </c>
      <c r="P245" s="277">
        <f t="shared" si="32"/>
        <v>-3.0210218576200414E-2</v>
      </c>
      <c r="Q245" s="277">
        <f t="shared" si="33"/>
        <v>1.6166612263502924E-3</v>
      </c>
      <c r="R245" s="278">
        <f t="shared" si="34"/>
        <v>-5.0130101249104719E-2</v>
      </c>
      <c r="S245" s="277"/>
      <c r="T245" s="277"/>
    </row>
    <row r="246" spans="2:20" x14ac:dyDescent="0.3">
      <c r="B246" s="271">
        <v>43749</v>
      </c>
      <c r="C246" s="273">
        <v>3056.95</v>
      </c>
      <c r="D246" s="273">
        <v>147.05000000000001</v>
      </c>
      <c r="E246" s="273">
        <v>1790.25</v>
      </c>
      <c r="F246" s="274">
        <v>39.6</v>
      </c>
      <c r="H246" s="271">
        <v>43749</v>
      </c>
      <c r="I246" s="277">
        <f t="shared" si="27"/>
        <v>2.1742036832781753E-2</v>
      </c>
      <c r="J246" s="277">
        <f t="shared" si="28"/>
        <v>4.1799504073680521E-2</v>
      </c>
      <c r="K246" s="277">
        <f t="shared" si="29"/>
        <v>6.5500955807939343E-3</v>
      </c>
      <c r="L246" s="278">
        <f t="shared" si="30"/>
        <v>-3.2967032967033003E-2</v>
      </c>
      <c r="N246" s="271">
        <v>43749</v>
      </c>
      <c r="O246" s="277">
        <f t="shared" si="31"/>
        <v>1.8516134101481691E-2</v>
      </c>
      <c r="P246" s="277">
        <f t="shared" si="32"/>
        <v>4.2817837316285759E-2</v>
      </c>
      <c r="Q246" s="277">
        <f t="shared" si="33"/>
        <v>5.2628125177648453E-3</v>
      </c>
      <c r="R246" s="278">
        <f t="shared" si="34"/>
        <v>-2.99179434646927E-2</v>
      </c>
      <c r="S246" s="277"/>
      <c r="T246" s="277"/>
    </row>
    <row r="247" spans="2:20" x14ac:dyDescent="0.3">
      <c r="B247" s="271">
        <v>43752</v>
      </c>
      <c r="C247" s="273">
        <v>3080.8</v>
      </c>
      <c r="D247" s="273">
        <v>147.80000000000001</v>
      </c>
      <c r="E247" s="273">
        <v>1798.7</v>
      </c>
      <c r="F247" s="274">
        <v>40.1</v>
      </c>
      <c r="H247" s="271">
        <v>43752</v>
      </c>
      <c r="I247" s="277">
        <f t="shared" si="27"/>
        <v>7.8018940447178936E-3</v>
      </c>
      <c r="J247" s="277">
        <f t="shared" si="28"/>
        <v>5.1003060183611015E-3</v>
      </c>
      <c r="K247" s="277">
        <f t="shared" si="29"/>
        <v>4.7200111716241E-3</v>
      </c>
      <c r="L247" s="278">
        <f t="shared" si="30"/>
        <v>1.2626262626262626E-2</v>
      </c>
      <c r="N247" s="271">
        <v>43752</v>
      </c>
      <c r="O247" s="277">
        <f t="shared" si="31"/>
        <v>4.5759913134178322E-3</v>
      </c>
      <c r="P247" s="277">
        <f t="shared" si="32"/>
        <v>6.1186392609663392E-3</v>
      </c>
      <c r="Q247" s="277">
        <f t="shared" si="33"/>
        <v>3.4327281085950114E-3</v>
      </c>
      <c r="R247" s="278">
        <f t="shared" si="34"/>
        <v>1.5675352128602927E-2</v>
      </c>
      <c r="S247" s="277"/>
      <c r="T247" s="277"/>
    </row>
    <row r="248" spans="2:20" x14ac:dyDescent="0.3">
      <c r="B248" s="271">
        <v>43753</v>
      </c>
      <c r="C248" s="273">
        <v>3052.85</v>
      </c>
      <c r="D248" s="273">
        <v>153.5</v>
      </c>
      <c r="E248" s="273">
        <v>1803.1</v>
      </c>
      <c r="F248" s="274">
        <v>40.6</v>
      </c>
      <c r="H248" s="271">
        <v>43753</v>
      </c>
      <c r="I248" s="277">
        <f t="shared" si="27"/>
        <v>-9.0723188782135394E-3</v>
      </c>
      <c r="J248" s="277">
        <f t="shared" si="28"/>
        <v>3.8565629228687337E-2</v>
      </c>
      <c r="K248" s="277">
        <f t="shared" si="29"/>
        <v>2.4462111524989512E-3</v>
      </c>
      <c r="L248" s="278">
        <f t="shared" si="30"/>
        <v>1.2468827930174562E-2</v>
      </c>
      <c r="N248" s="271">
        <v>43753</v>
      </c>
      <c r="O248" s="277">
        <f t="shared" si="31"/>
        <v>-1.2298221609513601E-2</v>
      </c>
      <c r="P248" s="277">
        <f t="shared" si="32"/>
        <v>3.9583962471292575E-2</v>
      </c>
      <c r="Q248" s="277">
        <f t="shared" si="33"/>
        <v>1.1589280894698625E-3</v>
      </c>
      <c r="R248" s="278">
        <f t="shared" si="34"/>
        <v>1.5517917432514863E-2</v>
      </c>
      <c r="S248" s="277"/>
      <c r="T248" s="277"/>
    </row>
    <row r="249" spans="2:20" x14ac:dyDescent="0.3">
      <c r="B249" s="271">
        <v>43754</v>
      </c>
      <c r="C249" s="273">
        <v>3018.25</v>
      </c>
      <c r="D249" s="273">
        <v>149.9</v>
      </c>
      <c r="E249" s="273">
        <v>1765.7</v>
      </c>
      <c r="F249" s="274">
        <v>41.05</v>
      </c>
      <c r="H249" s="271">
        <v>43754</v>
      </c>
      <c r="I249" s="277">
        <f t="shared" si="27"/>
        <v>-1.1333671814861493E-2</v>
      </c>
      <c r="J249" s="277">
        <f t="shared" si="28"/>
        <v>-2.3452768729641658E-2</v>
      </c>
      <c r="K249" s="277">
        <f t="shared" si="29"/>
        <v>-2.0742055349120884E-2</v>
      </c>
      <c r="L249" s="278">
        <f t="shared" si="30"/>
        <v>1.1083743842364427E-2</v>
      </c>
      <c r="N249" s="271">
        <v>43754</v>
      </c>
      <c r="O249" s="277">
        <f t="shared" si="31"/>
        <v>-1.4559574546161554E-2</v>
      </c>
      <c r="P249" s="277">
        <f t="shared" si="32"/>
        <v>-2.2434435487036421E-2</v>
      </c>
      <c r="Q249" s="277">
        <f t="shared" si="33"/>
        <v>-2.2029338412149973E-2</v>
      </c>
      <c r="R249" s="278">
        <f t="shared" si="34"/>
        <v>1.4132833344704727E-2</v>
      </c>
      <c r="S249" s="277"/>
      <c r="T249" s="277"/>
    </row>
    <row r="250" spans="2:20" x14ac:dyDescent="0.3">
      <c r="B250" s="271">
        <v>43755</v>
      </c>
      <c r="C250" s="273">
        <v>3026.85</v>
      </c>
      <c r="D250" s="273">
        <v>148.30000000000001</v>
      </c>
      <c r="E250" s="273">
        <v>1812.3</v>
      </c>
      <c r="F250" s="274">
        <v>47.4</v>
      </c>
      <c r="H250" s="271">
        <v>43755</v>
      </c>
      <c r="I250" s="277">
        <f t="shared" si="27"/>
        <v>2.8493332228940308E-3</v>
      </c>
      <c r="J250" s="277">
        <f t="shared" si="28"/>
        <v>-1.0673782521681082E-2</v>
      </c>
      <c r="K250" s="277">
        <f t="shared" si="29"/>
        <v>2.6391799286401941E-2</v>
      </c>
      <c r="L250" s="278">
        <f t="shared" si="30"/>
        <v>0.15468940316686972</v>
      </c>
      <c r="N250" s="271">
        <v>43755</v>
      </c>
      <c r="O250" s="277">
        <f t="shared" si="31"/>
        <v>-3.7656950840603059E-4</v>
      </c>
      <c r="P250" s="277">
        <f t="shared" si="32"/>
        <v>-9.655449279075844E-3</v>
      </c>
      <c r="Q250" s="277">
        <f t="shared" si="33"/>
        <v>2.5104516223372852E-2</v>
      </c>
      <c r="R250" s="278">
        <f t="shared" si="34"/>
        <v>0.15773849266921003</v>
      </c>
      <c r="S250" s="277"/>
      <c r="T250" s="277"/>
    </row>
    <row r="251" spans="2:20" x14ac:dyDescent="0.3">
      <c r="B251" s="271">
        <v>43756</v>
      </c>
      <c r="C251" s="273">
        <v>3085.2</v>
      </c>
      <c r="D251" s="273">
        <v>150.25</v>
      </c>
      <c r="E251" s="273">
        <v>1816.75</v>
      </c>
      <c r="F251" s="274">
        <v>51.4</v>
      </c>
      <c r="H251" s="271">
        <v>43756</v>
      </c>
      <c r="I251" s="277">
        <f t="shared" si="27"/>
        <v>1.9277466673274166E-2</v>
      </c>
      <c r="J251" s="277">
        <f t="shared" si="28"/>
        <v>1.3149022252191426E-2</v>
      </c>
      <c r="K251" s="277">
        <f t="shared" si="29"/>
        <v>2.4554433592672547E-3</v>
      </c>
      <c r="L251" s="278">
        <f t="shared" si="30"/>
        <v>8.4388185654008435E-2</v>
      </c>
      <c r="N251" s="271">
        <v>43756</v>
      </c>
      <c r="O251" s="277">
        <f t="shared" si="31"/>
        <v>1.6051563941974104E-2</v>
      </c>
      <c r="P251" s="277">
        <f t="shared" si="32"/>
        <v>1.4167355494796663E-2</v>
      </c>
      <c r="Q251" s="277">
        <f t="shared" si="33"/>
        <v>1.1681602962381661E-3</v>
      </c>
      <c r="R251" s="278">
        <f t="shared" si="34"/>
        <v>8.7437275156348734E-2</v>
      </c>
      <c r="S251" s="277"/>
      <c r="T251" s="277"/>
    </row>
    <row r="252" spans="2:20" x14ac:dyDescent="0.3">
      <c r="B252" s="271">
        <v>43760</v>
      </c>
      <c r="C252" s="273">
        <v>2991.35</v>
      </c>
      <c r="D252" s="273">
        <v>149.15</v>
      </c>
      <c r="E252" s="273">
        <v>1780.2</v>
      </c>
      <c r="F252" s="274">
        <v>51.8</v>
      </c>
      <c r="H252" s="271">
        <v>43760</v>
      </c>
      <c r="I252" s="277">
        <f t="shared" si="27"/>
        <v>-3.0419421755477738E-2</v>
      </c>
      <c r="J252" s="277">
        <f t="shared" si="28"/>
        <v>-7.3211314475873169E-3</v>
      </c>
      <c r="K252" s="277">
        <f t="shared" si="29"/>
        <v>-2.0118343195266248E-2</v>
      </c>
      <c r="L252" s="278">
        <f t="shared" si="30"/>
        <v>7.7821011673151474E-3</v>
      </c>
      <c r="N252" s="271">
        <v>43760</v>
      </c>
      <c r="O252" s="277">
        <f t="shared" si="31"/>
        <v>-3.3645324486777803E-2</v>
      </c>
      <c r="P252" s="277">
        <f t="shared" si="32"/>
        <v>-6.3027982049820791E-3</v>
      </c>
      <c r="Q252" s="277">
        <f t="shared" si="33"/>
        <v>-2.1405626258295337E-2</v>
      </c>
      <c r="R252" s="278">
        <f t="shared" si="34"/>
        <v>1.0831190669655448E-2</v>
      </c>
      <c r="S252" s="277"/>
      <c r="T252" s="277"/>
    </row>
    <row r="253" spans="2:20" x14ac:dyDescent="0.3">
      <c r="B253" s="271">
        <v>43761</v>
      </c>
      <c r="C253" s="273">
        <v>2986.35</v>
      </c>
      <c r="D253" s="273">
        <v>146.25</v>
      </c>
      <c r="E253" s="273">
        <v>1767.4</v>
      </c>
      <c r="F253" s="274">
        <v>51.2</v>
      </c>
      <c r="H253" s="271">
        <v>43761</v>
      </c>
      <c r="I253" s="277">
        <f t="shared" si="27"/>
        <v>-1.6714861183077874E-3</v>
      </c>
      <c r="J253" s="277">
        <f t="shared" si="28"/>
        <v>-1.9443513241703021E-2</v>
      </c>
      <c r="K253" s="277">
        <f t="shared" si="29"/>
        <v>-7.1902033479384082E-3</v>
      </c>
      <c r="L253" s="278">
        <f t="shared" si="30"/>
        <v>-1.1583011583011473E-2</v>
      </c>
      <c r="N253" s="271">
        <v>43761</v>
      </c>
      <c r="O253" s="277">
        <f t="shared" si="31"/>
        <v>-4.8973888496078484E-3</v>
      </c>
      <c r="P253" s="277">
        <f t="shared" si="32"/>
        <v>-1.8425179999097784E-2</v>
      </c>
      <c r="Q253" s="277">
        <f t="shared" si="33"/>
        <v>-8.4774864109674972E-3</v>
      </c>
      <c r="R253" s="278">
        <f t="shared" si="34"/>
        <v>-8.5339220806711722E-3</v>
      </c>
      <c r="S253" s="277"/>
      <c r="T253" s="277"/>
    </row>
    <row r="254" spans="2:20" x14ac:dyDescent="0.3">
      <c r="B254" s="271">
        <v>43762</v>
      </c>
      <c r="C254" s="273">
        <v>3016.7</v>
      </c>
      <c r="D254" s="273">
        <v>145.69999999999999</v>
      </c>
      <c r="E254" s="273">
        <v>1790.5</v>
      </c>
      <c r="F254" s="274">
        <v>48.3</v>
      </c>
      <c r="H254" s="271">
        <v>43762</v>
      </c>
      <c r="I254" s="277">
        <f t="shared" si="27"/>
        <v>1.016290789760072E-2</v>
      </c>
      <c r="J254" s="277">
        <f t="shared" si="28"/>
        <v>-3.7606837606838383E-3</v>
      </c>
      <c r="K254" s="277">
        <f t="shared" si="29"/>
        <v>1.3070046395835639E-2</v>
      </c>
      <c r="L254" s="278">
        <f t="shared" si="30"/>
        <v>-5.6640625000000111E-2</v>
      </c>
      <c r="N254" s="271">
        <v>43762</v>
      </c>
      <c r="O254" s="277">
        <f t="shared" si="31"/>
        <v>6.9370051663006586E-3</v>
      </c>
      <c r="P254" s="277">
        <f t="shared" si="32"/>
        <v>-2.7423505180786002E-3</v>
      </c>
      <c r="Q254" s="277">
        <f t="shared" si="33"/>
        <v>1.178276333280655E-2</v>
      </c>
      <c r="R254" s="278">
        <f t="shared" si="34"/>
        <v>-5.3591535497659812E-2</v>
      </c>
      <c r="S254" s="277"/>
      <c r="T254" s="277"/>
    </row>
    <row r="255" spans="2:20" x14ac:dyDescent="0.3">
      <c r="B255" s="271">
        <v>43763</v>
      </c>
      <c r="C255" s="273">
        <v>2981.8</v>
      </c>
      <c r="D255" s="273">
        <v>142.19999999999999</v>
      </c>
      <c r="E255" s="273">
        <v>1796.3</v>
      </c>
      <c r="F255" s="274">
        <v>52.15</v>
      </c>
      <c r="H255" s="271">
        <v>43763</v>
      </c>
      <c r="I255" s="277">
        <f t="shared" si="27"/>
        <v>-1.1568932939967394E-2</v>
      </c>
      <c r="J255" s="277">
        <f t="shared" si="28"/>
        <v>-2.4021962937542898E-2</v>
      </c>
      <c r="K255" s="277">
        <f t="shared" si="29"/>
        <v>3.2393186260820748E-3</v>
      </c>
      <c r="L255" s="278">
        <f t="shared" si="30"/>
        <v>7.9710144927536267E-2</v>
      </c>
      <c r="N255" s="271">
        <v>43763</v>
      </c>
      <c r="O255" s="277">
        <f t="shared" si="31"/>
        <v>-1.4794835671267456E-2</v>
      </c>
      <c r="P255" s="277">
        <f t="shared" si="32"/>
        <v>-2.3003629694937661E-2</v>
      </c>
      <c r="Q255" s="277">
        <f t="shared" si="33"/>
        <v>1.9520355630529861E-3</v>
      </c>
      <c r="R255" s="278">
        <f t="shared" si="34"/>
        <v>8.2759234429876566E-2</v>
      </c>
      <c r="S255" s="277"/>
      <c r="T255" s="277"/>
    </row>
    <row r="256" spans="2:20" x14ac:dyDescent="0.3">
      <c r="B256" s="271">
        <v>43765</v>
      </c>
      <c r="C256" s="273">
        <v>3038.85</v>
      </c>
      <c r="D256" s="273">
        <v>144.65</v>
      </c>
      <c r="E256" s="273">
        <v>1792.6</v>
      </c>
      <c r="F256" s="274">
        <v>54.75</v>
      </c>
      <c r="H256" s="271">
        <v>43765</v>
      </c>
      <c r="I256" s="277">
        <f t="shared" si="27"/>
        <v>1.9132738614259751E-2</v>
      </c>
      <c r="J256" s="277">
        <f t="shared" si="28"/>
        <v>1.7229254571026843E-2</v>
      </c>
      <c r="K256" s="277">
        <f t="shared" si="29"/>
        <v>-2.0597895674442164E-3</v>
      </c>
      <c r="L256" s="278">
        <f t="shared" si="30"/>
        <v>4.9856184084372035E-2</v>
      </c>
      <c r="N256" s="271">
        <v>43765</v>
      </c>
      <c r="O256" s="277">
        <f t="shared" si="31"/>
        <v>1.5906835882959689E-2</v>
      </c>
      <c r="P256" s="277">
        <f t="shared" si="32"/>
        <v>1.8247587813632081E-2</v>
      </c>
      <c r="Q256" s="277">
        <f t="shared" si="33"/>
        <v>-3.3470726304733051E-3</v>
      </c>
      <c r="R256" s="278">
        <f t="shared" si="34"/>
        <v>5.2905273586712334E-2</v>
      </c>
      <c r="S256" s="277"/>
      <c r="T256" s="277"/>
    </row>
    <row r="257" spans="2:20" x14ac:dyDescent="0.3">
      <c r="B257" s="271">
        <v>43767</v>
      </c>
      <c r="C257" s="273">
        <v>3010.8</v>
      </c>
      <c r="D257" s="273">
        <v>149.5</v>
      </c>
      <c r="E257" s="273">
        <v>1814.25</v>
      </c>
      <c r="F257" s="274">
        <v>58.15</v>
      </c>
      <c r="H257" s="271">
        <v>43767</v>
      </c>
      <c r="I257" s="277">
        <f t="shared" si="27"/>
        <v>-9.2304654721357508E-3</v>
      </c>
      <c r="J257" s="277">
        <f t="shared" si="28"/>
        <v>3.3529208434151359E-2</v>
      </c>
      <c r="K257" s="277">
        <f t="shared" si="29"/>
        <v>1.2077429432109836E-2</v>
      </c>
      <c r="L257" s="278">
        <f t="shared" si="30"/>
        <v>6.2100456621004538E-2</v>
      </c>
      <c r="N257" s="271">
        <v>43767</v>
      </c>
      <c r="O257" s="277">
        <f t="shared" si="31"/>
        <v>-1.2456368203435812E-2</v>
      </c>
      <c r="P257" s="277">
        <f t="shared" si="32"/>
        <v>3.4547541676756596E-2</v>
      </c>
      <c r="Q257" s="277">
        <f t="shared" si="33"/>
        <v>1.0790146369080747E-2</v>
      </c>
      <c r="R257" s="278">
        <f t="shared" si="34"/>
        <v>6.5149546123344837E-2</v>
      </c>
      <c r="S257" s="277"/>
      <c r="T257" s="277"/>
    </row>
    <row r="258" spans="2:20" x14ac:dyDescent="0.3">
      <c r="B258" s="271">
        <v>43768</v>
      </c>
      <c r="C258" s="273">
        <v>2971.55</v>
      </c>
      <c r="D258" s="273">
        <v>150.1</v>
      </c>
      <c r="E258" s="273">
        <v>1821.3</v>
      </c>
      <c r="F258" s="274">
        <v>56.8</v>
      </c>
      <c r="H258" s="271">
        <v>43768</v>
      </c>
      <c r="I258" s="277">
        <f t="shared" si="27"/>
        <v>-1.3036402285106947E-2</v>
      </c>
      <c r="J258" s="277">
        <f t="shared" si="28"/>
        <v>4.013377926421367E-3</v>
      </c>
      <c r="K258" s="277">
        <f t="shared" si="29"/>
        <v>3.8859032658122941E-3</v>
      </c>
      <c r="L258" s="278">
        <f t="shared" si="30"/>
        <v>-2.3215821152192631E-2</v>
      </c>
      <c r="N258" s="271">
        <v>43768</v>
      </c>
      <c r="O258" s="277">
        <f t="shared" si="31"/>
        <v>-1.6262305016407009E-2</v>
      </c>
      <c r="P258" s="277">
        <f t="shared" si="32"/>
        <v>5.0317111690266047E-3</v>
      </c>
      <c r="Q258" s="277">
        <f t="shared" si="33"/>
        <v>2.5986202027832054E-3</v>
      </c>
      <c r="R258" s="278">
        <f t="shared" si="34"/>
        <v>-2.0166731649852328E-2</v>
      </c>
      <c r="S258" s="277"/>
      <c r="T258" s="277"/>
    </row>
    <row r="259" spans="2:20" x14ac:dyDescent="0.3">
      <c r="B259" s="271">
        <v>43769</v>
      </c>
      <c r="C259" s="273">
        <v>3019.95</v>
      </c>
      <c r="D259" s="273">
        <v>148.35</v>
      </c>
      <c r="E259" s="273">
        <v>1809.6</v>
      </c>
      <c r="F259" s="274">
        <v>70.400000000000006</v>
      </c>
      <c r="H259" s="271">
        <v>43769</v>
      </c>
      <c r="I259" s="277">
        <f t="shared" si="27"/>
        <v>1.6287795931416139E-2</v>
      </c>
      <c r="J259" s="277">
        <f t="shared" si="28"/>
        <v>-1.1658894070619588E-2</v>
      </c>
      <c r="K259" s="277">
        <f t="shared" si="29"/>
        <v>-6.4239828693790401E-3</v>
      </c>
      <c r="L259" s="278">
        <f t="shared" si="30"/>
        <v>0.23943661971831001</v>
      </c>
      <c r="N259" s="271">
        <v>43769</v>
      </c>
      <c r="O259" s="277">
        <f t="shared" si="31"/>
        <v>1.3061893200116078E-2</v>
      </c>
      <c r="P259" s="277">
        <f t="shared" si="32"/>
        <v>-1.064056082801435E-2</v>
      </c>
      <c r="Q259" s="277">
        <f t="shared" si="33"/>
        <v>-7.7112659324081283E-3</v>
      </c>
      <c r="R259" s="278">
        <f t="shared" si="34"/>
        <v>0.24248570922065033</v>
      </c>
      <c r="S259" s="277"/>
      <c r="T259" s="277"/>
    </row>
    <row r="260" spans="2:20" x14ac:dyDescent="0.3">
      <c r="B260" s="271">
        <v>43770</v>
      </c>
      <c r="C260" s="273">
        <v>3013.35</v>
      </c>
      <c r="D260" s="273">
        <v>153.05000000000001</v>
      </c>
      <c r="E260" s="273">
        <v>1766.35</v>
      </c>
      <c r="F260" s="274">
        <v>66.599999999999994</v>
      </c>
      <c r="H260" s="271">
        <v>43770</v>
      </c>
      <c r="I260" s="277">
        <f t="shared" si="27"/>
        <v>-2.1854666467987583E-3</v>
      </c>
      <c r="J260" s="277">
        <f t="shared" si="28"/>
        <v>3.1681833501853843E-2</v>
      </c>
      <c r="K260" s="277">
        <f t="shared" si="29"/>
        <v>-2.3900309460654291E-2</v>
      </c>
      <c r="L260" s="278">
        <f t="shared" si="30"/>
        <v>-5.3977272727272887E-2</v>
      </c>
      <c r="N260" s="271">
        <v>43770</v>
      </c>
      <c r="O260" s="277">
        <f t="shared" si="31"/>
        <v>-5.4113693780988197E-3</v>
      </c>
      <c r="P260" s="277">
        <f t="shared" si="32"/>
        <v>3.270016674445908E-2</v>
      </c>
      <c r="Q260" s="277">
        <f t="shared" si="33"/>
        <v>-2.518759252368338E-2</v>
      </c>
      <c r="R260" s="278">
        <f t="shared" si="34"/>
        <v>-5.0928183224932588E-2</v>
      </c>
      <c r="S260" s="277"/>
      <c r="T260" s="277"/>
    </row>
    <row r="261" spans="2:20" x14ac:dyDescent="0.3">
      <c r="B261" s="271">
        <v>43773</v>
      </c>
      <c r="C261" s="273">
        <v>3015.25</v>
      </c>
      <c r="D261" s="273">
        <v>157.6</v>
      </c>
      <c r="E261" s="273">
        <v>1785.9</v>
      </c>
      <c r="F261" s="274">
        <v>66.150000000000006</v>
      </c>
      <c r="H261" s="271">
        <v>43773</v>
      </c>
      <c r="I261" s="277">
        <f t="shared" si="27"/>
        <v>6.3052748602057207E-4</v>
      </c>
      <c r="J261" s="277">
        <f t="shared" si="28"/>
        <v>2.9728846782097241E-2</v>
      </c>
      <c r="K261" s="277">
        <f t="shared" si="29"/>
        <v>1.1068021626518064E-2</v>
      </c>
      <c r="L261" s="278">
        <f t="shared" si="30"/>
        <v>-6.7567567567565863E-3</v>
      </c>
      <c r="N261" s="271">
        <v>43773</v>
      </c>
      <c r="O261" s="277">
        <f t="shared" si="31"/>
        <v>-2.5953752452794895E-3</v>
      </c>
      <c r="P261" s="277">
        <f t="shared" si="32"/>
        <v>3.0747180024702479E-2</v>
      </c>
      <c r="Q261" s="277">
        <f t="shared" si="33"/>
        <v>9.7807385634889749E-3</v>
      </c>
      <c r="R261" s="278">
        <f t="shared" si="34"/>
        <v>-3.7076672544162849E-3</v>
      </c>
      <c r="S261" s="277"/>
      <c r="T261" s="277"/>
    </row>
    <row r="262" spans="2:20" x14ac:dyDescent="0.3">
      <c r="B262" s="271">
        <v>43774</v>
      </c>
      <c r="C262" s="273">
        <v>2952.5</v>
      </c>
      <c r="D262" s="273">
        <v>157.5</v>
      </c>
      <c r="E262" s="273">
        <v>1793.85</v>
      </c>
      <c r="F262" s="274">
        <v>68.3</v>
      </c>
      <c r="H262" s="271">
        <v>43774</v>
      </c>
      <c r="I262" s="277">
        <f t="shared" si="27"/>
        <v>-2.0810878036647044E-2</v>
      </c>
      <c r="J262" s="277">
        <f t="shared" si="28"/>
        <v>-6.3451776649742588E-4</v>
      </c>
      <c r="K262" s="277">
        <f t="shared" si="29"/>
        <v>4.4515370401477222E-3</v>
      </c>
      <c r="L262" s="278">
        <f t="shared" si="30"/>
        <v>3.2501889644746658E-2</v>
      </c>
      <c r="N262" s="271">
        <v>43774</v>
      </c>
      <c r="O262" s="277">
        <f t="shared" si="31"/>
        <v>-2.4036780767947106E-2</v>
      </c>
      <c r="P262" s="277">
        <f t="shared" si="32"/>
        <v>3.8381547610781205E-4</v>
      </c>
      <c r="Q262" s="277">
        <f t="shared" si="33"/>
        <v>3.1642539771186335E-3</v>
      </c>
      <c r="R262" s="278">
        <f t="shared" si="34"/>
        <v>3.5550979147086957E-2</v>
      </c>
      <c r="S262" s="277"/>
      <c r="T262" s="277"/>
    </row>
    <row r="263" spans="2:20" x14ac:dyDescent="0.3">
      <c r="B263" s="271">
        <v>43775</v>
      </c>
      <c r="C263" s="273">
        <v>2811.35</v>
      </c>
      <c r="D263" s="273">
        <v>157.94999999999999</v>
      </c>
      <c r="E263" s="273">
        <v>1797.6</v>
      </c>
      <c r="F263" s="274">
        <v>68.7</v>
      </c>
      <c r="H263" s="271">
        <v>43775</v>
      </c>
      <c r="I263" s="277">
        <f t="shared" si="27"/>
        <v>-4.7806943268416627E-2</v>
      </c>
      <c r="J263" s="277">
        <f t="shared" si="28"/>
        <v>2.8571428571427851E-3</v>
      </c>
      <c r="K263" s="277">
        <f t="shared" si="29"/>
        <v>2.0904757922903254E-3</v>
      </c>
      <c r="L263" s="278">
        <f t="shared" si="30"/>
        <v>5.8565153733529385E-3</v>
      </c>
      <c r="N263" s="271">
        <v>43775</v>
      </c>
      <c r="O263" s="277">
        <f t="shared" si="31"/>
        <v>-5.1032845999716692E-2</v>
      </c>
      <c r="P263" s="277">
        <f t="shared" si="32"/>
        <v>3.8754760997480233E-3</v>
      </c>
      <c r="Q263" s="277">
        <f t="shared" si="33"/>
        <v>8.0319272926123678E-4</v>
      </c>
      <c r="R263" s="278">
        <f t="shared" si="34"/>
        <v>8.9056048756932394E-3</v>
      </c>
      <c r="S263" s="277"/>
      <c r="T263" s="277"/>
    </row>
    <row r="264" spans="2:20" x14ac:dyDescent="0.3">
      <c r="B264" s="271">
        <v>43776</v>
      </c>
      <c r="C264" s="273">
        <v>2747</v>
      </c>
      <c r="D264" s="273">
        <v>160.94999999999999</v>
      </c>
      <c r="E264" s="273">
        <v>1826.95</v>
      </c>
      <c r="F264" s="274">
        <v>66.45</v>
      </c>
      <c r="H264" s="271">
        <v>43776</v>
      </c>
      <c r="I264" s="277">
        <f t="shared" si="27"/>
        <v>-2.2889359204652536E-2</v>
      </c>
      <c r="J264" s="277">
        <f t="shared" si="28"/>
        <v>1.8993352326685663E-2</v>
      </c>
      <c r="K264" s="277">
        <f t="shared" si="29"/>
        <v>1.6327325322652502E-2</v>
      </c>
      <c r="L264" s="278">
        <f t="shared" si="30"/>
        <v>-3.2751091703056769E-2</v>
      </c>
      <c r="N264" s="271">
        <v>43776</v>
      </c>
      <c r="O264" s="277">
        <f t="shared" si="31"/>
        <v>-2.6115261935952597E-2</v>
      </c>
      <c r="P264" s="277">
        <f t="shared" si="32"/>
        <v>2.00116855692909E-2</v>
      </c>
      <c r="Q264" s="277">
        <f t="shared" si="33"/>
        <v>1.5040042259623413E-2</v>
      </c>
      <c r="R264" s="278">
        <f t="shared" si="34"/>
        <v>-2.9702002200716466E-2</v>
      </c>
      <c r="S264" s="277"/>
      <c r="T264" s="277"/>
    </row>
    <row r="265" spans="2:20" x14ac:dyDescent="0.3">
      <c r="B265" s="271">
        <v>43777</v>
      </c>
      <c r="C265" s="273">
        <v>2729.1</v>
      </c>
      <c r="D265" s="273">
        <v>155.5</v>
      </c>
      <c r="E265" s="273">
        <v>1794.85</v>
      </c>
      <c r="F265" s="274">
        <v>68.95</v>
      </c>
      <c r="H265" s="271">
        <v>43777</v>
      </c>
      <c r="I265" s="277">
        <f t="shared" si="27"/>
        <v>-6.5161994903531455E-3</v>
      </c>
      <c r="J265" s="277">
        <f t="shared" si="28"/>
        <v>-3.3861447654551034E-2</v>
      </c>
      <c r="K265" s="277">
        <f t="shared" si="29"/>
        <v>-1.7570267385533338E-2</v>
      </c>
      <c r="L265" s="278">
        <f t="shared" si="30"/>
        <v>3.7622272385252065E-2</v>
      </c>
      <c r="N265" s="271">
        <v>43777</v>
      </c>
      <c r="O265" s="277">
        <f t="shared" si="31"/>
        <v>-9.742102221653207E-3</v>
      </c>
      <c r="P265" s="277">
        <f t="shared" si="32"/>
        <v>-3.2843114411945797E-2</v>
      </c>
      <c r="Q265" s="277">
        <f t="shared" si="33"/>
        <v>-1.8857550448562427E-2</v>
      </c>
      <c r="R265" s="278">
        <f t="shared" si="34"/>
        <v>4.0671361887592364E-2</v>
      </c>
      <c r="S265" s="277"/>
      <c r="T265" s="277"/>
    </row>
    <row r="266" spans="2:20" x14ac:dyDescent="0.3">
      <c r="B266" s="271">
        <v>43780</v>
      </c>
      <c r="C266" s="273">
        <v>2989.4</v>
      </c>
      <c r="D266" s="273">
        <v>152.69999999999999</v>
      </c>
      <c r="E266" s="273">
        <v>1773.95</v>
      </c>
      <c r="F266" s="274">
        <v>73</v>
      </c>
      <c r="H266" s="271">
        <v>43780</v>
      </c>
      <c r="I266" s="277">
        <f t="shared" ref="I266:I329" si="35">(C266-C265)/C265</f>
        <v>9.5379429115825795E-2</v>
      </c>
      <c r="J266" s="277">
        <f t="shared" ref="J266:J329" si="36">(D266-D265)/D265</f>
        <v>-1.8006430868167275E-2</v>
      </c>
      <c r="K266" s="277">
        <f t="shared" ref="K266:K329" si="37">(E266-E265)/E265</f>
        <v>-1.1644427110900557E-2</v>
      </c>
      <c r="L266" s="278">
        <f t="shared" ref="L266:L329" si="38">(F266-F265)/F265</f>
        <v>5.8738216098622148E-2</v>
      </c>
      <c r="N266" s="271">
        <v>43780</v>
      </c>
      <c r="O266" s="277">
        <f t="shared" ref="O266:O329" si="39">I266-I$499</f>
        <v>9.215352638452573E-2</v>
      </c>
      <c r="P266" s="277">
        <f t="shared" ref="P266:P329" si="40">J266-J$499</f>
        <v>-1.6988097625562037E-2</v>
      </c>
      <c r="Q266" s="277">
        <f t="shared" ref="Q266:Q329" si="41">K266-K$499</f>
        <v>-1.2931710173929646E-2</v>
      </c>
      <c r="R266" s="278">
        <f t="shared" ref="R266:R329" si="42">L266-L$499</f>
        <v>6.1787305600962447E-2</v>
      </c>
      <c r="S266" s="277"/>
      <c r="T266" s="277"/>
    </row>
    <row r="267" spans="2:20" x14ac:dyDescent="0.3">
      <c r="B267" s="271">
        <v>43782</v>
      </c>
      <c r="C267" s="273">
        <v>2999.7</v>
      </c>
      <c r="D267" s="273">
        <v>148.4</v>
      </c>
      <c r="E267" s="273">
        <v>1770.45</v>
      </c>
      <c r="F267" s="274">
        <v>68.2</v>
      </c>
      <c r="H267" s="271">
        <v>43782</v>
      </c>
      <c r="I267" s="277">
        <f t="shared" si="35"/>
        <v>3.4455074596908167E-3</v>
      </c>
      <c r="J267" s="277">
        <f t="shared" si="36"/>
        <v>-2.815979043876872E-2</v>
      </c>
      <c r="K267" s="277">
        <f t="shared" si="37"/>
        <v>-1.9729981115589501E-3</v>
      </c>
      <c r="L267" s="278">
        <f t="shared" si="38"/>
        <v>-6.5753424657534212E-2</v>
      </c>
      <c r="N267" s="271">
        <v>43782</v>
      </c>
      <c r="O267" s="277">
        <f t="shared" si="39"/>
        <v>2.1960472839075524E-4</v>
      </c>
      <c r="P267" s="277">
        <f t="shared" si="40"/>
        <v>-2.7141457196163482E-2</v>
      </c>
      <c r="Q267" s="277">
        <f t="shared" si="41"/>
        <v>-3.2602811745880388E-3</v>
      </c>
      <c r="R267" s="278">
        <f t="shared" si="42"/>
        <v>-6.2704335155193913E-2</v>
      </c>
      <c r="S267" s="277"/>
      <c r="T267" s="277"/>
    </row>
    <row r="268" spans="2:20" x14ac:dyDescent="0.3">
      <c r="B268" s="271">
        <v>43783</v>
      </c>
      <c r="C268" s="273">
        <v>3263.15</v>
      </c>
      <c r="D268" s="273">
        <v>144</v>
      </c>
      <c r="E268" s="273">
        <v>1771.85</v>
      </c>
      <c r="F268" s="274">
        <v>68.75</v>
      </c>
      <c r="H268" s="271">
        <v>43783</v>
      </c>
      <c r="I268" s="277">
        <f t="shared" si="35"/>
        <v>8.7825449211587928E-2</v>
      </c>
      <c r="J268" s="277">
        <f t="shared" si="36"/>
        <v>-2.9649595687331574E-2</v>
      </c>
      <c r="K268" s="277">
        <f t="shared" si="37"/>
        <v>7.907594114489895E-4</v>
      </c>
      <c r="L268" s="278">
        <f t="shared" si="38"/>
        <v>8.0645161290322162E-3</v>
      </c>
      <c r="N268" s="271">
        <v>43783</v>
      </c>
      <c r="O268" s="277">
        <f t="shared" si="39"/>
        <v>8.4599546480287863E-2</v>
      </c>
      <c r="P268" s="277">
        <f t="shared" si="40"/>
        <v>-2.8631262444726337E-2</v>
      </c>
      <c r="Q268" s="277">
        <f t="shared" si="41"/>
        <v>-4.9652365158009914E-4</v>
      </c>
      <c r="R268" s="278">
        <f t="shared" si="42"/>
        <v>1.1113605631372517E-2</v>
      </c>
      <c r="S268" s="277"/>
      <c r="T268" s="277"/>
    </row>
    <row r="269" spans="2:20" x14ac:dyDescent="0.3">
      <c r="B269" s="271">
        <v>43784</v>
      </c>
      <c r="C269" s="273">
        <v>3281.1</v>
      </c>
      <c r="D269" s="273">
        <v>142.1</v>
      </c>
      <c r="E269" s="273">
        <v>1760.7</v>
      </c>
      <c r="F269" s="274">
        <v>68.7</v>
      </c>
      <c r="H269" s="271">
        <v>43784</v>
      </c>
      <c r="I269" s="277">
        <f t="shared" si="35"/>
        <v>5.500819760047751E-3</v>
      </c>
      <c r="J269" s="277">
        <f t="shared" si="36"/>
        <v>-1.3194444444444484E-2</v>
      </c>
      <c r="K269" s="277">
        <f t="shared" si="37"/>
        <v>-6.2928577475519169E-3</v>
      </c>
      <c r="L269" s="278">
        <f t="shared" si="38"/>
        <v>-7.2727272727268592E-4</v>
      </c>
      <c r="N269" s="271">
        <v>43784</v>
      </c>
      <c r="O269" s="277">
        <f t="shared" si="39"/>
        <v>2.2749170287476896E-3</v>
      </c>
      <c r="P269" s="277">
        <f t="shared" si="40"/>
        <v>-1.2176111201839247E-2</v>
      </c>
      <c r="Q269" s="277">
        <f t="shared" si="41"/>
        <v>-7.5801408105810059E-3</v>
      </c>
      <c r="R269" s="278">
        <f t="shared" si="42"/>
        <v>2.3218167750676155E-3</v>
      </c>
      <c r="S269" s="277"/>
      <c r="T269" s="277"/>
    </row>
    <row r="270" spans="2:20" x14ac:dyDescent="0.3">
      <c r="B270" s="271">
        <v>43787</v>
      </c>
      <c r="C270" s="273">
        <v>3344.9</v>
      </c>
      <c r="D270" s="273">
        <v>143.4</v>
      </c>
      <c r="E270" s="273">
        <v>1739</v>
      </c>
      <c r="F270" s="274">
        <v>65.849999999999994</v>
      </c>
      <c r="H270" s="271">
        <v>43787</v>
      </c>
      <c r="I270" s="277">
        <f t="shared" si="35"/>
        <v>1.9444698424308977E-2</v>
      </c>
      <c r="J270" s="277">
        <f t="shared" si="36"/>
        <v>9.1484869809993763E-3</v>
      </c>
      <c r="K270" s="277">
        <f t="shared" si="37"/>
        <v>-1.2324643607656071E-2</v>
      </c>
      <c r="L270" s="278">
        <f t="shared" si="38"/>
        <v>-4.1484716157205365E-2</v>
      </c>
      <c r="N270" s="271">
        <v>43787</v>
      </c>
      <c r="O270" s="277">
        <f t="shared" si="39"/>
        <v>1.6218795693008915E-2</v>
      </c>
      <c r="P270" s="277">
        <f t="shared" si="40"/>
        <v>1.0166820223604614E-2</v>
      </c>
      <c r="Q270" s="277">
        <f t="shared" si="41"/>
        <v>-1.361192667068516E-2</v>
      </c>
      <c r="R270" s="278">
        <f t="shared" si="42"/>
        <v>-3.8435626654865065E-2</v>
      </c>
      <c r="S270" s="277"/>
      <c r="T270" s="277"/>
    </row>
    <row r="271" spans="2:20" x14ac:dyDescent="0.3">
      <c r="B271" s="271">
        <v>43788</v>
      </c>
      <c r="C271" s="273">
        <v>3232.45</v>
      </c>
      <c r="D271" s="273">
        <v>141.69999999999999</v>
      </c>
      <c r="E271" s="273">
        <v>1721.35</v>
      </c>
      <c r="F271" s="274">
        <v>64.150000000000006</v>
      </c>
      <c r="H271" s="271">
        <v>43788</v>
      </c>
      <c r="I271" s="277">
        <f t="shared" si="35"/>
        <v>-3.3618344345122508E-2</v>
      </c>
      <c r="J271" s="277">
        <f t="shared" si="36"/>
        <v>-1.1854951185495236E-2</v>
      </c>
      <c r="K271" s="277">
        <f t="shared" si="37"/>
        <v>-1.0149511213341053E-2</v>
      </c>
      <c r="L271" s="278">
        <f t="shared" si="38"/>
        <v>-2.5816249050873027E-2</v>
      </c>
      <c r="N271" s="271">
        <v>43788</v>
      </c>
      <c r="O271" s="277">
        <f t="shared" si="39"/>
        <v>-3.6844247076422573E-2</v>
      </c>
      <c r="P271" s="277">
        <f t="shared" si="40"/>
        <v>-1.0836617942889998E-2</v>
      </c>
      <c r="Q271" s="277">
        <f t="shared" si="41"/>
        <v>-1.1436794276370142E-2</v>
      </c>
      <c r="R271" s="278">
        <f t="shared" si="42"/>
        <v>-2.2767159548532725E-2</v>
      </c>
      <c r="S271" s="277"/>
      <c r="T271" s="277"/>
    </row>
    <row r="272" spans="2:20" x14ac:dyDescent="0.3">
      <c r="B272" s="271">
        <v>43789</v>
      </c>
      <c r="C272" s="273">
        <v>3103.55</v>
      </c>
      <c r="D272" s="273">
        <v>141.44999999999999</v>
      </c>
      <c r="E272" s="273">
        <v>1723.5</v>
      </c>
      <c r="F272" s="274">
        <v>65.849999999999994</v>
      </c>
      <c r="H272" s="271">
        <v>43789</v>
      </c>
      <c r="I272" s="277">
        <f t="shared" si="35"/>
        <v>-3.9876873578864221E-2</v>
      </c>
      <c r="J272" s="277">
        <f t="shared" si="36"/>
        <v>-1.7642907551164433E-3</v>
      </c>
      <c r="K272" s="277">
        <f t="shared" si="37"/>
        <v>1.2490196647980312E-3</v>
      </c>
      <c r="L272" s="278">
        <f t="shared" si="38"/>
        <v>2.6500389711613226E-2</v>
      </c>
      <c r="N272" s="271">
        <v>43789</v>
      </c>
      <c r="O272" s="277">
        <f t="shared" si="39"/>
        <v>-4.3102776310164279E-2</v>
      </c>
      <c r="P272" s="277">
        <f t="shared" si="40"/>
        <v>-7.4595751251120535E-4</v>
      </c>
      <c r="Q272" s="277">
        <f t="shared" si="41"/>
        <v>-3.8263398231057474E-5</v>
      </c>
      <c r="R272" s="278">
        <f t="shared" si="42"/>
        <v>2.9549479213953529E-2</v>
      </c>
      <c r="S272" s="277"/>
      <c r="T272" s="277"/>
    </row>
    <row r="273" spans="2:20" x14ac:dyDescent="0.3">
      <c r="B273" s="271">
        <v>43790</v>
      </c>
      <c r="C273" s="273">
        <v>3139.85</v>
      </c>
      <c r="D273" s="273">
        <v>139.05000000000001</v>
      </c>
      <c r="E273" s="273">
        <v>1720.35</v>
      </c>
      <c r="F273" s="274">
        <v>64.25</v>
      </c>
      <c r="H273" s="271">
        <v>43790</v>
      </c>
      <c r="I273" s="277">
        <f t="shared" si="35"/>
        <v>1.1696283288492123E-2</v>
      </c>
      <c r="J273" s="277">
        <f t="shared" si="36"/>
        <v>-1.6967126193000902E-2</v>
      </c>
      <c r="K273" s="277">
        <f t="shared" si="37"/>
        <v>-1.8276762402089301E-3</v>
      </c>
      <c r="L273" s="278">
        <f t="shared" si="38"/>
        <v>-2.4297646165527629E-2</v>
      </c>
      <c r="N273" s="271">
        <v>43790</v>
      </c>
      <c r="O273" s="277">
        <f t="shared" si="39"/>
        <v>8.4703805571920612E-3</v>
      </c>
      <c r="P273" s="277">
        <f t="shared" si="40"/>
        <v>-1.5948792950395665E-2</v>
      </c>
      <c r="Q273" s="277">
        <f t="shared" si="41"/>
        <v>-3.1149593032380185E-3</v>
      </c>
      <c r="R273" s="278">
        <f t="shared" si="42"/>
        <v>-2.1248556663187326E-2</v>
      </c>
      <c r="S273" s="277"/>
      <c r="T273" s="277"/>
    </row>
    <row r="274" spans="2:20" x14ac:dyDescent="0.3">
      <c r="B274" s="271">
        <v>43791</v>
      </c>
      <c r="C274" s="273">
        <v>3177</v>
      </c>
      <c r="D274" s="273">
        <v>142.25</v>
      </c>
      <c r="E274" s="273">
        <v>1682.75</v>
      </c>
      <c r="F274" s="274">
        <v>64.8</v>
      </c>
      <c r="H274" s="271">
        <v>43791</v>
      </c>
      <c r="I274" s="277">
        <f t="shared" si="35"/>
        <v>1.1831775403283626E-2</v>
      </c>
      <c r="J274" s="277">
        <f t="shared" si="36"/>
        <v>2.3013304566702541E-2</v>
      </c>
      <c r="K274" s="277">
        <f t="shared" si="37"/>
        <v>-2.1856017670822746E-2</v>
      </c>
      <c r="L274" s="278">
        <f t="shared" si="38"/>
        <v>8.5603112840466483E-3</v>
      </c>
      <c r="N274" s="271">
        <v>43791</v>
      </c>
      <c r="O274" s="277">
        <f t="shared" si="39"/>
        <v>8.6058726719835648E-3</v>
      </c>
      <c r="P274" s="277">
        <f t="shared" si="40"/>
        <v>2.4031637809307779E-2</v>
      </c>
      <c r="Q274" s="277">
        <f t="shared" si="41"/>
        <v>-2.3143300733851836E-2</v>
      </c>
      <c r="R274" s="278">
        <f t="shared" si="42"/>
        <v>1.1609400786386949E-2</v>
      </c>
      <c r="S274" s="277"/>
      <c r="T274" s="277"/>
    </row>
    <row r="275" spans="2:20" x14ac:dyDescent="0.3">
      <c r="B275" s="271">
        <v>43794</v>
      </c>
      <c r="C275" s="273">
        <v>3190.3</v>
      </c>
      <c r="D275" s="273">
        <v>146.15</v>
      </c>
      <c r="E275" s="273">
        <v>1710.7</v>
      </c>
      <c r="F275" s="274">
        <v>63.75</v>
      </c>
      <c r="H275" s="271">
        <v>43794</v>
      </c>
      <c r="I275" s="277">
        <f t="shared" si="35"/>
        <v>4.186339313818125E-3</v>
      </c>
      <c r="J275" s="277">
        <f t="shared" si="36"/>
        <v>2.7416520210896349E-2</v>
      </c>
      <c r="K275" s="277">
        <f t="shared" si="37"/>
        <v>1.6609716238300428E-2</v>
      </c>
      <c r="L275" s="278">
        <f t="shared" si="38"/>
        <v>-1.6203703703703661E-2</v>
      </c>
      <c r="N275" s="271">
        <v>43794</v>
      </c>
      <c r="O275" s="277">
        <f t="shared" si="39"/>
        <v>9.6043658251806358E-4</v>
      </c>
      <c r="P275" s="277">
        <f t="shared" si="40"/>
        <v>2.8434853453501586E-2</v>
      </c>
      <c r="Q275" s="277">
        <f t="shared" si="41"/>
        <v>1.5322433175271339E-2</v>
      </c>
      <c r="R275" s="278">
        <f t="shared" si="42"/>
        <v>-1.315461420136336E-2</v>
      </c>
      <c r="S275" s="277"/>
      <c r="T275" s="277"/>
    </row>
    <row r="276" spans="2:20" x14ac:dyDescent="0.3">
      <c r="B276" s="271">
        <v>43795</v>
      </c>
      <c r="C276" s="273">
        <v>3222.05</v>
      </c>
      <c r="D276" s="273">
        <v>145.1</v>
      </c>
      <c r="E276" s="273">
        <v>1710.3</v>
      </c>
      <c r="F276" s="274">
        <v>63.15</v>
      </c>
      <c r="H276" s="271">
        <v>43795</v>
      </c>
      <c r="I276" s="277">
        <f t="shared" si="35"/>
        <v>9.9520421276995882E-3</v>
      </c>
      <c r="J276" s="277">
        <f t="shared" si="36"/>
        <v>-7.1843995894629578E-3</v>
      </c>
      <c r="K276" s="277">
        <f t="shared" si="37"/>
        <v>-2.3382241187823167E-4</v>
      </c>
      <c r="L276" s="278">
        <f t="shared" si="38"/>
        <v>-9.4117647058823747E-3</v>
      </c>
      <c r="N276" s="271">
        <v>43795</v>
      </c>
      <c r="O276" s="277">
        <f t="shared" si="39"/>
        <v>6.7261393963995268E-3</v>
      </c>
      <c r="P276" s="277">
        <f t="shared" si="40"/>
        <v>-6.1660663468577201E-3</v>
      </c>
      <c r="Q276" s="277">
        <f t="shared" si="41"/>
        <v>-1.5211054749073203E-3</v>
      </c>
      <c r="R276" s="278">
        <f t="shared" si="42"/>
        <v>-6.3626752035420737E-3</v>
      </c>
      <c r="S276" s="277"/>
      <c r="T276" s="277"/>
    </row>
    <row r="277" spans="2:20" x14ac:dyDescent="0.3">
      <c r="B277" s="271">
        <v>43796</v>
      </c>
      <c r="C277" s="273">
        <v>3257.65</v>
      </c>
      <c r="D277" s="273">
        <v>146.94999999999999</v>
      </c>
      <c r="E277" s="273">
        <v>1715.35</v>
      </c>
      <c r="F277" s="274">
        <v>68.25</v>
      </c>
      <c r="H277" s="271">
        <v>43796</v>
      </c>
      <c r="I277" s="277">
        <f t="shared" si="35"/>
        <v>1.104886640492851E-2</v>
      </c>
      <c r="J277" s="277">
        <f t="shared" si="36"/>
        <v>1.2749827705030975E-2</v>
      </c>
      <c r="K277" s="277">
        <f t="shared" si="37"/>
        <v>2.952698357013363E-3</v>
      </c>
      <c r="L277" s="278">
        <f t="shared" si="38"/>
        <v>8.0760095011876504E-2</v>
      </c>
      <c r="N277" s="271">
        <v>43796</v>
      </c>
      <c r="O277" s="277">
        <f t="shared" si="39"/>
        <v>7.8229636736284486E-3</v>
      </c>
      <c r="P277" s="277">
        <f t="shared" si="40"/>
        <v>1.3768160947636212E-2</v>
      </c>
      <c r="Q277" s="277">
        <f t="shared" si="41"/>
        <v>1.6654152939842744E-3</v>
      </c>
      <c r="R277" s="278">
        <f t="shared" si="42"/>
        <v>8.3809184514216803E-2</v>
      </c>
      <c r="S277" s="277"/>
      <c r="T277" s="277"/>
    </row>
    <row r="278" spans="2:20" x14ac:dyDescent="0.3">
      <c r="B278" s="271">
        <v>43797</v>
      </c>
      <c r="C278" s="273">
        <v>3339.15</v>
      </c>
      <c r="D278" s="273">
        <v>147.4</v>
      </c>
      <c r="E278" s="273">
        <v>1714.6</v>
      </c>
      <c r="F278" s="274">
        <v>70.05</v>
      </c>
      <c r="H278" s="271">
        <v>43797</v>
      </c>
      <c r="I278" s="277">
        <f t="shared" si="35"/>
        <v>2.5018034472702715E-2</v>
      </c>
      <c r="J278" s="277">
        <f t="shared" si="36"/>
        <v>3.0622660768970201E-3</v>
      </c>
      <c r="K278" s="277">
        <f t="shared" si="37"/>
        <v>-4.3722855393942927E-4</v>
      </c>
      <c r="L278" s="278">
        <f t="shared" si="38"/>
        <v>2.6373626373626332E-2</v>
      </c>
      <c r="N278" s="271">
        <v>43797</v>
      </c>
      <c r="O278" s="277">
        <f t="shared" si="39"/>
        <v>2.1792131741402654E-2</v>
      </c>
      <c r="P278" s="277">
        <f t="shared" si="40"/>
        <v>4.0805993195022578E-3</v>
      </c>
      <c r="Q278" s="277">
        <f t="shared" si="41"/>
        <v>-1.7245116169685179E-3</v>
      </c>
      <c r="R278" s="278">
        <f t="shared" si="42"/>
        <v>2.9422715875966635E-2</v>
      </c>
      <c r="S278" s="277"/>
      <c r="T278" s="277"/>
    </row>
    <row r="279" spans="2:20" x14ac:dyDescent="0.3">
      <c r="B279" s="271">
        <v>43798</v>
      </c>
      <c r="C279" s="273">
        <v>3307.45</v>
      </c>
      <c r="D279" s="273">
        <v>144.6</v>
      </c>
      <c r="E279" s="273">
        <v>1706.15</v>
      </c>
      <c r="F279" s="274">
        <v>68.3</v>
      </c>
      <c r="H279" s="271">
        <v>43798</v>
      </c>
      <c r="I279" s="277">
        <f t="shared" si="35"/>
        <v>-9.4934339577438191E-3</v>
      </c>
      <c r="J279" s="277">
        <f t="shared" si="36"/>
        <v>-1.8995929443690714E-2</v>
      </c>
      <c r="K279" s="277">
        <f t="shared" si="37"/>
        <v>-4.9282631517554056E-3</v>
      </c>
      <c r="L279" s="278">
        <f t="shared" si="38"/>
        <v>-2.4982155603140616E-2</v>
      </c>
      <c r="N279" s="271">
        <v>43798</v>
      </c>
      <c r="O279" s="277">
        <f t="shared" si="39"/>
        <v>-1.271933668904388E-2</v>
      </c>
      <c r="P279" s="277">
        <f t="shared" si="40"/>
        <v>-1.7977596201085477E-2</v>
      </c>
      <c r="Q279" s="277">
        <f t="shared" si="41"/>
        <v>-6.2155462147844946E-3</v>
      </c>
      <c r="R279" s="278">
        <f t="shared" si="42"/>
        <v>-2.1933066100800314E-2</v>
      </c>
      <c r="S279" s="277"/>
      <c r="T279" s="277"/>
    </row>
    <row r="280" spans="2:20" x14ac:dyDescent="0.3">
      <c r="B280" s="271">
        <v>43801</v>
      </c>
      <c r="C280" s="273">
        <v>3272.5</v>
      </c>
      <c r="D280" s="273">
        <v>144.69999999999999</v>
      </c>
      <c r="E280" s="273">
        <v>1738.25</v>
      </c>
      <c r="F280" s="274">
        <v>64.05</v>
      </c>
      <c r="H280" s="271">
        <v>43801</v>
      </c>
      <c r="I280" s="277">
        <f t="shared" si="35"/>
        <v>-1.0567053167848287E-2</v>
      </c>
      <c r="J280" s="277">
        <f t="shared" si="36"/>
        <v>6.9156293222679332E-4</v>
      </c>
      <c r="K280" s="277">
        <f t="shared" si="37"/>
        <v>1.8814289482167398E-2</v>
      </c>
      <c r="L280" s="278">
        <f t="shared" si="38"/>
        <v>-6.2225475841874087E-2</v>
      </c>
      <c r="N280" s="271">
        <v>43801</v>
      </c>
      <c r="O280" s="277">
        <f t="shared" si="39"/>
        <v>-1.3792955899148349E-2</v>
      </c>
      <c r="P280" s="277">
        <f t="shared" si="40"/>
        <v>1.7098961748320313E-3</v>
      </c>
      <c r="Q280" s="277">
        <f t="shared" si="41"/>
        <v>1.7527006419138309E-2</v>
      </c>
      <c r="R280" s="278">
        <f t="shared" si="42"/>
        <v>-5.9176386339533787E-2</v>
      </c>
      <c r="S280" s="277"/>
      <c r="T280" s="277"/>
    </row>
    <row r="281" spans="2:20" x14ac:dyDescent="0.3">
      <c r="B281" s="271">
        <v>43802</v>
      </c>
      <c r="C281" s="273">
        <v>3289.35</v>
      </c>
      <c r="D281" s="273">
        <v>139.69999999999999</v>
      </c>
      <c r="E281" s="273">
        <v>1736.45</v>
      </c>
      <c r="F281" s="274">
        <v>59.5</v>
      </c>
      <c r="H281" s="271">
        <v>43802</v>
      </c>
      <c r="I281" s="277">
        <f t="shared" si="35"/>
        <v>5.1489686783804155E-3</v>
      </c>
      <c r="J281" s="277">
        <f t="shared" si="36"/>
        <v>-3.455425017277125E-2</v>
      </c>
      <c r="K281" s="277">
        <f t="shared" si="37"/>
        <v>-1.035524234143509E-3</v>
      </c>
      <c r="L281" s="278">
        <f t="shared" si="38"/>
        <v>-7.1038251366120173E-2</v>
      </c>
      <c r="N281" s="271">
        <v>43802</v>
      </c>
      <c r="O281" s="277">
        <f t="shared" si="39"/>
        <v>1.9230659470803541E-3</v>
      </c>
      <c r="P281" s="277">
        <f t="shared" si="40"/>
        <v>-3.3535916930166013E-2</v>
      </c>
      <c r="Q281" s="277">
        <f t="shared" si="41"/>
        <v>-2.3228072971725978E-3</v>
      </c>
      <c r="R281" s="278">
        <f t="shared" si="42"/>
        <v>-6.7989161863779873E-2</v>
      </c>
      <c r="S281" s="277"/>
      <c r="T281" s="277"/>
    </row>
    <row r="282" spans="2:20" x14ac:dyDescent="0.3">
      <c r="B282" s="271">
        <v>43803</v>
      </c>
      <c r="C282" s="273">
        <v>3483.35</v>
      </c>
      <c r="D282" s="273">
        <v>144.19999999999999</v>
      </c>
      <c r="E282" s="273">
        <v>1720.3</v>
      </c>
      <c r="F282" s="274">
        <v>63</v>
      </c>
      <c r="H282" s="271">
        <v>43803</v>
      </c>
      <c r="I282" s="277">
        <f t="shared" si="35"/>
        <v>5.8978217580981047E-2</v>
      </c>
      <c r="J282" s="277">
        <f t="shared" si="36"/>
        <v>3.2211882605583393E-2</v>
      </c>
      <c r="K282" s="277">
        <f t="shared" si="37"/>
        <v>-9.3005845259005963E-3</v>
      </c>
      <c r="L282" s="278">
        <f t="shared" si="38"/>
        <v>5.8823529411764705E-2</v>
      </c>
      <c r="N282" s="271">
        <v>43803</v>
      </c>
      <c r="O282" s="277">
        <f t="shared" si="39"/>
        <v>5.5752314849680989E-2</v>
      </c>
      <c r="P282" s="277">
        <f t="shared" si="40"/>
        <v>3.3230215848188631E-2</v>
      </c>
      <c r="Q282" s="277">
        <f t="shared" si="41"/>
        <v>-1.0587867588929685E-2</v>
      </c>
      <c r="R282" s="278">
        <f t="shared" si="42"/>
        <v>6.1872618914105004E-2</v>
      </c>
      <c r="S282" s="277"/>
      <c r="T282" s="277"/>
    </row>
    <row r="283" spans="2:20" x14ac:dyDescent="0.3">
      <c r="B283" s="271">
        <v>43804</v>
      </c>
      <c r="C283" s="273">
        <v>3511</v>
      </c>
      <c r="D283" s="273">
        <v>142.5</v>
      </c>
      <c r="E283" s="273">
        <v>1715.85</v>
      </c>
      <c r="F283" s="274">
        <v>62.1</v>
      </c>
      <c r="H283" s="271">
        <v>43804</v>
      </c>
      <c r="I283" s="277">
        <f t="shared" si="35"/>
        <v>7.9377610633442203E-3</v>
      </c>
      <c r="J283" s="277">
        <f t="shared" si="36"/>
        <v>-1.1789181692094235E-2</v>
      </c>
      <c r="K283" s="277">
        <f t="shared" si="37"/>
        <v>-2.5867581235831227E-3</v>
      </c>
      <c r="L283" s="278">
        <f t="shared" si="38"/>
        <v>-1.4285714285714263E-2</v>
      </c>
      <c r="N283" s="271">
        <v>43804</v>
      </c>
      <c r="O283" s="277">
        <f t="shared" si="39"/>
        <v>4.7118583320441589E-3</v>
      </c>
      <c r="P283" s="277">
        <f t="shared" si="40"/>
        <v>-1.0770848449488998E-2</v>
      </c>
      <c r="Q283" s="277">
        <f t="shared" si="41"/>
        <v>-3.8740411866122113E-3</v>
      </c>
      <c r="R283" s="278">
        <f t="shared" si="42"/>
        <v>-1.1236624783373962E-2</v>
      </c>
      <c r="S283" s="277"/>
      <c r="T283" s="277"/>
    </row>
    <row r="284" spans="2:20" x14ac:dyDescent="0.3">
      <c r="B284" s="271">
        <v>43805</v>
      </c>
      <c r="C284" s="273">
        <v>3450.35</v>
      </c>
      <c r="D284" s="273">
        <v>141.94999999999999</v>
      </c>
      <c r="E284" s="273">
        <v>1716.65</v>
      </c>
      <c r="F284" s="274">
        <v>56</v>
      </c>
      <c r="H284" s="271">
        <v>43805</v>
      </c>
      <c r="I284" s="277">
        <f t="shared" si="35"/>
        <v>-1.7274280831671915E-2</v>
      </c>
      <c r="J284" s="277">
        <f t="shared" si="36"/>
        <v>-3.8596491228070971E-3</v>
      </c>
      <c r="K284" s="277">
        <f t="shared" si="37"/>
        <v>4.6624122155210652E-4</v>
      </c>
      <c r="L284" s="278">
        <f t="shared" si="38"/>
        <v>-9.822866344605477E-2</v>
      </c>
      <c r="N284" s="271">
        <v>43805</v>
      </c>
      <c r="O284" s="277">
        <f t="shared" si="39"/>
        <v>-2.0500183562971976E-2</v>
      </c>
      <c r="P284" s="277">
        <f t="shared" si="40"/>
        <v>-2.841315880201859E-3</v>
      </c>
      <c r="Q284" s="277">
        <f t="shared" si="41"/>
        <v>-8.2104184147698206E-4</v>
      </c>
      <c r="R284" s="278">
        <f t="shared" si="42"/>
        <v>-9.5179573943714471E-2</v>
      </c>
      <c r="S284" s="277"/>
      <c r="T284" s="277"/>
    </row>
    <row r="285" spans="2:20" x14ac:dyDescent="0.3">
      <c r="B285" s="271">
        <v>43808</v>
      </c>
      <c r="C285" s="273">
        <v>3504.2</v>
      </c>
      <c r="D285" s="273">
        <v>142.6</v>
      </c>
      <c r="E285" s="273">
        <v>1726.35</v>
      </c>
      <c r="F285" s="274">
        <v>56.25</v>
      </c>
      <c r="H285" s="271">
        <v>43808</v>
      </c>
      <c r="I285" s="277">
        <f t="shared" si="35"/>
        <v>1.5607112321938328E-2</v>
      </c>
      <c r="J285" s="277">
        <f t="shared" si="36"/>
        <v>4.5790771398380118E-3</v>
      </c>
      <c r="K285" s="277">
        <f t="shared" si="37"/>
        <v>5.6505402965076265E-3</v>
      </c>
      <c r="L285" s="278">
        <f t="shared" si="38"/>
        <v>4.464285714285714E-3</v>
      </c>
      <c r="N285" s="271">
        <v>43808</v>
      </c>
      <c r="O285" s="277">
        <f t="shared" si="39"/>
        <v>1.2381209590638266E-2</v>
      </c>
      <c r="P285" s="277">
        <f t="shared" si="40"/>
        <v>5.5974103824432495E-3</v>
      </c>
      <c r="Q285" s="277">
        <f t="shared" si="41"/>
        <v>4.3632572334785374E-3</v>
      </c>
      <c r="R285" s="278">
        <f t="shared" si="42"/>
        <v>7.513375216626015E-3</v>
      </c>
      <c r="S285" s="277"/>
      <c r="T285" s="277"/>
    </row>
    <row r="286" spans="2:20" x14ac:dyDescent="0.3">
      <c r="B286" s="271">
        <v>43809</v>
      </c>
      <c r="C286" s="273">
        <v>3453.65</v>
      </c>
      <c r="D286" s="273">
        <v>140.85</v>
      </c>
      <c r="E286" s="273">
        <v>1713.15</v>
      </c>
      <c r="F286" s="274">
        <v>50.55</v>
      </c>
      <c r="H286" s="271">
        <v>43809</v>
      </c>
      <c r="I286" s="277">
        <f t="shared" si="35"/>
        <v>-1.4425546487072579E-2</v>
      </c>
      <c r="J286" s="277">
        <f t="shared" si="36"/>
        <v>-1.2272089761570827E-2</v>
      </c>
      <c r="K286" s="277">
        <f t="shared" si="37"/>
        <v>-7.6461899383090445E-3</v>
      </c>
      <c r="L286" s="278">
        <f t="shared" si="38"/>
        <v>-0.10133333333333339</v>
      </c>
      <c r="N286" s="271">
        <v>43809</v>
      </c>
      <c r="O286" s="277">
        <f t="shared" si="39"/>
        <v>-1.7651449218372639E-2</v>
      </c>
      <c r="P286" s="277">
        <f t="shared" si="40"/>
        <v>-1.1253756518965589E-2</v>
      </c>
      <c r="Q286" s="277">
        <f t="shared" si="41"/>
        <v>-8.9334730013381335E-3</v>
      </c>
      <c r="R286" s="278">
        <f t="shared" si="42"/>
        <v>-9.8284243830993087E-2</v>
      </c>
      <c r="S286" s="277"/>
      <c r="T286" s="277"/>
    </row>
    <row r="287" spans="2:20" x14ac:dyDescent="0.3">
      <c r="B287" s="271">
        <v>43810</v>
      </c>
      <c r="C287" s="273">
        <v>3443.35</v>
      </c>
      <c r="D287" s="273">
        <v>138.5</v>
      </c>
      <c r="E287" s="273">
        <v>1738.2</v>
      </c>
      <c r="F287" s="274">
        <v>42.8</v>
      </c>
      <c r="H287" s="271">
        <v>43810</v>
      </c>
      <c r="I287" s="277">
        <f t="shared" si="35"/>
        <v>-2.9823520044011936E-3</v>
      </c>
      <c r="J287" s="277">
        <f t="shared" si="36"/>
        <v>-1.6684416045438369E-2</v>
      </c>
      <c r="K287" s="277">
        <f t="shared" si="37"/>
        <v>1.4622187199019324E-2</v>
      </c>
      <c r="L287" s="278">
        <f t="shared" si="38"/>
        <v>-0.1533135509396637</v>
      </c>
      <c r="N287" s="271">
        <v>43810</v>
      </c>
      <c r="O287" s="277">
        <f t="shared" si="39"/>
        <v>-6.208254735701255E-3</v>
      </c>
      <c r="P287" s="277">
        <f t="shared" si="40"/>
        <v>-1.5666082802833131E-2</v>
      </c>
      <c r="Q287" s="277">
        <f t="shared" si="41"/>
        <v>1.3334904135990235E-2</v>
      </c>
      <c r="R287" s="278">
        <f t="shared" si="42"/>
        <v>-0.15026446143732339</v>
      </c>
      <c r="S287" s="277"/>
      <c r="T287" s="277"/>
    </row>
    <row r="288" spans="2:20" x14ac:dyDescent="0.3">
      <c r="B288" s="271">
        <v>43811</v>
      </c>
      <c r="C288" s="273">
        <v>3412.8</v>
      </c>
      <c r="D288" s="273">
        <v>144</v>
      </c>
      <c r="E288" s="273">
        <v>1750.65</v>
      </c>
      <c r="F288" s="274">
        <v>45.35</v>
      </c>
      <c r="H288" s="271">
        <v>43811</v>
      </c>
      <c r="I288" s="277">
        <f t="shared" si="35"/>
        <v>-8.8721739004166671E-3</v>
      </c>
      <c r="J288" s="277">
        <f t="shared" si="36"/>
        <v>3.9711191335740074E-2</v>
      </c>
      <c r="K288" s="277">
        <f t="shared" si="37"/>
        <v>7.1625819813600534E-3</v>
      </c>
      <c r="L288" s="278">
        <f t="shared" si="38"/>
        <v>5.9579439252336552E-2</v>
      </c>
      <c r="N288" s="271">
        <v>43811</v>
      </c>
      <c r="O288" s="277">
        <f t="shared" si="39"/>
        <v>-1.2098076631716729E-2</v>
      </c>
      <c r="P288" s="277">
        <f t="shared" si="40"/>
        <v>4.0729524578345312E-2</v>
      </c>
      <c r="Q288" s="277">
        <f t="shared" si="41"/>
        <v>5.8752989183309644E-3</v>
      </c>
      <c r="R288" s="278">
        <f t="shared" si="42"/>
        <v>6.2628528754676852E-2</v>
      </c>
      <c r="S288" s="277"/>
      <c r="T288" s="277"/>
    </row>
    <row r="289" spans="2:20" x14ac:dyDescent="0.3">
      <c r="B289" s="271">
        <v>43812</v>
      </c>
      <c r="C289" s="273">
        <v>3548.45</v>
      </c>
      <c r="D289" s="273">
        <v>149.4</v>
      </c>
      <c r="E289" s="273">
        <v>1743.95</v>
      </c>
      <c r="F289" s="274">
        <v>46.65</v>
      </c>
      <c r="H289" s="271">
        <v>43812</v>
      </c>
      <c r="I289" s="277">
        <f t="shared" si="35"/>
        <v>3.9747421472104909E-2</v>
      </c>
      <c r="J289" s="277">
        <f t="shared" si="36"/>
        <v>3.750000000000004E-2</v>
      </c>
      <c r="K289" s="277">
        <f t="shared" si="37"/>
        <v>-3.8271499157456058E-3</v>
      </c>
      <c r="L289" s="278">
        <f t="shared" si="38"/>
        <v>2.8665931642778326E-2</v>
      </c>
      <c r="N289" s="271">
        <v>43812</v>
      </c>
      <c r="O289" s="277">
        <f t="shared" si="39"/>
        <v>3.6521518740804851E-2</v>
      </c>
      <c r="P289" s="277">
        <f t="shared" si="40"/>
        <v>3.8518333242605278E-2</v>
      </c>
      <c r="Q289" s="277">
        <f t="shared" si="41"/>
        <v>-5.1144329787746945E-3</v>
      </c>
      <c r="R289" s="278">
        <f t="shared" si="42"/>
        <v>3.1715021145118628E-2</v>
      </c>
      <c r="S289" s="277"/>
      <c r="T289" s="277"/>
    </row>
    <row r="290" spans="2:20" x14ac:dyDescent="0.3">
      <c r="B290" s="271">
        <v>43815</v>
      </c>
      <c r="C290" s="273">
        <v>3565</v>
      </c>
      <c r="D290" s="273">
        <v>147.15</v>
      </c>
      <c r="E290" s="273">
        <v>1731.45</v>
      </c>
      <c r="F290" s="274">
        <v>46.8</v>
      </c>
      <c r="H290" s="271">
        <v>43815</v>
      </c>
      <c r="I290" s="277">
        <f t="shared" si="35"/>
        <v>4.6640082289450841E-3</v>
      </c>
      <c r="J290" s="277">
        <f t="shared" si="36"/>
        <v>-1.5060240963855422E-2</v>
      </c>
      <c r="K290" s="277">
        <f t="shared" si="37"/>
        <v>-7.1676366868316174E-3</v>
      </c>
      <c r="L290" s="278">
        <f t="shared" si="38"/>
        <v>3.2154340836012558E-3</v>
      </c>
      <c r="N290" s="271">
        <v>43815</v>
      </c>
      <c r="O290" s="277">
        <f t="shared" si="39"/>
        <v>1.4381054976450227E-3</v>
      </c>
      <c r="P290" s="277">
        <f t="shared" si="40"/>
        <v>-1.4041907721250184E-2</v>
      </c>
      <c r="Q290" s="277">
        <f t="shared" si="41"/>
        <v>-8.4549197498607065E-3</v>
      </c>
      <c r="R290" s="278">
        <f t="shared" si="42"/>
        <v>6.2645235859415567E-3</v>
      </c>
      <c r="S290" s="277"/>
      <c r="T290" s="277"/>
    </row>
    <row r="291" spans="2:20" x14ac:dyDescent="0.3">
      <c r="B291" s="271">
        <v>43816</v>
      </c>
      <c r="C291" s="273">
        <v>3548.45</v>
      </c>
      <c r="D291" s="273">
        <v>152.35</v>
      </c>
      <c r="E291" s="273">
        <v>1745.4</v>
      </c>
      <c r="F291" s="274">
        <v>47.6</v>
      </c>
      <c r="H291" s="271">
        <v>43816</v>
      </c>
      <c r="I291" s="277">
        <f t="shared" si="35"/>
        <v>-4.6423562412342724E-3</v>
      </c>
      <c r="J291" s="277">
        <f t="shared" si="36"/>
        <v>3.5338090383961865E-2</v>
      </c>
      <c r="K291" s="277">
        <f t="shared" si="37"/>
        <v>8.0568309798146331E-3</v>
      </c>
      <c r="L291" s="278">
        <f t="shared" si="38"/>
        <v>1.7094017094017186E-2</v>
      </c>
      <c r="N291" s="271">
        <v>43816</v>
      </c>
      <c r="O291" s="277">
        <f t="shared" si="39"/>
        <v>-7.8682589725343338E-3</v>
      </c>
      <c r="P291" s="277">
        <f t="shared" si="40"/>
        <v>3.6356423626567103E-2</v>
      </c>
      <c r="Q291" s="277">
        <f t="shared" si="41"/>
        <v>6.7695479167855441E-3</v>
      </c>
      <c r="R291" s="278">
        <f t="shared" si="42"/>
        <v>2.0143106596357489E-2</v>
      </c>
      <c r="S291" s="277"/>
      <c r="T291" s="277"/>
    </row>
    <row r="292" spans="2:20" x14ac:dyDescent="0.3">
      <c r="B292" s="271">
        <v>43817</v>
      </c>
      <c r="C292" s="273">
        <v>3622.3</v>
      </c>
      <c r="D292" s="273">
        <v>152.80000000000001</v>
      </c>
      <c r="E292" s="273">
        <v>1778.45</v>
      </c>
      <c r="F292" s="274">
        <v>46.75</v>
      </c>
      <c r="H292" s="271">
        <v>43817</v>
      </c>
      <c r="I292" s="277">
        <f t="shared" si="35"/>
        <v>2.0811903788978389E-2</v>
      </c>
      <c r="J292" s="277">
        <f t="shared" si="36"/>
        <v>2.953724975385737E-3</v>
      </c>
      <c r="K292" s="277">
        <f t="shared" si="37"/>
        <v>1.8935487567319786E-2</v>
      </c>
      <c r="L292" s="278">
        <f t="shared" si="38"/>
        <v>-1.7857142857142887E-2</v>
      </c>
      <c r="N292" s="271">
        <v>43817</v>
      </c>
      <c r="O292" s="277">
        <f t="shared" si="39"/>
        <v>1.7586001057678328E-2</v>
      </c>
      <c r="P292" s="277">
        <f t="shared" si="40"/>
        <v>3.9720582179909748E-3</v>
      </c>
      <c r="Q292" s="277">
        <f t="shared" si="41"/>
        <v>1.7648204504290697E-2</v>
      </c>
      <c r="R292" s="278">
        <f t="shared" si="42"/>
        <v>-1.4808053354802586E-2</v>
      </c>
      <c r="S292" s="277"/>
      <c r="T292" s="277"/>
    </row>
    <row r="293" spans="2:20" x14ac:dyDescent="0.3">
      <c r="B293" s="271">
        <v>43818</v>
      </c>
      <c r="C293" s="273">
        <v>3657.5</v>
      </c>
      <c r="D293" s="273">
        <v>149.35</v>
      </c>
      <c r="E293" s="273">
        <v>1803.1</v>
      </c>
      <c r="F293" s="274">
        <v>49.9</v>
      </c>
      <c r="H293" s="271">
        <v>43818</v>
      </c>
      <c r="I293" s="277">
        <f t="shared" si="35"/>
        <v>9.7175827512905651E-3</v>
      </c>
      <c r="J293" s="277">
        <f t="shared" si="36"/>
        <v>-2.2578534031413723E-2</v>
      </c>
      <c r="K293" s="277">
        <f t="shared" si="37"/>
        <v>1.3860384042283935E-2</v>
      </c>
      <c r="L293" s="278">
        <f t="shared" si="38"/>
        <v>6.7379679144385002E-2</v>
      </c>
      <c r="N293" s="271">
        <v>43818</v>
      </c>
      <c r="O293" s="277">
        <f t="shared" si="39"/>
        <v>6.4916800199905037E-3</v>
      </c>
      <c r="P293" s="277">
        <f t="shared" si="40"/>
        <v>-2.1560200788808485E-2</v>
      </c>
      <c r="Q293" s="277">
        <f t="shared" si="41"/>
        <v>1.2573100979254846E-2</v>
      </c>
      <c r="R293" s="278">
        <f t="shared" si="42"/>
        <v>7.0428768646725301E-2</v>
      </c>
      <c r="S293" s="277"/>
      <c r="T293" s="277"/>
    </row>
    <row r="294" spans="2:20" x14ac:dyDescent="0.3">
      <c r="B294" s="271">
        <v>43819</v>
      </c>
      <c r="C294" s="273">
        <v>3711.75</v>
      </c>
      <c r="D294" s="273">
        <v>144.25</v>
      </c>
      <c r="E294" s="273">
        <v>1799.25</v>
      </c>
      <c r="F294" s="274">
        <v>51.4</v>
      </c>
      <c r="H294" s="271">
        <v>43819</v>
      </c>
      <c r="I294" s="277">
        <f t="shared" si="35"/>
        <v>1.4832535885167464E-2</v>
      </c>
      <c r="J294" s="277">
        <f t="shared" si="36"/>
        <v>-3.4147974556411081E-2</v>
      </c>
      <c r="K294" s="277">
        <f t="shared" si="37"/>
        <v>-2.135211580056519E-3</v>
      </c>
      <c r="L294" s="278">
        <f t="shared" si="38"/>
        <v>3.0060120240480964E-2</v>
      </c>
      <c r="N294" s="271">
        <v>43819</v>
      </c>
      <c r="O294" s="277">
        <f t="shared" si="39"/>
        <v>1.1606633153867403E-2</v>
      </c>
      <c r="P294" s="277">
        <f t="shared" si="40"/>
        <v>-3.3129641313805844E-2</v>
      </c>
      <c r="Q294" s="277">
        <f t="shared" si="41"/>
        <v>-3.4224946430856077E-3</v>
      </c>
      <c r="R294" s="278">
        <f t="shared" si="42"/>
        <v>3.3109209742821263E-2</v>
      </c>
      <c r="S294" s="277"/>
      <c r="T294" s="277"/>
    </row>
    <row r="295" spans="2:20" x14ac:dyDescent="0.3">
      <c r="B295" s="271">
        <v>43822</v>
      </c>
      <c r="C295" s="273">
        <v>3740.55</v>
      </c>
      <c r="D295" s="273">
        <v>147.75</v>
      </c>
      <c r="E295" s="273">
        <v>1807.55</v>
      </c>
      <c r="F295" s="274">
        <v>49.65</v>
      </c>
      <c r="H295" s="271">
        <v>43822</v>
      </c>
      <c r="I295" s="277">
        <f t="shared" si="35"/>
        <v>7.7591432612649511E-3</v>
      </c>
      <c r="J295" s="277">
        <f t="shared" si="36"/>
        <v>2.4263431542461005E-2</v>
      </c>
      <c r="K295" s="277">
        <f t="shared" si="37"/>
        <v>4.6130332082812029E-3</v>
      </c>
      <c r="L295" s="278">
        <f t="shared" si="38"/>
        <v>-3.4046692607003895E-2</v>
      </c>
      <c r="N295" s="271">
        <v>43822</v>
      </c>
      <c r="O295" s="277">
        <f t="shared" si="39"/>
        <v>4.5332405299648897E-3</v>
      </c>
      <c r="P295" s="277">
        <f t="shared" si="40"/>
        <v>2.5281764785066243E-2</v>
      </c>
      <c r="Q295" s="277">
        <f t="shared" si="41"/>
        <v>3.3257501452521143E-3</v>
      </c>
      <c r="R295" s="278">
        <f t="shared" si="42"/>
        <v>-3.0997603104663592E-2</v>
      </c>
      <c r="S295" s="277"/>
      <c r="T295" s="277"/>
    </row>
    <row r="296" spans="2:20" x14ac:dyDescent="0.3">
      <c r="B296" s="271">
        <v>43823</v>
      </c>
      <c r="C296" s="273">
        <v>3747.45</v>
      </c>
      <c r="D296" s="273">
        <v>148.05000000000001</v>
      </c>
      <c r="E296" s="273">
        <v>1803.45</v>
      </c>
      <c r="F296" s="274">
        <v>51.2</v>
      </c>
      <c r="H296" s="271">
        <v>43823</v>
      </c>
      <c r="I296" s="277">
        <f t="shared" si="35"/>
        <v>1.8446485142558275E-3</v>
      </c>
      <c r="J296" s="277">
        <f t="shared" si="36"/>
        <v>2.030456852791955E-3</v>
      </c>
      <c r="K296" s="277">
        <f t="shared" si="37"/>
        <v>-2.2682636718209231E-3</v>
      </c>
      <c r="L296" s="278">
        <f t="shared" si="38"/>
        <v>3.1218529707955776E-2</v>
      </c>
      <c r="N296" s="271">
        <v>43823</v>
      </c>
      <c r="O296" s="277">
        <f t="shared" si="39"/>
        <v>-1.3812542170442339E-3</v>
      </c>
      <c r="P296" s="277">
        <f t="shared" si="40"/>
        <v>3.0487900953971928E-3</v>
      </c>
      <c r="Q296" s="277">
        <f t="shared" si="41"/>
        <v>-3.5555467348500117E-3</v>
      </c>
      <c r="R296" s="278">
        <f t="shared" si="42"/>
        <v>3.4267619210296078E-2</v>
      </c>
      <c r="S296" s="277"/>
      <c r="T296" s="277"/>
    </row>
    <row r="297" spans="2:20" x14ac:dyDescent="0.3">
      <c r="B297" s="271">
        <v>43825</v>
      </c>
      <c r="C297" s="273">
        <v>3912.4</v>
      </c>
      <c r="D297" s="273">
        <v>150.69999999999999</v>
      </c>
      <c r="E297" s="273">
        <v>1809.6</v>
      </c>
      <c r="F297" s="274">
        <v>48.65</v>
      </c>
      <c r="H297" s="271">
        <v>43825</v>
      </c>
      <c r="I297" s="277">
        <f t="shared" si="35"/>
        <v>4.401659795327497E-2</v>
      </c>
      <c r="J297" s="277">
        <f t="shared" si="36"/>
        <v>1.7899358324890084E-2</v>
      </c>
      <c r="K297" s="277">
        <f t="shared" si="37"/>
        <v>3.4101305830490799E-3</v>
      </c>
      <c r="L297" s="278">
        <f t="shared" si="38"/>
        <v>-4.9804687500000083E-2</v>
      </c>
      <c r="N297" s="271">
        <v>43825</v>
      </c>
      <c r="O297" s="277">
        <f t="shared" si="39"/>
        <v>4.0790695221974912E-2</v>
      </c>
      <c r="P297" s="277">
        <f t="shared" si="40"/>
        <v>1.8917691567495322E-2</v>
      </c>
      <c r="Q297" s="277">
        <f t="shared" si="41"/>
        <v>2.1228475200199912E-3</v>
      </c>
      <c r="R297" s="278">
        <f t="shared" si="42"/>
        <v>-4.6755597997659784E-2</v>
      </c>
      <c r="S297" s="277"/>
      <c r="T297" s="277"/>
    </row>
    <row r="298" spans="2:20" x14ac:dyDescent="0.3">
      <c r="B298" s="271">
        <v>43826</v>
      </c>
      <c r="C298" s="273">
        <v>3906.5</v>
      </c>
      <c r="D298" s="273">
        <v>151.75</v>
      </c>
      <c r="E298" s="273">
        <v>1812.25</v>
      </c>
      <c r="F298" s="274">
        <v>48</v>
      </c>
      <c r="H298" s="271">
        <v>43826</v>
      </c>
      <c r="I298" s="277">
        <f t="shared" si="35"/>
        <v>-1.5080257642368089E-3</v>
      </c>
      <c r="J298" s="277">
        <f t="shared" si="36"/>
        <v>6.9674850696749262E-3</v>
      </c>
      <c r="K298" s="277">
        <f t="shared" si="37"/>
        <v>1.4644120247569027E-3</v>
      </c>
      <c r="L298" s="278">
        <f t="shared" si="38"/>
        <v>-1.3360739979444987E-2</v>
      </c>
      <c r="N298" s="271">
        <v>43826</v>
      </c>
      <c r="O298" s="277">
        <f t="shared" si="39"/>
        <v>-4.7339284955368703E-3</v>
      </c>
      <c r="P298" s="277">
        <f t="shared" si="40"/>
        <v>7.985818312280164E-3</v>
      </c>
      <c r="Q298" s="277">
        <f t="shared" si="41"/>
        <v>1.7712896172781406E-4</v>
      </c>
      <c r="R298" s="278">
        <f t="shared" si="42"/>
        <v>-1.0311650477104686E-2</v>
      </c>
      <c r="S298" s="277"/>
      <c r="T298" s="277"/>
    </row>
    <row r="299" spans="2:20" x14ac:dyDescent="0.3">
      <c r="B299" s="271">
        <v>43829</v>
      </c>
      <c r="C299" s="273">
        <v>3870.65</v>
      </c>
      <c r="D299" s="273">
        <v>154.5</v>
      </c>
      <c r="E299" s="273">
        <v>1802.3</v>
      </c>
      <c r="F299" s="274">
        <v>47.35</v>
      </c>
      <c r="H299" s="271">
        <v>43829</v>
      </c>
      <c r="I299" s="277">
        <f t="shared" si="35"/>
        <v>-9.177012671189021E-3</v>
      </c>
      <c r="J299" s="277">
        <f t="shared" si="36"/>
        <v>1.8121911037891267E-2</v>
      </c>
      <c r="K299" s="277">
        <f t="shared" si="37"/>
        <v>-5.4904124706856372E-3</v>
      </c>
      <c r="L299" s="278">
        <f t="shared" si="38"/>
        <v>-1.3541666666666638E-2</v>
      </c>
      <c r="N299" s="271">
        <v>43829</v>
      </c>
      <c r="O299" s="277">
        <f t="shared" si="39"/>
        <v>-1.2402915402489082E-2</v>
      </c>
      <c r="P299" s="277">
        <f t="shared" si="40"/>
        <v>1.9140244280496505E-2</v>
      </c>
      <c r="Q299" s="277">
        <f t="shared" si="41"/>
        <v>-6.7776955337147254E-3</v>
      </c>
      <c r="R299" s="278">
        <f t="shared" si="42"/>
        <v>-1.0492577164326337E-2</v>
      </c>
      <c r="S299" s="277"/>
      <c r="T299" s="277"/>
    </row>
    <row r="300" spans="2:20" x14ac:dyDescent="0.3">
      <c r="B300" s="271">
        <v>43830</v>
      </c>
      <c r="C300" s="273">
        <v>3799.3</v>
      </c>
      <c r="D300" s="273">
        <v>152.44999999999999</v>
      </c>
      <c r="E300" s="273">
        <v>1784.95</v>
      </c>
      <c r="F300" s="274">
        <v>46.95</v>
      </c>
      <c r="H300" s="271">
        <v>43830</v>
      </c>
      <c r="I300" s="277">
        <f t="shared" si="35"/>
        <v>-1.8433596424373144E-2</v>
      </c>
      <c r="J300" s="277">
        <f t="shared" si="36"/>
        <v>-1.3268608414239555E-2</v>
      </c>
      <c r="K300" s="277">
        <f t="shared" si="37"/>
        <v>-9.6265882483492805E-3</v>
      </c>
      <c r="L300" s="278">
        <f t="shared" si="38"/>
        <v>-8.4477296726504451E-3</v>
      </c>
      <c r="N300" s="271">
        <v>43830</v>
      </c>
      <c r="O300" s="277">
        <f t="shared" si="39"/>
        <v>-2.1659499155673206E-2</v>
      </c>
      <c r="P300" s="277">
        <f t="shared" si="40"/>
        <v>-1.2250275171634318E-2</v>
      </c>
      <c r="Q300" s="277">
        <f t="shared" si="41"/>
        <v>-1.091387131137837E-2</v>
      </c>
      <c r="R300" s="278">
        <f t="shared" si="42"/>
        <v>-5.3986401703101441E-3</v>
      </c>
      <c r="S300" s="277"/>
      <c r="T300" s="277"/>
    </row>
    <row r="301" spans="2:20" x14ac:dyDescent="0.3">
      <c r="B301" s="271">
        <v>43831</v>
      </c>
      <c r="C301" s="273">
        <v>3786.55</v>
      </c>
      <c r="D301" s="273">
        <v>154.6</v>
      </c>
      <c r="E301" s="273">
        <v>1793.2</v>
      </c>
      <c r="F301" s="274">
        <v>46.65</v>
      </c>
      <c r="H301" s="271">
        <v>43831</v>
      </c>
      <c r="I301" s="277">
        <f t="shared" si="35"/>
        <v>-3.3558813465638404E-3</v>
      </c>
      <c r="J301" s="277">
        <f t="shared" si="36"/>
        <v>1.4102984585109911E-2</v>
      </c>
      <c r="K301" s="277">
        <f t="shared" si="37"/>
        <v>4.6219782066724557E-3</v>
      </c>
      <c r="L301" s="278">
        <f t="shared" si="38"/>
        <v>-6.3897763578275668E-3</v>
      </c>
      <c r="N301" s="271">
        <v>43831</v>
      </c>
      <c r="O301" s="277">
        <f t="shared" si="39"/>
        <v>-6.5817840778639013E-3</v>
      </c>
      <c r="P301" s="277">
        <f t="shared" si="40"/>
        <v>1.5121317827715149E-2</v>
      </c>
      <c r="Q301" s="277">
        <f t="shared" si="41"/>
        <v>3.3346951436433671E-3</v>
      </c>
      <c r="R301" s="278">
        <f t="shared" si="42"/>
        <v>-3.3406868554872655E-3</v>
      </c>
      <c r="S301" s="277"/>
      <c r="T301" s="277"/>
    </row>
    <row r="302" spans="2:20" x14ac:dyDescent="0.3">
      <c r="B302" s="271">
        <v>43832</v>
      </c>
      <c r="C302" s="273">
        <v>3905.7</v>
      </c>
      <c r="D302" s="273">
        <v>159.44999999999999</v>
      </c>
      <c r="E302" s="273">
        <v>1790.65</v>
      </c>
      <c r="F302" s="274">
        <v>47.35</v>
      </c>
      <c r="H302" s="271">
        <v>43832</v>
      </c>
      <c r="I302" s="277">
        <f t="shared" si="35"/>
        <v>3.1466638496784577E-2</v>
      </c>
      <c r="J302" s="277">
        <f t="shared" si="36"/>
        <v>3.1371280724450161E-2</v>
      </c>
      <c r="K302" s="277">
        <f t="shared" si="37"/>
        <v>-1.4220388132946433E-3</v>
      </c>
      <c r="L302" s="278">
        <f t="shared" si="38"/>
        <v>1.5005359056806063E-2</v>
      </c>
      <c r="N302" s="271">
        <v>43832</v>
      </c>
      <c r="O302" s="277">
        <f t="shared" si="39"/>
        <v>2.8240735765484516E-2</v>
      </c>
      <c r="P302" s="277">
        <f t="shared" si="40"/>
        <v>3.2389613967055399E-2</v>
      </c>
      <c r="Q302" s="277">
        <f t="shared" si="41"/>
        <v>-2.7093218763237321E-3</v>
      </c>
      <c r="R302" s="278">
        <f t="shared" si="42"/>
        <v>1.8054448559146365E-2</v>
      </c>
      <c r="S302" s="277"/>
      <c r="T302" s="277"/>
    </row>
    <row r="303" spans="2:20" x14ac:dyDescent="0.3">
      <c r="B303" s="271">
        <v>43833</v>
      </c>
      <c r="C303" s="273">
        <v>3952.3</v>
      </c>
      <c r="D303" s="273">
        <v>157.75</v>
      </c>
      <c r="E303" s="273">
        <v>1751.4</v>
      </c>
      <c r="F303" s="274">
        <v>47.1</v>
      </c>
      <c r="H303" s="271">
        <v>43833</v>
      </c>
      <c r="I303" s="277">
        <f t="shared" si="35"/>
        <v>1.1931279924213422E-2</v>
      </c>
      <c r="J303" s="277">
        <f t="shared" si="36"/>
        <v>-1.066164941988077E-2</v>
      </c>
      <c r="K303" s="277">
        <f t="shared" si="37"/>
        <v>-2.1919414737665094E-2</v>
      </c>
      <c r="L303" s="278">
        <f t="shared" si="38"/>
        <v>-5.279831045406547E-3</v>
      </c>
      <c r="N303" s="271">
        <v>43833</v>
      </c>
      <c r="O303" s="277">
        <f t="shared" si="39"/>
        <v>8.7053771929133609E-3</v>
      </c>
      <c r="P303" s="277">
        <f t="shared" si="40"/>
        <v>-9.6433161772755318E-3</v>
      </c>
      <c r="Q303" s="277">
        <f t="shared" si="41"/>
        <v>-2.3206697800694183E-2</v>
      </c>
      <c r="R303" s="278">
        <f t="shared" si="42"/>
        <v>-2.2307415430662457E-3</v>
      </c>
      <c r="S303" s="277"/>
      <c r="T303" s="277"/>
    </row>
    <row r="304" spans="2:20" x14ac:dyDescent="0.3">
      <c r="B304" s="271">
        <v>43836</v>
      </c>
      <c r="C304" s="273">
        <v>3959.25</v>
      </c>
      <c r="D304" s="273">
        <v>150.55000000000001</v>
      </c>
      <c r="E304" s="273">
        <v>1707.15</v>
      </c>
      <c r="F304" s="274">
        <v>45.15</v>
      </c>
      <c r="H304" s="271">
        <v>43836</v>
      </c>
      <c r="I304" s="277">
        <f t="shared" si="35"/>
        <v>1.7584697517900507E-3</v>
      </c>
      <c r="J304" s="277">
        <f t="shared" si="36"/>
        <v>-4.5641838351822429E-2</v>
      </c>
      <c r="K304" s="277">
        <f t="shared" si="37"/>
        <v>-2.5265501884206919E-2</v>
      </c>
      <c r="L304" s="278">
        <f t="shared" si="38"/>
        <v>-4.1401273885350379E-2</v>
      </c>
      <c r="N304" s="271">
        <v>43836</v>
      </c>
      <c r="O304" s="277">
        <f t="shared" si="39"/>
        <v>-1.4674329795100107E-3</v>
      </c>
      <c r="P304" s="277">
        <f t="shared" si="40"/>
        <v>-4.4623505109217192E-2</v>
      </c>
      <c r="Q304" s="277">
        <f t="shared" si="41"/>
        <v>-2.6552784947236008E-2</v>
      </c>
      <c r="R304" s="278">
        <f t="shared" si="42"/>
        <v>-3.8352184383010079E-2</v>
      </c>
      <c r="S304" s="277"/>
      <c r="T304" s="277"/>
    </row>
    <row r="305" spans="2:20" x14ac:dyDescent="0.3">
      <c r="B305" s="271">
        <v>43837</v>
      </c>
      <c r="C305" s="273">
        <v>4235.05</v>
      </c>
      <c r="D305" s="273">
        <v>156</v>
      </c>
      <c r="E305" s="273">
        <v>1724.4</v>
      </c>
      <c r="F305" s="274">
        <v>45.05</v>
      </c>
      <c r="H305" s="271">
        <v>43837</v>
      </c>
      <c r="I305" s="277">
        <f t="shared" si="35"/>
        <v>6.9659657763465346E-2</v>
      </c>
      <c r="J305" s="277">
        <f t="shared" si="36"/>
        <v>3.6200597808037117E-2</v>
      </c>
      <c r="K305" s="277">
        <f t="shared" si="37"/>
        <v>1.0104560231965556E-2</v>
      </c>
      <c r="L305" s="278">
        <f t="shared" si="38"/>
        <v>-2.2148394241417813E-3</v>
      </c>
      <c r="N305" s="271">
        <v>43837</v>
      </c>
      <c r="O305" s="277">
        <f t="shared" si="39"/>
        <v>6.6433755032165281E-2</v>
      </c>
      <c r="P305" s="277">
        <f t="shared" si="40"/>
        <v>3.7218931050642355E-2</v>
      </c>
      <c r="Q305" s="277">
        <f t="shared" si="41"/>
        <v>8.8172771689364673E-3</v>
      </c>
      <c r="R305" s="278">
        <f t="shared" si="42"/>
        <v>8.3425007819852006E-4</v>
      </c>
      <c r="S305" s="277"/>
      <c r="T305" s="277"/>
    </row>
    <row r="306" spans="2:20" x14ac:dyDescent="0.3">
      <c r="B306" s="271">
        <v>43838</v>
      </c>
      <c r="C306" s="273">
        <v>4142.55</v>
      </c>
      <c r="D306" s="273">
        <v>157.35</v>
      </c>
      <c r="E306" s="273">
        <v>1728.8</v>
      </c>
      <c r="F306" s="274">
        <v>46.05</v>
      </c>
      <c r="H306" s="271">
        <v>43838</v>
      </c>
      <c r="I306" s="277">
        <f t="shared" si="35"/>
        <v>-2.1841536699684774E-2</v>
      </c>
      <c r="J306" s="277">
        <f t="shared" si="36"/>
        <v>8.6538461538461179E-3</v>
      </c>
      <c r="K306" s="277">
        <f t="shared" si="37"/>
        <v>2.5516121549523682E-3</v>
      </c>
      <c r="L306" s="278">
        <f t="shared" si="38"/>
        <v>2.2197558268590458E-2</v>
      </c>
      <c r="N306" s="271">
        <v>43838</v>
      </c>
      <c r="O306" s="277">
        <f t="shared" si="39"/>
        <v>-2.5067439430984835E-2</v>
      </c>
      <c r="P306" s="277">
        <f t="shared" si="40"/>
        <v>9.6721793964513556E-3</v>
      </c>
      <c r="Q306" s="277">
        <f t="shared" si="41"/>
        <v>1.2643290919232796E-3</v>
      </c>
      <c r="R306" s="278">
        <f t="shared" si="42"/>
        <v>2.5246647770930761E-2</v>
      </c>
      <c r="S306" s="277"/>
      <c r="T306" s="277"/>
    </row>
    <row r="307" spans="2:20" x14ac:dyDescent="0.3">
      <c r="B307" s="271">
        <v>43839</v>
      </c>
      <c r="C307" s="273">
        <v>4163.1000000000004</v>
      </c>
      <c r="D307" s="273">
        <v>158.15</v>
      </c>
      <c r="E307" s="273">
        <v>1772.55</v>
      </c>
      <c r="F307" s="274">
        <v>47.3</v>
      </c>
      <c r="H307" s="271">
        <v>43839</v>
      </c>
      <c r="I307" s="277">
        <f t="shared" si="35"/>
        <v>4.9607126045552088E-3</v>
      </c>
      <c r="J307" s="277">
        <f t="shared" si="36"/>
        <v>5.0842071814427162E-3</v>
      </c>
      <c r="K307" s="277">
        <f t="shared" si="37"/>
        <v>2.5306571031929664E-2</v>
      </c>
      <c r="L307" s="278">
        <f t="shared" si="38"/>
        <v>2.714440825190011E-2</v>
      </c>
      <c r="N307" s="271">
        <v>43839</v>
      </c>
      <c r="O307" s="277">
        <f t="shared" si="39"/>
        <v>1.7348098732551474E-3</v>
      </c>
      <c r="P307" s="277">
        <f t="shared" si="40"/>
        <v>6.1025404240479539E-3</v>
      </c>
      <c r="Q307" s="277">
        <f t="shared" si="41"/>
        <v>2.4019287968900575E-2</v>
      </c>
      <c r="R307" s="278">
        <f t="shared" si="42"/>
        <v>3.0193497754240413E-2</v>
      </c>
      <c r="S307" s="277"/>
      <c r="T307" s="277"/>
    </row>
    <row r="308" spans="2:20" x14ac:dyDescent="0.3">
      <c r="B308" s="271">
        <v>43840</v>
      </c>
      <c r="C308" s="273">
        <v>4188.8999999999996</v>
      </c>
      <c r="D308" s="273">
        <v>159.94999999999999</v>
      </c>
      <c r="E308" s="273">
        <v>1792.55</v>
      </c>
      <c r="F308" s="274">
        <v>44.75</v>
      </c>
      <c r="H308" s="271">
        <v>43840</v>
      </c>
      <c r="I308" s="277">
        <f t="shared" si="35"/>
        <v>6.1973048929882231E-3</v>
      </c>
      <c r="J308" s="277">
        <f t="shared" si="36"/>
        <v>1.1381599747075453E-2</v>
      </c>
      <c r="K308" s="277">
        <f t="shared" si="37"/>
        <v>1.1283179600011283E-2</v>
      </c>
      <c r="L308" s="278">
        <f t="shared" si="38"/>
        <v>-5.3911205073995716E-2</v>
      </c>
      <c r="N308" s="271">
        <v>43840</v>
      </c>
      <c r="O308" s="277">
        <f t="shared" si="39"/>
        <v>2.9714021616881617E-3</v>
      </c>
      <c r="P308" s="277">
        <f t="shared" si="40"/>
        <v>1.239993298968069E-2</v>
      </c>
      <c r="Q308" s="277">
        <f t="shared" si="41"/>
        <v>9.9958965369821937E-3</v>
      </c>
      <c r="R308" s="278">
        <f t="shared" si="42"/>
        <v>-5.0862115571655417E-2</v>
      </c>
      <c r="S308" s="277"/>
      <c r="T308" s="277"/>
    </row>
    <row r="309" spans="2:20" x14ac:dyDescent="0.3">
      <c r="B309" s="271">
        <v>43843</v>
      </c>
      <c r="C309" s="273">
        <v>4190.1000000000004</v>
      </c>
      <c r="D309" s="273">
        <v>160.44999999999999</v>
      </c>
      <c r="E309" s="273">
        <v>1804.9</v>
      </c>
      <c r="F309" s="274">
        <v>42.1</v>
      </c>
      <c r="H309" s="271">
        <v>43843</v>
      </c>
      <c r="I309" s="277">
        <f t="shared" si="35"/>
        <v>2.8647138867023028E-4</v>
      </c>
      <c r="J309" s="277">
        <f t="shared" si="36"/>
        <v>3.1259768677711786E-3</v>
      </c>
      <c r="K309" s="277">
        <f t="shared" si="37"/>
        <v>6.8896265097208647E-3</v>
      </c>
      <c r="L309" s="278">
        <f t="shared" si="38"/>
        <v>-5.9217877094972032E-2</v>
      </c>
      <c r="N309" s="271">
        <v>43843</v>
      </c>
      <c r="O309" s="277">
        <f t="shared" si="39"/>
        <v>-2.9394313426298309E-3</v>
      </c>
      <c r="P309" s="277">
        <f t="shared" si="40"/>
        <v>4.1443101103764163E-3</v>
      </c>
      <c r="Q309" s="277">
        <f t="shared" si="41"/>
        <v>5.6023434466917765E-3</v>
      </c>
      <c r="R309" s="278">
        <f t="shared" si="42"/>
        <v>-5.6168787592631733E-2</v>
      </c>
      <c r="S309" s="277"/>
      <c r="T309" s="277"/>
    </row>
    <row r="310" spans="2:20" x14ac:dyDescent="0.3">
      <c r="B310" s="271">
        <v>43844</v>
      </c>
      <c r="C310" s="273">
        <v>4145.6000000000004</v>
      </c>
      <c r="D310" s="273">
        <v>165</v>
      </c>
      <c r="E310" s="273">
        <v>1819.15</v>
      </c>
      <c r="F310" s="274">
        <v>38.549999999999997</v>
      </c>
      <c r="H310" s="271">
        <v>43844</v>
      </c>
      <c r="I310" s="277">
        <f t="shared" si="35"/>
        <v>-1.0620271592563423E-2</v>
      </c>
      <c r="J310" s="277">
        <f t="shared" si="36"/>
        <v>2.8357743845434789E-2</v>
      </c>
      <c r="K310" s="277">
        <f t="shared" si="37"/>
        <v>7.8951742478807693E-3</v>
      </c>
      <c r="L310" s="278">
        <f t="shared" si="38"/>
        <v>-8.4323040380047606E-2</v>
      </c>
      <c r="N310" s="271">
        <v>43844</v>
      </c>
      <c r="O310" s="277">
        <f t="shared" si="39"/>
        <v>-1.3846174323863484E-2</v>
      </c>
      <c r="P310" s="277">
        <f t="shared" si="40"/>
        <v>2.9376077088040027E-2</v>
      </c>
      <c r="Q310" s="277">
        <f t="shared" si="41"/>
        <v>6.6078911848516803E-3</v>
      </c>
      <c r="R310" s="278">
        <f t="shared" si="42"/>
        <v>-8.1273950877707307E-2</v>
      </c>
      <c r="S310" s="277"/>
      <c r="T310" s="277"/>
    </row>
    <row r="311" spans="2:20" x14ac:dyDescent="0.3">
      <c r="B311" s="271">
        <v>43845</v>
      </c>
      <c r="C311" s="273">
        <v>4137.3999999999996</v>
      </c>
      <c r="D311" s="273">
        <v>164.65</v>
      </c>
      <c r="E311" s="273">
        <v>1842.25</v>
      </c>
      <c r="F311" s="274">
        <v>39.75</v>
      </c>
      <c r="H311" s="271">
        <v>43845</v>
      </c>
      <c r="I311" s="277">
        <f t="shared" si="35"/>
        <v>-1.9780007719029154E-3</v>
      </c>
      <c r="J311" s="277">
        <f t="shared" si="36"/>
        <v>-2.1212121212120867E-3</v>
      </c>
      <c r="K311" s="277">
        <f t="shared" si="37"/>
        <v>1.2698238188164752E-2</v>
      </c>
      <c r="L311" s="278">
        <f t="shared" si="38"/>
        <v>3.1128404669260777E-2</v>
      </c>
      <c r="N311" s="271">
        <v>43845</v>
      </c>
      <c r="O311" s="277">
        <f t="shared" si="39"/>
        <v>-5.2039035032029769E-3</v>
      </c>
      <c r="P311" s="277">
        <f t="shared" si="40"/>
        <v>-1.1028788786068488E-3</v>
      </c>
      <c r="Q311" s="277">
        <f t="shared" si="41"/>
        <v>1.1410955125135663E-2</v>
      </c>
      <c r="R311" s="278">
        <f t="shared" si="42"/>
        <v>3.4177494171601076E-2</v>
      </c>
      <c r="S311" s="277"/>
      <c r="T311" s="277"/>
    </row>
    <row r="312" spans="2:20" x14ac:dyDescent="0.3">
      <c r="B312" s="271">
        <v>43846</v>
      </c>
      <c r="C312" s="273">
        <v>4149.55</v>
      </c>
      <c r="D312" s="273">
        <v>162.25</v>
      </c>
      <c r="E312" s="273">
        <v>1835.15</v>
      </c>
      <c r="F312" s="274">
        <v>39.950000000000003</v>
      </c>
      <c r="H312" s="271">
        <v>43846</v>
      </c>
      <c r="I312" s="277">
        <f t="shared" si="35"/>
        <v>2.9366268671147454E-3</v>
      </c>
      <c r="J312" s="277">
        <f t="shared" si="36"/>
        <v>-1.4576374126935958E-2</v>
      </c>
      <c r="K312" s="277">
        <f t="shared" si="37"/>
        <v>-3.8539829013434163E-3</v>
      </c>
      <c r="L312" s="278">
        <f t="shared" si="38"/>
        <v>5.0314465408805749E-3</v>
      </c>
      <c r="N312" s="271">
        <v>43846</v>
      </c>
      <c r="O312" s="277">
        <f t="shared" si="39"/>
        <v>-2.8927586418531605E-4</v>
      </c>
      <c r="P312" s="277">
        <f t="shared" si="40"/>
        <v>-1.355804088433072E-2</v>
      </c>
      <c r="Q312" s="277">
        <f t="shared" si="41"/>
        <v>-5.1412659643725045E-3</v>
      </c>
      <c r="R312" s="278">
        <f t="shared" si="42"/>
        <v>8.0805360432208758E-3</v>
      </c>
      <c r="S312" s="277"/>
      <c r="T312" s="277"/>
    </row>
    <row r="313" spans="2:20" x14ac:dyDescent="0.3">
      <c r="B313" s="271">
        <v>43847</v>
      </c>
      <c r="C313" s="273">
        <v>4165.6499999999996</v>
      </c>
      <c r="D313" s="273">
        <v>159.5</v>
      </c>
      <c r="E313" s="273">
        <v>1830.05</v>
      </c>
      <c r="F313" s="274">
        <v>39.25</v>
      </c>
      <c r="H313" s="271">
        <v>43847</v>
      </c>
      <c r="I313" s="277">
        <f t="shared" si="35"/>
        <v>3.8799387885432041E-3</v>
      </c>
      <c r="J313" s="277">
        <f t="shared" si="36"/>
        <v>-1.6949152542372881E-2</v>
      </c>
      <c r="K313" s="277">
        <f t="shared" si="37"/>
        <v>-2.7790643816582492E-3</v>
      </c>
      <c r="L313" s="278">
        <f t="shared" si="38"/>
        <v>-1.7521902377972534E-2</v>
      </c>
      <c r="N313" s="271">
        <v>43847</v>
      </c>
      <c r="O313" s="277">
        <f t="shared" si="39"/>
        <v>6.5403605724314272E-4</v>
      </c>
      <c r="P313" s="277">
        <f t="shared" si="40"/>
        <v>-1.5930819299767644E-2</v>
      </c>
      <c r="Q313" s="277">
        <f t="shared" si="41"/>
        <v>-4.0663474446873378E-3</v>
      </c>
      <c r="R313" s="278">
        <f t="shared" si="42"/>
        <v>-1.4472812875632233E-2</v>
      </c>
      <c r="S313" s="277"/>
      <c r="T313" s="277"/>
    </row>
    <row r="314" spans="2:20" x14ac:dyDescent="0.3">
      <c r="B314" s="271">
        <v>43850</v>
      </c>
      <c r="C314" s="273">
        <v>4204.95</v>
      </c>
      <c r="D314" s="273">
        <v>156.9</v>
      </c>
      <c r="E314" s="273">
        <v>1848.75</v>
      </c>
      <c r="F314" s="274">
        <v>38.65</v>
      </c>
      <c r="H314" s="271">
        <v>43850</v>
      </c>
      <c r="I314" s="277">
        <f t="shared" si="35"/>
        <v>9.4343019696806474E-3</v>
      </c>
      <c r="J314" s="277">
        <f t="shared" si="36"/>
        <v>-1.6300940438871439E-2</v>
      </c>
      <c r="K314" s="277">
        <f t="shared" si="37"/>
        <v>1.0218300046446844E-2</v>
      </c>
      <c r="L314" s="278">
        <f t="shared" si="38"/>
        <v>-1.5286624203821693E-2</v>
      </c>
      <c r="N314" s="271">
        <v>43850</v>
      </c>
      <c r="O314" s="277">
        <f t="shared" si="39"/>
        <v>6.208399238380586E-3</v>
      </c>
      <c r="P314" s="277">
        <f t="shared" si="40"/>
        <v>-1.5282607196266201E-2</v>
      </c>
      <c r="Q314" s="277">
        <f t="shared" si="41"/>
        <v>8.9310169834177552E-3</v>
      </c>
      <c r="R314" s="278">
        <f t="shared" si="42"/>
        <v>-1.2237534701481392E-2</v>
      </c>
      <c r="S314" s="277"/>
      <c r="T314" s="277"/>
    </row>
    <row r="315" spans="2:20" x14ac:dyDescent="0.3">
      <c r="B315" s="271">
        <v>43851</v>
      </c>
      <c r="C315" s="273">
        <v>4158.8999999999996</v>
      </c>
      <c r="D315" s="273">
        <v>153.9</v>
      </c>
      <c r="E315" s="273">
        <v>1810.75</v>
      </c>
      <c r="F315" s="274">
        <v>38.35</v>
      </c>
      <c r="H315" s="271">
        <v>43851</v>
      </c>
      <c r="I315" s="277">
        <f t="shared" si="35"/>
        <v>-1.0951378732208512E-2</v>
      </c>
      <c r="J315" s="277">
        <f t="shared" si="36"/>
        <v>-1.9120458891013385E-2</v>
      </c>
      <c r="K315" s="277">
        <f t="shared" si="37"/>
        <v>-2.0554428668018931E-2</v>
      </c>
      <c r="L315" s="278">
        <f t="shared" si="38"/>
        <v>-7.7619663648123456E-3</v>
      </c>
      <c r="N315" s="271">
        <v>43851</v>
      </c>
      <c r="O315" s="277">
        <f t="shared" si="39"/>
        <v>-1.4177281463508573E-2</v>
      </c>
      <c r="P315" s="277">
        <f t="shared" si="40"/>
        <v>-1.8102125648408147E-2</v>
      </c>
      <c r="Q315" s="277">
        <f t="shared" si="41"/>
        <v>-2.184171173104802E-2</v>
      </c>
      <c r="R315" s="278">
        <f t="shared" si="42"/>
        <v>-4.7128768624720447E-3</v>
      </c>
      <c r="S315" s="277"/>
      <c r="T315" s="277"/>
    </row>
    <row r="316" spans="2:20" x14ac:dyDescent="0.3">
      <c r="B316" s="271">
        <v>43852</v>
      </c>
      <c r="C316" s="273">
        <v>4161.6499999999996</v>
      </c>
      <c r="D316" s="273">
        <v>153.19999999999999</v>
      </c>
      <c r="E316" s="273">
        <v>1779.25</v>
      </c>
      <c r="F316" s="274">
        <v>38.450000000000003</v>
      </c>
      <c r="H316" s="271">
        <v>43852</v>
      </c>
      <c r="I316" s="277">
        <f t="shared" si="35"/>
        <v>6.6123253744980654E-4</v>
      </c>
      <c r="J316" s="277">
        <f t="shared" si="36"/>
        <v>-4.5484080571800978E-3</v>
      </c>
      <c r="K316" s="277">
        <f t="shared" si="37"/>
        <v>-1.7396106585668921E-2</v>
      </c>
      <c r="L316" s="278">
        <f t="shared" si="38"/>
        <v>2.6075619295958647E-3</v>
      </c>
      <c r="N316" s="271">
        <v>43852</v>
      </c>
      <c r="O316" s="277">
        <f t="shared" si="39"/>
        <v>-2.5646701938502551E-3</v>
      </c>
      <c r="P316" s="277">
        <f t="shared" si="40"/>
        <v>-3.5300748145748601E-3</v>
      </c>
      <c r="Q316" s="277">
        <f t="shared" si="41"/>
        <v>-1.868338964869801E-2</v>
      </c>
      <c r="R316" s="278">
        <f t="shared" si="42"/>
        <v>5.656651431936166E-3</v>
      </c>
      <c r="S316" s="277"/>
      <c r="T316" s="277"/>
    </row>
    <row r="317" spans="2:20" x14ac:dyDescent="0.3">
      <c r="B317" s="271">
        <v>43853</v>
      </c>
      <c r="C317" s="273">
        <v>4189.5</v>
      </c>
      <c r="D317" s="273">
        <v>154.15</v>
      </c>
      <c r="E317" s="273">
        <v>1776.1</v>
      </c>
      <c r="F317" s="274">
        <v>40.950000000000003</v>
      </c>
      <c r="H317" s="271">
        <v>43853</v>
      </c>
      <c r="I317" s="277">
        <f t="shared" si="35"/>
        <v>6.6920572369133314E-3</v>
      </c>
      <c r="J317" s="277">
        <f t="shared" si="36"/>
        <v>6.2010443864230881E-3</v>
      </c>
      <c r="K317" s="277">
        <f t="shared" si="37"/>
        <v>-1.7704088801461801E-3</v>
      </c>
      <c r="L317" s="278">
        <f t="shared" si="38"/>
        <v>6.5019505851755519E-2</v>
      </c>
      <c r="N317" s="271">
        <v>43853</v>
      </c>
      <c r="O317" s="277">
        <f t="shared" si="39"/>
        <v>3.4661545056132699E-3</v>
      </c>
      <c r="P317" s="277">
        <f t="shared" si="40"/>
        <v>7.2193776290283259E-3</v>
      </c>
      <c r="Q317" s="277">
        <f t="shared" si="41"/>
        <v>-3.0576919431752688E-3</v>
      </c>
      <c r="R317" s="278">
        <f t="shared" si="42"/>
        <v>6.8068595354095818E-2</v>
      </c>
      <c r="S317" s="277"/>
      <c r="T317" s="277"/>
    </row>
    <row r="318" spans="2:20" x14ac:dyDescent="0.3">
      <c r="B318" s="271">
        <v>43854</v>
      </c>
      <c r="C318" s="273">
        <v>4220.7</v>
      </c>
      <c r="D318" s="273">
        <v>155.9</v>
      </c>
      <c r="E318" s="273">
        <v>1786.8</v>
      </c>
      <c r="F318" s="274">
        <v>42.8</v>
      </c>
      <c r="H318" s="271">
        <v>43854</v>
      </c>
      <c r="I318" s="277">
        <f t="shared" si="35"/>
        <v>7.4471894020765768E-3</v>
      </c>
      <c r="J318" s="277">
        <f t="shared" si="36"/>
        <v>1.1352578657152125E-2</v>
      </c>
      <c r="K318" s="277">
        <f t="shared" si="37"/>
        <v>6.0244355610607767E-3</v>
      </c>
      <c r="L318" s="278">
        <f t="shared" si="38"/>
        <v>4.5177045177045037E-2</v>
      </c>
      <c r="N318" s="271">
        <v>43854</v>
      </c>
      <c r="O318" s="277">
        <f t="shared" si="39"/>
        <v>4.2212866707765154E-3</v>
      </c>
      <c r="P318" s="277">
        <f t="shared" si="40"/>
        <v>1.2370911899757362E-2</v>
      </c>
      <c r="Q318" s="277">
        <f t="shared" si="41"/>
        <v>4.7371524980316885E-3</v>
      </c>
      <c r="R318" s="278">
        <f t="shared" si="42"/>
        <v>4.8226134679385337E-2</v>
      </c>
      <c r="S318" s="277"/>
      <c r="T318" s="277"/>
    </row>
    <row r="319" spans="2:20" x14ac:dyDescent="0.3">
      <c r="B319" s="271">
        <v>43857</v>
      </c>
      <c r="C319" s="273">
        <v>4319.3</v>
      </c>
      <c r="D319" s="273">
        <v>148.85</v>
      </c>
      <c r="E319" s="273">
        <v>1788.35</v>
      </c>
      <c r="F319" s="274">
        <v>42.4</v>
      </c>
      <c r="H319" s="271">
        <v>43857</v>
      </c>
      <c r="I319" s="277">
        <f t="shared" si="35"/>
        <v>2.3361053853626263E-2</v>
      </c>
      <c r="J319" s="277">
        <f t="shared" si="36"/>
        <v>-4.522129570237339E-2</v>
      </c>
      <c r="K319" s="277">
        <f t="shared" si="37"/>
        <v>8.6747257667335717E-4</v>
      </c>
      <c r="L319" s="278">
        <f t="shared" si="38"/>
        <v>-9.3457943925233326E-3</v>
      </c>
      <c r="N319" s="271">
        <v>43857</v>
      </c>
      <c r="O319" s="277">
        <f t="shared" si="39"/>
        <v>2.0135151122326202E-2</v>
      </c>
      <c r="P319" s="277">
        <f t="shared" si="40"/>
        <v>-4.4202962459768153E-2</v>
      </c>
      <c r="Q319" s="277">
        <f t="shared" si="41"/>
        <v>-4.1981048635573147E-4</v>
      </c>
      <c r="R319" s="278">
        <f t="shared" si="42"/>
        <v>-6.2967048901830316E-3</v>
      </c>
      <c r="S319" s="277"/>
      <c r="T319" s="277"/>
    </row>
    <row r="320" spans="2:20" x14ac:dyDescent="0.3">
      <c r="B320" s="271">
        <v>43858</v>
      </c>
      <c r="C320" s="273">
        <v>4424.25</v>
      </c>
      <c r="D320" s="273">
        <v>142.19999999999999</v>
      </c>
      <c r="E320" s="273">
        <v>1779.1</v>
      </c>
      <c r="F320" s="274">
        <v>41.65</v>
      </c>
      <c r="H320" s="271">
        <v>43858</v>
      </c>
      <c r="I320" s="277">
        <f t="shared" si="35"/>
        <v>2.4297918644224717E-2</v>
      </c>
      <c r="J320" s="277">
        <f t="shared" si="36"/>
        <v>-4.4675848169297989E-2</v>
      </c>
      <c r="K320" s="277">
        <f t="shared" si="37"/>
        <v>-5.1723655883915342E-3</v>
      </c>
      <c r="L320" s="278">
        <f t="shared" si="38"/>
        <v>-1.7688679245283018E-2</v>
      </c>
      <c r="N320" s="271">
        <v>43858</v>
      </c>
      <c r="O320" s="277">
        <f t="shared" si="39"/>
        <v>2.1072015912924656E-2</v>
      </c>
      <c r="P320" s="277">
        <f t="shared" si="40"/>
        <v>-4.3657514926692752E-2</v>
      </c>
      <c r="Q320" s="277">
        <f t="shared" si="41"/>
        <v>-6.4596486514206224E-3</v>
      </c>
      <c r="R320" s="278">
        <f t="shared" si="42"/>
        <v>-1.4639589742942717E-2</v>
      </c>
      <c r="S320" s="277"/>
      <c r="T320" s="277"/>
    </row>
    <row r="321" spans="2:20" x14ac:dyDescent="0.3">
      <c r="B321" s="271">
        <v>43859</v>
      </c>
      <c r="C321" s="273">
        <v>4324.3</v>
      </c>
      <c r="D321" s="273">
        <v>142.19999999999999</v>
      </c>
      <c r="E321" s="273">
        <v>1796.95</v>
      </c>
      <c r="F321" s="274">
        <v>41.2</v>
      </c>
      <c r="H321" s="271">
        <v>43859</v>
      </c>
      <c r="I321" s="277">
        <f t="shared" si="35"/>
        <v>-2.2591399672260794E-2</v>
      </c>
      <c r="J321" s="277">
        <f t="shared" si="36"/>
        <v>0</v>
      </c>
      <c r="K321" s="277">
        <f t="shared" si="37"/>
        <v>1.003316283514144E-2</v>
      </c>
      <c r="L321" s="278">
        <f t="shared" si="38"/>
        <v>-1.0804321728691375E-2</v>
      </c>
      <c r="N321" s="271">
        <v>43859</v>
      </c>
      <c r="O321" s="277">
        <f t="shared" si="39"/>
        <v>-2.5817302403560855E-2</v>
      </c>
      <c r="P321" s="277">
        <f t="shared" si="40"/>
        <v>1.0183332426052379E-3</v>
      </c>
      <c r="Q321" s="277">
        <f t="shared" si="41"/>
        <v>8.7458797721123513E-3</v>
      </c>
      <c r="R321" s="278">
        <f t="shared" si="42"/>
        <v>-7.7552322263510741E-3</v>
      </c>
      <c r="S321" s="277"/>
      <c r="T321" s="277"/>
    </row>
    <row r="322" spans="2:20" x14ac:dyDescent="0.3">
      <c r="B322" s="271">
        <v>43860</v>
      </c>
      <c r="C322" s="273">
        <v>4499.3999999999996</v>
      </c>
      <c r="D322" s="273">
        <v>140.94999999999999</v>
      </c>
      <c r="E322" s="273">
        <v>1805</v>
      </c>
      <c r="F322" s="274">
        <v>39.049999999999997</v>
      </c>
      <c r="H322" s="271">
        <v>43860</v>
      </c>
      <c r="I322" s="277">
        <f t="shared" si="35"/>
        <v>4.0492102768077944E-2</v>
      </c>
      <c r="J322" s="277">
        <f t="shared" si="36"/>
        <v>-8.7904360056258804E-3</v>
      </c>
      <c r="K322" s="277">
        <f t="shared" si="37"/>
        <v>4.4798130165001554E-3</v>
      </c>
      <c r="L322" s="278">
        <f t="shared" si="38"/>
        <v>-5.2184466019417612E-2</v>
      </c>
      <c r="N322" s="271">
        <v>43860</v>
      </c>
      <c r="O322" s="277">
        <f t="shared" si="39"/>
        <v>3.7266200036777886E-2</v>
      </c>
      <c r="P322" s="277">
        <f t="shared" si="40"/>
        <v>-7.7721027630206427E-3</v>
      </c>
      <c r="Q322" s="277">
        <f t="shared" si="41"/>
        <v>3.1925299534710668E-3</v>
      </c>
      <c r="R322" s="278">
        <f t="shared" si="42"/>
        <v>-4.9135376517077313E-2</v>
      </c>
      <c r="S322" s="277"/>
      <c r="T322" s="277"/>
    </row>
    <row r="323" spans="2:20" x14ac:dyDescent="0.3">
      <c r="B323" s="271">
        <v>43861</v>
      </c>
      <c r="C323" s="273">
        <v>4654.25</v>
      </c>
      <c r="D323" s="273">
        <v>137.9</v>
      </c>
      <c r="E323" s="273">
        <v>1795.65</v>
      </c>
      <c r="F323" s="274">
        <v>39.25</v>
      </c>
      <c r="H323" s="271">
        <v>43861</v>
      </c>
      <c r="I323" s="277">
        <f t="shared" si="35"/>
        <v>3.441569987109401E-2</v>
      </c>
      <c r="J323" s="277">
        <f t="shared" si="36"/>
        <v>-2.1638879035118717E-2</v>
      </c>
      <c r="K323" s="277">
        <f t="shared" si="37"/>
        <v>-5.180055401661999E-3</v>
      </c>
      <c r="L323" s="278">
        <f t="shared" si="38"/>
        <v>5.1216389244558994E-3</v>
      </c>
      <c r="N323" s="271">
        <v>43861</v>
      </c>
      <c r="O323" s="277">
        <f t="shared" si="39"/>
        <v>3.1189797139793949E-2</v>
      </c>
      <c r="P323" s="277">
        <f t="shared" si="40"/>
        <v>-2.0620545792513479E-2</v>
      </c>
      <c r="Q323" s="277">
        <f t="shared" si="41"/>
        <v>-6.4673384646910873E-3</v>
      </c>
      <c r="R323" s="278">
        <f t="shared" si="42"/>
        <v>8.1707284267962012E-3</v>
      </c>
      <c r="S323" s="277"/>
      <c r="T323" s="277"/>
    </row>
    <row r="324" spans="2:20" x14ac:dyDescent="0.3">
      <c r="B324" s="271">
        <v>43862</v>
      </c>
      <c r="C324" s="273">
        <v>4446.6499999999996</v>
      </c>
      <c r="D324" s="273">
        <v>134.9</v>
      </c>
      <c r="E324" s="273">
        <v>1755.35</v>
      </c>
      <c r="F324" s="274">
        <v>37.9</v>
      </c>
      <c r="H324" s="271">
        <v>43862</v>
      </c>
      <c r="I324" s="277">
        <f t="shared" si="35"/>
        <v>-4.4604393833593034E-2</v>
      </c>
      <c r="J324" s="277">
        <f t="shared" si="36"/>
        <v>-2.175489485134155E-2</v>
      </c>
      <c r="K324" s="277">
        <f t="shared" si="37"/>
        <v>-2.2443126444463109E-2</v>
      </c>
      <c r="L324" s="278">
        <f t="shared" si="38"/>
        <v>-3.439490445859876E-2</v>
      </c>
      <c r="N324" s="271">
        <v>43862</v>
      </c>
      <c r="O324" s="277">
        <f t="shared" si="39"/>
        <v>-4.7830296564893099E-2</v>
      </c>
      <c r="P324" s="277">
        <f t="shared" si="40"/>
        <v>-2.0736561608736312E-2</v>
      </c>
      <c r="Q324" s="277">
        <f t="shared" si="41"/>
        <v>-2.3730409507492198E-2</v>
      </c>
      <c r="R324" s="278">
        <f t="shared" si="42"/>
        <v>-3.1345814956258461E-2</v>
      </c>
      <c r="S324" s="277"/>
      <c r="T324" s="277"/>
    </row>
    <row r="325" spans="2:20" x14ac:dyDescent="0.3">
      <c r="B325" s="271">
        <v>43864</v>
      </c>
      <c r="C325" s="273">
        <v>4746.55</v>
      </c>
      <c r="D325" s="273">
        <v>134.15</v>
      </c>
      <c r="E325" s="273">
        <v>1867.65</v>
      </c>
      <c r="F325" s="274">
        <v>36</v>
      </c>
      <c r="H325" s="271">
        <v>43864</v>
      </c>
      <c r="I325" s="277">
        <f t="shared" si="35"/>
        <v>6.7444030899666163E-2</v>
      </c>
      <c r="J325" s="277">
        <f t="shared" si="36"/>
        <v>-5.5596738324684945E-3</v>
      </c>
      <c r="K325" s="277">
        <f t="shared" si="37"/>
        <v>6.397584527302258E-2</v>
      </c>
      <c r="L325" s="278">
        <f t="shared" si="38"/>
        <v>-5.0131926121371996E-2</v>
      </c>
      <c r="N325" s="271">
        <v>43864</v>
      </c>
      <c r="O325" s="277">
        <f t="shared" si="39"/>
        <v>6.4218128168366098E-2</v>
      </c>
      <c r="P325" s="277">
        <f t="shared" si="40"/>
        <v>-4.5413405898632568E-3</v>
      </c>
      <c r="Q325" s="277">
        <f t="shared" si="41"/>
        <v>6.2688562209993498E-2</v>
      </c>
      <c r="R325" s="278">
        <f t="shared" si="42"/>
        <v>-4.7082836619031697E-2</v>
      </c>
      <c r="S325" s="277"/>
      <c r="T325" s="277"/>
    </row>
    <row r="326" spans="2:20" x14ac:dyDescent="0.3">
      <c r="B326" s="271">
        <v>43865</v>
      </c>
      <c r="C326" s="273">
        <v>4763.55</v>
      </c>
      <c r="D326" s="273">
        <v>138.55000000000001</v>
      </c>
      <c r="E326" s="273">
        <v>1891.3</v>
      </c>
      <c r="F326" s="274">
        <v>34.950000000000003</v>
      </c>
      <c r="H326" s="271">
        <v>43865</v>
      </c>
      <c r="I326" s="277">
        <f t="shared" si="35"/>
        <v>3.5815487037953882E-3</v>
      </c>
      <c r="J326" s="277">
        <f t="shared" si="36"/>
        <v>3.2799105478941527E-2</v>
      </c>
      <c r="K326" s="277">
        <f t="shared" si="37"/>
        <v>1.2662972184295698E-2</v>
      </c>
      <c r="L326" s="278">
        <f t="shared" si="38"/>
        <v>-2.9166666666666587E-2</v>
      </c>
      <c r="N326" s="271">
        <v>43865</v>
      </c>
      <c r="O326" s="277">
        <f t="shared" si="39"/>
        <v>3.5564597249532681E-4</v>
      </c>
      <c r="P326" s="277">
        <f t="shared" si="40"/>
        <v>3.3817438721546765E-2</v>
      </c>
      <c r="Q326" s="277">
        <f t="shared" si="41"/>
        <v>1.1375689121266609E-2</v>
      </c>
      <c r="R326" s="278">
        <f t="shared" si="42"/>
        <v>-2.6117577164326285E-2</v>
      </c>
      <c r="S326" s="277"/>
      <c r="T326" s="277"/>
    </row>
    <row r="327" spans="2:20" x14ac:dyDescent="0.3">
      <c r="B327" s="271">
        <v>43866</v>
      </c>
      <c r="C327" s="273">
        <v>4655.95</v>
      </c>
      <c r="D327" s="273">
        <v>143.1</v>
      </c>
      <c r="E327" s="273">
        <v>1873.5</v>
      </c>
      <c r="F327" s="274">
        <v>37.6</v>
      </c>
      <c r="H327" s="271">
        <v>43866</v>
      </c>
      <c r="I327" s="277">
        <f t="shared" si="35"/>
        <v>-2.2588195778358654E-2</v>
      </c>
      <c r="J327" s="277">
        <f t="shared" si="36"/>
        <v>3.2840129916997349E-2</v>
      </c>
      <c r="K327" s="277">
        <f t="shared" si="37"/>
        <v>-9.411515888542249E-3</v>
      </c>
      <c r="L327" s="278">
        <f t="shared" si="38"/>
        <v>7.5822603719599382E-2</v>
      </c>
      <c r="N327" s="271">
        <v>43866</v>
      </c>
      <c r="O327" s="277">
        <f t="shared" si="39"/>
        <v>-2.5814098509658715E-2</v>
      </c>
      <c r="P327" s="277">
        <f t="shared" si="40"/>
        <v>3.3858463159602586E-2</v>
      </c>
      <c r="Q327" s="277">
        <f t="shared" si="41"/>
        <v>-1.0698798951571338E-2</v>
      </c>
      <c r="R327" s="278">
        <f t="shared" si="42"/>
        <v>7.8871693221939682E-2</v>
      </c>
      <c r="S327" s="277"/>
      <c r="T327" s="277"/>
    </row>
    <row r="328" spans="2:20" x14ac:dyDescent="0.3">
      <c r="B328" s="271">
        <v>43867</v>
      </c>
      <c r="C328" s="273">
        <v>4664.45</v>
      </c>
      <c r="D328" s="273">
        <v>143.85</v>
      </c>
      <c r="E328" s="273">
        <v>1856.8</v>
      </c>
      <c r="F328" s="274">
        <v>38.549999999999997</v>
      </c>
      <c r="H328" s="271">
        <v>43867</v>
      </c>
      <c r="I328" s="277">
        <f t="shared" si="35"/>
        <v>1.8256209796067399E-3</v>
      </c>
      <c r="J328" s="277">
        <f t="shared" si="36"/>
        <v>5.2410901467505244E-3</v>
      </c>
      <c r="K328" s="277">
        <f t="shared" si="37"/>
        <v>-8.9137977048305561E-3</v>
      </c>
      <c r="L328" s="278">
        <f t="shared" si="38"/>
        <v>2.5265957446808398E-2</v>
      </c>
      <c r="N328" s="271">
        <v>43867</v>
      </c>
      <c r="O328" s="277">
        <f t="shared" si="39"/>
        <v>-1.4002817516933215E-3</v>
      </c>
      <c r="P328" s="277">
        <f t="shared" si="40"/>
        <v>6.2594233893557621E-3</v>
      </c>
      <c r="Q328" s="277">
        <f t="shared" si="41"/>
        <v>-1.0201080767859645E-2</v>
      </c>
      <c r="R328" s="278">
        <f t="shared" si="42"/>
        <v>2.8315046949148701E-2</v>
      </c>
      <c r="S328" s="277"/>
      <c r="T328" s="277"/>
    </row>
    <row r="329" spans="2:20" x14ac:dyDescent="0.3">
      <c r="B329" s="271">
        <v>43868</v>
      </c>
      <c r="C329" s="273">
        <v>4597.3500000000004</v>
      </c>
      <c r="D329" s="273">
        <v>144.6</v>
      </c>
      <c r="E329" s="273">
        <v>1858.7</v>
      </c>
      <c r="F329" s="274">
        <v>38.700000000000003</v>
      </c>
      <c r="H329" s="271">
        <v>43868</v>
      </c>
      <c r="I329" s="277">
        <f t="shared" si="35"/>
        <v>-1.4385404495706773E-2</v>
      </c>
      <c r="J329" s="277">
        <f t="shared" si="36"/>
        <v>5.2137643378519297E-3</v>
      </c>
      <c r="K329" s="277">
        <f t="shared" si="37"/>
        <v>1.023265833692423E-3</v>
      </c>
      <c r="L329" s="278">
        <f t="shared" si="38"/>
        <v>3.8910505836577355E-3</v>
      </c>
      <c r="N329" s="271">
        <v>43868</v>
      </c>
      <c r="O329" s="277">
        <f t="shared" si="39"/>
        <v>-1.7611307227006837E-2</v>
      </c>
      <c r="P329" s="277">
        <f t="shared" si="40"/>
        <v>6.2320975804571674E-3</v>
      </c>
      <c r="Q329" s="277">
        <f t="shared" si="41"/>
        <v>-2.6401722933666561E-4</v>
      </c>
      <c r="R329" s="278">
        <f t="shared" si="42"/>
        <v>6.9401400859980368E-3</v>
      </c>
      <c r="S329" s="277"/>
      <c r="T329" s="277"/>
    </row>
    <row r="330" spans="2:20" x14ac:dyDescent="0.3">
      <c r="B330" s="271">
        <v>43871</v>
      </c>
      <c r="C330" s="273">
        <v>4613.7</v>
      </c>
      <c r="D330" s="273">
        <v>140.30000000000001</v>
      </c>
      <c r="E330" s="273">
        <v>1869.5</v>
      </c>
      <c r="F330" s="274">
        <v>37.549999999999997</v>
      </c>
      <c r="H330" s="271">
        <v>43871</v>
      </c>
      <c r="I330" s="277">
        <f t="shared" ref="I330:I393" si="43">(C330-C329)/C329</f>
        <v>3.5563966197917178E-3</v>
      </c>
      <c r="J330" s="277">
        <f t="shared" ref="J330:J393" si="44">(D330-D329)/D329</f>
        <v>-2.9737206085753688E-2</v>
      </c>
      <c r="K330" s="277">
        <f t="shared" ref="K330:K393" si="45">(E330-E329)/E329</f>
        <v>5.8105127239468203E-3</v>
      </c>
      <c r="L330" s="278">
        <f t="shared" ref="L330:L393" si="46">(F330-F329)/F329</f>
        <v>-2.9715762273901953E-2</v>
      </c>
      <c r="N330" s="271">
        <v>43871</v>
      </c>
      <c r="O330" s="277">
        <f t="shared" ref="O330:O393" si="47">I330-I$499</f>
        <v>3.304938884916564E-4</v>
      </c>
      <c r="P330" s="277">
        <f t="shared" ref="P330:P393" si="48">J330-J$499</f>
        <v>-2.871887284314845E-2</v>
      </c>
      <c r="Q330" s="277">
        <f t="shared" ref="Q330:Q393" si="49">K330-K$499</f>
        <v>4.5232296609177321E-3</v>
      </c>
      <c r="R330" s="278">
        <f t="shared" ref="R330:R393" si="50">L330-L$499</f>
        <v>-2.666667277156165E-2</v>
      </c>
      <c r="S330" s="277"/>
      <c r="T330" s="277"/>
    </row>
    <row r="331" spans="2:20" x14ac:dyDescent="0.3">
      <c r="B331" s="271">
        <v>43872</v>
      </c>
      <c r="C331" s="273">
        <v>4619.1499999999996</v>
      </c>
      <c r="D331" s="273">
        <v>140.75</v>
      </c>
      <c r="E331" s="273">
        <v>1878.1</v>
      </c>
      <c r="F331" s="274">
        <v>36.85</v>
      </c>
      <c r="H331" s="271">
        <v>43872</v>
      </c>
      <c r="I331" s="277">
        <f t="shared" si="43"/>
        <v>1.1812644948739229E-3</v>
      </c>
      <c r="J331" s="277">
        <f t="shared" si="44"/>
        <v>3.207412687098992E-3</v>
      </c>
      <c r="K331" s="277">
        <f t="shared" si="45"/>
        <v>4.6001604707140457E-3</v>
      </c>
      <c r="L331" s="278">
        <f t="shared" si="46"/>
        <v>-1.8641810918774853E-2</v>
      </c>
      <c r="N331" s="271">
        <v>43872</v>
      </c>
      <c r="O331" s="277">
        <f t="shared" si="47"/>
        <v>-2.0446382364261387E-3</v>
      </c>
      <c r="P331" s="277">
        <f t="shared" si="48"/>
        <v>4.2257459297042298E-3</v>
      </c>
      <c r="Q331" s="277">
        <f t="shared" si="49"/>
        <v>3.3128774076849571E-3</v>
      </c>
      <c r="R331" s="278">
        <f t="shared" si="50"/>
        <v>-1.5592721416434552E-2</v>
      </c>
      <c r="S331" s="277"/>
      <c r="T331" s="277"/>
    </row>
    <row r="332" spans="2:20" x14ac:dyDescent="0.3">
      <c r="B332" s="271">
        <v>43873</v>
      </c>
      <c r="C332" s="273">
        <v>4619.8</v>
      </c>
      <c r="D332" s="273">
        <v>141.55000000000001</v>
      </c>
      <c r="E332" s="273">
        <v>1893.7</v>
      </c>
      <c r="F332" s="274">
        <v>35.200000000000003</v>
      </c>
      <c r="H332" s="271">
        <v>43873</v>
      </c>
      <c r="I332" s="277">
        <f t="shared" si="43"/>
        <v>1.4071853046568E-4</v>
      </c>
      <c r="J332" s="277">
        <f t="shared" si="44"/>
        <v>5.6838365896981265E-3</v>
      </c>
      <c r="K332" s="277">
        <f t="shared" si="45"/>
        <v>8.3062669719397991E-3</v>
      </c>
      <c r="L332" s="278">
        <f t="shared" si="46"/>
        <v>-4.4776119402985037E-2</v>
      </c>
      <c r="N332" s="271">
        <v>43873</v>
      </c>
      <c r="O332" s="277">
        <f t="shared" si="47"/>
        <v>-3.0851842008343816E-3</v>
      </c>
      <c r="P332" s="277">
        <f t="shared" si="48"/>
        <v>6.7021698323033643E-3</v>
      </c>
      <c r="Q332" s="277">
        <f t="shared" si="49"/>
        <v>7.0189839089107101E-3</v>
      </c>
      <c r="R332" s="278">
        <f t="shared" si="50"/>
        <v>-4.1727029900644738E-2</v>
      </c>
      <c r="S332" s="277"/>
      <c r="T332" s="277"/>
    </row>
    <row r="333" spans="2:20" x14ac:dyDescent="0.3">
      <c r="B333" s="271">
        <v>43874</v>
      </c>
      <c r="C333" s="273">
        <v>4692.6499999999996</v>
      </c>
      <c r="D333" s="273">
        <v>142.5</v>
      </c>
      <c r="E333" s="273">
        <v>1874.05</v>
      </c>
      <c r="F333" s="274">
        <v>37.200000000000003</v>
      </c>
      <c r="H333" s="271">
        <v>43874</v>
      </c>
      <c r="I333" s="277">
        <f t="shared" si="43"/>
        <v>1.5769080912593499E-2</v>
      </c>
      <c r="J333" s="277">
        <f t="shared" si="44"/>
        <v>6.7114093959730736E-3</v>
      </c>
      <c r="K333" s="277">
        <f t="shared" si="45"/>
        <v>-1.0376511591065158E-2</v>
      </c>
      <c r="L333" s="278">
        <f t="shared" si="46"/>
        <v>5.6818181818181816E-2</v>
      </c>
      <c r="N333" s="271">
        <v>43874</v>
      </c>
      <c r="O333" s="277">
        <f t="shared" si="47"/>
        <v>1.2543178181293437E-2</v>
      </c>
      <c r="P333" s="277">
        <f t="shared" si="48"/>
        <v>7.7297426385783113E-3</v>
      </c>
      <c r="Q333" s="277">
        <f t="shared" si="49"/>
        <v>-1.1663794654094247E-2</v>
      </c>
      <c r="R333" s="278">
        <f t="shared" si="50"/>
        <v>5.9867271320522115E-2</v>
      </c>
      <c r="S333" s="277"/>
      <c r="T333" s="277"/>
    </row>
    <row r="334" spans="2:20" x14ac:dyDescent="0.3">
      <c r="B334" s="271">
        <v>43875</v>
      </c>
      <c r="C334" s="273">
        <v>4489.7</v>
      </c>
      <c r="D334" s="273">
        <v>141.1</v>
      </c>
      <c r="E334" s="273">
        <v>1877.05</v>
      </c>
      <c r="F334" s="274">
        <v>38.9</v>
      </c>
      <c r="H334" s="271">
        <v>43875</v>
      </c>
      <c r="I334" s="277">
        <f t="shared" si="43"/>
        <v>-4.3248484331880672E-2</v>
      </c>
      <c r="J334" s="277">
        <f t="shared" si="44"/>
        <v>-9.8245614035088122E-3</v>
      </c>
      <c r="K334" s="277">
        <f t="shared" si="45"/>
        <v>1.6008110776126571E-3</v>
      </c>
      <c r="L334" s="278">
        <f t="shared" si="46"/>
        <v>4.5698924731182679E-2</v>
      </c>
      <c r="N334" s="271">
        <v>43875</v>
      </c>
      <c r="O334" s="277">
        <f t="shared" si="47"/>
        <v>-4.647438706318073E-2</v>
      </c>
      <c r="P334" s="277">
        <f t="shared" si="48"/>
        <v>-8.8062281609035745E-3</v>
      </c>
      <c r="Q334" s="277">
        <f t="shared" si="49"/>
        <v>3.1352801458356849E-4</v>
      </c>
      <c r="R334" s="278">
        <f t="shared" si="50"/>
        <v>4.8748014233522978E-2</v>
      </c>
      <c r="S334" s="277"/>
      <c r="T334" s="277"/>
    </row>
    <row r="335" spans="2:20" x14ac:dyDescent="0.3">
      <c r="B335" s="271">
        <v>43878</v>
      </c>
      <c r="C335" s="273">
        <v>4535.8500000000004</v>
      </c>
      <c r="D335" s="273">
        <v>142.1</v>
      </c>
      <c r="E335" s="273">
        <v>1881.4</v>
      </c>
      <c r="F335" s="274">
        <v>37.15</v>
      </c>
      <c r="H335" s="271">
        <v>43878</v>
      </c>
      <c r="I335" s="277">
        <f t="shared" si="43"/>
        <v>1.0279083234960141E-2</v>
      </c>
      <c r="J335" s="277">
        <f t="shared" si="44"/>
        <v>7.087172218284905E-3</v>
      </c>
      <c r="K335" s="277">
        <f t="shared" si="45"/>
        <v>2.3174662369143798E-3</v>
      </c>
      <c r="L335" s="278">
        <f t="shared" si="46"/>
        <v>-4.4987146529562982E-2</v>
      </c>
      <c r="N335" s="271">
        <v>43878</v>
      </c>
      <c r="O335" s="277">
        <f t="shared" si="47"/>
        <v>7.0531805036600798E-3</v>
      </c>
      <c r="P335" s="277">
        <f t="shared" si="48"/>
        <v>8.1055054608901427E-3</v>
      </c>
      <c r="Q335" s="277">
        <f t="shared" si="49"/>
        <v>1.0301831738852912E-3</v>
      </c>
      <c r="R335" s="278">
        <f t="shared" si="50"/>
        <v>-4.1938057027222683E-2</v>
      </c>
      <c r="S335" s="277"/>
      <c r="T335" s="277"/>
    </row>
    <row r="336" spans="2:20" x14ac:dyDescent="0.3">
      <c r="B336" s="271">
        <v>43879</v>
      </c>
      <c r="C336" s="273">
        <v>4503.55</v>
      </c>
      <c r="D336" s="273">
        <v>140.55000000000001</v>
      </c>
      <c r="E336" s="273">
        <v>1863.65</v>
      </c>
      <c r="F336" s="274">
        <v>35.049999999999997</v>
      </c>
      <c r="H336" s="271">
        <v>43879</v>
      </c>
      <c r="I336" s="277">
        <f t="shared" si="43"/>
        <v>-7.1210467718289139E-3</v>
      </c>
      <c r="J336" s="277">
        <f t="shared" si="44"/>
        <v>-1.0907811400422119E-2</v>
      </c>
      <c r="K336" s="277">
        <f t="shared" si="45"/>
        <v>-9.4344636972467314E-3</v>
      </c>
      <c r="L336" s="278">
        <f t="shared" si="46"/>
        <v>-5.6527590847913901E-2</v>
      </c>
      <c r="N336" s="271">
        <v>43879</v>
      </c>
      <c r="O336" s="277">
        <f t="shared" si="47"/>
        <v>-1.0346949503128975E-2</v>
      </c>
      <c r="P336" s="277">
        <f t="shared" si="48"/>
        <v>-9.8894781578168812E-3</v>
      </c>
      <c r="Q336" s="277">
        <f t="shared" si="49"/>
        <v>-1.072174676027582E-2</v>
      </c>
      <c r="R336" s="278">
        <f t="shared" si="50"/>
        <v>-5.3478501345573602E-2</v>
      </c>
      <c r="S336" s="277"/>
      <c r="T336" s="277"/>
    </row>
    <row r="337" spans="2:20" x14ac:dyDescent="0.3">
      <c r="B337" s="271">
        <v>43880</v>
      </c>
      <c r="C337" s="273">
        <v>4476.3999999999996</v>
      </c>
      <c r="D337" s="273">
        <v>142.65</v>
      </c>
      <c r="E337" s="273">
        <v>1884.9</v>
      </c>
      <c r="F337" s="274">
        <v>35.299999999999997</v>
      </c>
      <c r="H337" s="271">
        <v>43880</v>
      </c>
      <c r="I337" s="277">
        <f t="shared" si="43"/>
        <v>-6.0285774555629548E-3</v>
      </c>
      <c r="J337" s="277">
        <f t="shared" si="44"/>
        <v>1.494130202774809E-2</v>
      </c>
      <c r="K337" s="277">
        <f t="shared" si="45"/>
        <v>1.1402355592520055E-2</v>
      </c>
      <c r="L337" s="278">
        <f t="shared" si="46"/>
        <v>7.1326676176890159E-3</v>
      </c>
      <c r="N337" s="271">
        <v>43880</v>
      </c>
      <c r="O337" s="277">
        <f t="shared" si="47"/>
        <v>-9.2544801868630171E-3</v>
      </c>
      <c r="P337" s="277">
        <f t="shared" si="48"/>
        <v>1.595963527035333E-2</v>
      </c>
      <c r="Q337" s="277">
        <f t="shared" si="49"/>
        <v>1.0115072529490966E-2</v>
      </c>
      <c r="R337" s="278">
        <f t="shared" si="50"/>
        <v>1.0181757120029318E-2</v>
      </c>
      <c r="S337" s="277"/>
      <c r="T337" s="277"/>
    </row>
    <row r="338" spans="2:20" x14ac:dyDescent="0.3">
      <c r="B338" s="271">
        <v>43881</v>
      </c>
      <c r="C338" s="273">
        <v>4352.2</v>
      </c>
      <c r="D338" s="273">
        <v>142.35</v>
      </c>
      <c r="E338" s="273">
        <v>1842.25</v>
      </c>
      <c r="F338" s="274">
        <v>35.450000000000003</v>
      </c>
      <c r="H338" s="271">
        <v>43881</v>
      </c>
      <c r="I338" s="277">
        <f t="shared" si="43"/>
        <v>-2.7745509784648341E-2</v>
      </c>
      <c r="J338" s="277">
        <f t="shared" si="44"/>
        <v>-2.1030494216614888E-3</v>
      </c>
      <c r="K338" s="277">
        <f t="shared" si="45"/>
        <v>-2.262719507666194E-2</v>
      </c>
      <c r="L338" s="278">
        <f t="shared" si="46"/>
        <v>4.2492917847027113E-3</v>
      </c>
      <c r="N338" s="271">
        <v>43881</v>
      </c>
      <c r="O338" s="277">
        <f t="shared" si="47"/>
        <v>-3.0971412515948402E-2</v>
      </c>
      <c r="P338" s="277">
        <f t="shared" si="48"/>
        <v>-1.0847161790562508E-3</v>
      </c>
      <c r="Q338" s="277">
        <f t="shared" si="49"/>
        <v>-2.3914478139691029E-2</v>
      </c>
      <c r="R338" s="278">
        <f t="shared" si="50"/>
        <v>7.2983812870430122E-3</v>
      </c>
      <c r="S338" s="277"/>
      <c r="T338" s="277"/>
    </row>
    <row r="339" spans="2:20" x14ac:dyDescent="0.3">
      <c r="B339" s="271">
        <v>43885</v>
      </c>
      <c r="C339" s="273">
        <v>4123.3</v>
      </c>
      <c r="D339" s="273">
        <v>133.19999999999999</v>
      </c>
      <c r="E339" s="273">
        <v>1818.95</v>
      </c>
      <c r="F339" s="274">
        <v>34.950000000000003</v>
      </c>
      <c r="H339" s="271">
        <v>43885</v>
      </c>
      <c r="I339" s="277">
        <f t="shared" si="43"/>
        <v>-5.2594090345112733E-2</v>
      </c>
      <c r="J339" s="277">
        <f t="shared" si="44"/>
        <v>-6.4278187565858846E-2</v>
      </c>
      <c r="K339" s="277">
        <f t="shared" si="45"/>
        <v>-1.2647577690324307E-2</v>
      </c>
      <c r="L339" s="278">
        <f t="shared" si="46"/>
        <v>-1.4104372355430182E-2</v>
      </c>
      <c r="N339" s="271">
        <v>43885</v>
      </c>
      <c r="O339" s="277">
        <f t="shared" si="47"/>
        <v>-5.5819993076412791E-2</v>
      </c>
      <c r="P339" s="277">
        <f t="shared" si="48"/>
        <v>-6.3259854323253609E-2</v>
      </c>
      <c r="Q339" s="277">
        <f t="shared" si="49"/>
        <v>-1.3934860753353396E-2</v>
      </c>
      <c r="R339" s="278">
        <f t="shared" si="50"/>
        <v>-1.1055282853089881E-2</v>
      </c>
      <c r="S339" s="277"/>
      <c r="T339" s="277"/>
    </row>
    <row r="340" spans="2:20" x14ac:dyDescent="0.3">
      <c r="B340" s="271">
        <v>43886</v>
      </c>
      <c r="C340" s="273">
        <v>4148.3999999999996</v>
      </c>
      <c r="D340" s="273">
        <v>132.69999999999999</v>
      </c>
      <c r="E340" s="273">
        <v>1826.1</v>
      </c>
      <c r="F340" s="274">
        <v>35.15</v>
      </c>
      <c r="H340" s="271">
        <v>43886</v>
      </c>
      <c r="I340" s="277">
        <f t="shared" si="43"/>
        <v>6.0873572138819519E-3</v>
      </c>
      <c r="J340" s="277">
        <f t="shared" si="44"/>
        <v>-3.7537537537537542E-3</v>
      </c>
      <c r="K340" s="277">
        <f t="shared" si="45"/>
        <v>3.9308392204292931E-3</v>
      </c>
      <c r="L340" s="278">
        <f t="shared" si="46"/>
        <v>5.7224606580828534E-3</v>
      </c>
      <c r="N340" s="271">
        <v>43886</v>
      </c>
      <c r="O340" s="277">
        <f t="shared" si="47"/>
        <v>2.8614544825818905E-3</v>
      </c>
      <c r="P340" s="277">
        <f t="shared" si="48"/>
        <v>-2.7354205111485164E-3</v>
      </c>
      <c r="Q340" s="277">
        <f t="shared" si="49"/>
        <v>2.6435561574002044E-3</v>
      </c>
      <c r="R340" s="278">
        <f t="shared" si="50"/>
        <v>8.7715501604231551E-3</v>
      </c>
      <c r="S340" s="277"/>
      <c r="T340" s="277"/>
    </row>
    <row r="341" spans="2:20" x14ac:dyDescent="0.3">
      <c r="B341" s="271">
        <v>43887</v>
      </c>
      <c r="C341" s="273">
        <v>4041.45</v>
      </c>
      <c r="D341" s="273">
        <v>130.25</v>
      </c>
      <c r="E341" s="273">
        <v>1826.65</v>
      </c>
      <c r="F341" s="274">
        <v>36.549999999999997</v>
      </c>
      <c r="H341" s="271">
        <v>43887</v>
      </c>
      <c r="I341" s="277">
        <f t="shared" si="43"/>
        <v>-2.578102400925654E-2</v>
      </c>
      <c r="J341" s="277">
        <f t="shared" si="44"/>
        <v>-1.8462697814619358E-2</v>
      </c>
      <c r="K341" s="277">
        <f t="shared" si="45"/>
        <v>3.0118832484539833E-4</v>
      </c>
      <c r="L341" s="278">
        <f t="shared" si="46"/>
        <v>3.9829302987197689E-2</v>
      </c>
      <c r="N341" s="271">
        <v>43887</v>
      </c>
      <c r="O341" s="277">
        <f t="shared" si="47"/>
        <v>-2.9006926740556601E-2</v>
      </c>
      <c r="P341" s="277">
        <f t="shared" si="48"/>
        <v>-1.744436457201412E-2</v>
      </c>
      <c r="Q341" s="277">
        <f t="shared" si="49"/>
        <v>-9.8609473818369025E-4</v>
      </c>
      <c r="R341" s="278">
        <f t="shared" si="50"/>
        <v>4.2878392489537988E-2</v>
      </c>
      <c r="S341" s="277"/>
      <c r="T341" s="277"/>
    </row>
    <row r="342" spans="2:20" x14ac:dyDescent="0.3">
      <c r="B342" s="271">
        <v>43888</v>
      </c>
      <c r="C342" s="273">
        <v>4017.65</v>
      </c>
      <c r="D342" s="273">
        <v>130.55000000000001</v>
      </c>
      <c r="E342" s="273">
        <v>1843.8</v>
      </c>
      <c r="F342" s="274">
        <v>36.799999999999997</v>
      </c>
      <c r="H342" s="271">
        <v>43888</v>
      </c>
      <c r="I342" s="277">
        <f t="shared" si="43"/>
        <v>-5.8889754914695789E-3</v>
      </c>
      <c r="J342" s="277">
        <f t="shared" si="44"/>
        <v>2.3032629558542139E-3</v>
      </c>
      <c r="K342" s="277">
        <f t="shared" si="45"/>
        <v>9.3887717953630209E-3</v>
      </c>
      <c r="L342" s="278">
        <f t="shared" si="46"/>
        <v>6.8399452804377573E-3</v>
      </c>
      <c r="N342" s="271">
        <v>43888</v>
      </c>
      <c r="O342" s="277">
        <f t="shared" si="47"/>
        <v>-9.1148782227696394E-3</v>
      </c>
      <c r="P342" s="277">
        <f t="shared" si="48"/>
        <v>3.3215961984594516E-3</v>
      </c>
      <c r="Q342" s="277">
        <f t="shared" si="49"/>
        <v>8.1014887323339318E-3</v>
      </c>
      <c r="R342" s="278">
        <f t="shared" si="50"/>
        <v>9.8890347827780591E-3</v>
      </c>
      <c r="S342" s="277"/>
      <c r="T342" s="277"/>
    </row>
    <row r="343" spans="2:20" x14ac:dyDescent="0.3">
      <c r="B343" s="271">
        <v>43889</v>
      </c>
      <c r="C343" s="273">
        <v>3828.05</v>
      </c>
      <c r="D343" s="273">
        <v>114</v>
      </c>
      <c r="E343" s="273">
        <v>1797.95</v>
      </c>
      <c r="F343" s="274">
        <v>34.6</v>
      </c>
      <c r="H343" s="271">
        <v>43889</v>
      </c>
      <c r="I343" s="277">
        <f t="shared" si="43"/>
        <v>-4.7191766331064158E-2</v>
      </c>
      <c r="J343" s="277">
        <f t="shared" si="44"/>
        <v>-0.12677135197242442</v>
      </c>
      <c r="K343" s="277">
        <f t="shared" si="45"/>
        <v>-2.4867122247532222E-2</v>
      </c>
      <c r="L343" s="278">
        <f t="shared" si="46"/>
        <v>-5.9782608695652065E-2</v>
      </c>
      <c r="N343" s="271">
        <v>43889</v>
      </c>
      <c r="O343" s="277">
        <f t="shared" si="47"/>
        <v>-5.0417669062364223E-2</v>
      </c>
      <c r="P343" s="277">
        <f t="shared" si="48"/>
        <v>-0.12575301872981917</v>
      </c>
      <c r="Q343" s="277">
        <f t="shared" si="49"/>
        <v>-2.6154405310561311E-2</v>
      </c>
      <c r="R343" s="278">
        <f t="shared" si="50"/>
        <v>-5.6733519193311766E-2</v>
      </c>
      <c r="S343" s="277"/>
      <c r="T343" s="277"/>
    </row>
    <row r="344" spans="2:20" x14ac:dyDescent="0.3">
      <c r="B344" s="271">
        <v>43892</v>
      </c>
      <c r="C344" s="273">
        <v>3935.1</v>
      </c>
      <c r="D344" s="273">
        <v>110.95</v>
      </c>
      <c r="E344" s="273">
        <v>1786.8</v>
      </c>
      <c r="F344" s="274">
        <v>31.55</v>
      </c>
      <c r="H344" s="271">
        <v>43892</v>
      </c>
      <c r="I344" s="277">
        <f t="shared" si="43"/>
        <v>2.7964629511108716E-2</v>
      </c>
      <c r="J344" s="277">
        <f t="shared" si="44"/>
        <v>-2.6754385964912256E-2</v>
      </c>
      <c r="K344" s="277">
        <f t="shared" si="45"/>
        <v>-6.2015072721711339E-3</v>
      </c>
      <c r="L344" s="278">
        <f t="shared" si="46"/>
        <v>-8.8150289017341052E-2</v>
      </c>
      <c r="N344" s="271">
        <v>43892</v>
      </c>
      <c r="O344" s="277">
        <f t="shared" si="47"/>
        <v>2.4738726779808654E-2</v>
      </c>
      <c r="P344" s="277">
        <f t="shared" si="48"/>
        <v>-2.5736052722307019E-2</v>
      </c>
      <c r="Q344" s="277">
        <f t="shared" si="49"/>
        <v>-7.4887903352002221E-3</v>
      </c>
      <c r="R344" s="278">
        <f t="shared" si="50"/>
        <v>-8.5101199515000753E-2</v>
      </c>
      <c r="S344" s="277"/>
      <c r="T344" s="277"/>
    </row>
    <row r="345" spans="2:20" x14ac:dyDescent="0.3">
      <c r="B345" s="271">
        <v>43893</v>
      </c>
      <c r="C345" s="273">
        <v>4034.95</v>
      </c>
      <c r="D345" s="273">
        <v>119.55</v>
      </c>
      <c r="E345" s="273">
        <v>1800.55</v>
      </c>
      <c r="F345" s="274">
        <v>31.2</v>
      </c>
      <c r="H345" s="271">
        <v>43893</v>
      </c>
      <c r="I345" s="277">
        <f t="shared" si="43"/>
        <v>2.5374196335544181E-2</v>
      </c>
      <c r="J345" s="277">
        <f t="shared" si="44"/>
        <v>7.7512392969806165E-2</v>
      </c>
      <c r="K345" s="277">
        <f t="shared" si="45"/>
        <v>7.6953212446832326E-3</v>
      </c>
      <c r="L345" s="278">
        <f t="shared" si="46"/>
        <v>-1.1093502377179126E-2</v>
      </c>
      <c r="N345" s="271">
        <v>43893</v>
      </c>
      <c r="O345" s="277">
        <f t="shared" si="47"/>
        <v>2.2148293604244119E-2</v>
      </c>
      <c r="P345" s="277">
        <f t="shared" si="48"/>
        <v>7.8530726212411403E-2</v>
      </c>
      <c r="Q345" s="277">
        <f t="shared" si="49"/>
        <v>6.4080381816541444E-3</v>
      </c>
      <c r="R345" s="278">
        <f t="shared" si="50"/>
        <v>-8.0444128748388254E-3</v>
      </c>
      <c r="S345" s="277"/>
      <c r="T345" s="277"/>
    </row>
    <row r="346" spans="2:20" x14ac:dyDescent="0.3">
      <c r="B346" s="271">
        <v>43894</v>
      </c>
      <c r="C346" s="273">
        <v>3892.65</v>
      </c>
      <c r="D346" s="273">
        <v>119.35</v>
      </c>
      <c r="E346" s="273">
        <v>1847.95</v>
      </c>
      <c r="F346" s="274">
        <v>29.3</v>
      </c>
      <c r="H346" s="271">
        <v>43894</v>
      </c>
      <c r="I346" s="277">
        <f t="shared" si="43"/>
        <v>-3.5266855847036455E-2</v>
      </c>
      <c r="J346" s="277">
        <f t="shared" si="44"/>
        <v>-1.6729401923881459E-3</v>
      </c>
      <c r="K346" s="277">
        <f t="shared" si="45"/>
        <v>2.6325289494876617E-2</v>
      </c>
      <c r="L346" s="278">
        <f t="shared" si="46"/>
        <v>-6.0897435897435855E-2</v>
      </c>
      <c r="N346" s="271">
        <v>43894</v>
      </c>
      <c r="O346" s="277">
        <f t="shared" si="47"/>
        <v>-3.8492758578336519E-2</v>
      </c>
      <c r="P346" s="277">
        <f t="shared" si="48"/>
        <v>-6.5460694978290799E-4</v>
      </c>
      <c r="Q346" s="277">
        <f t="shared" si="49"/>
        <v>2.5038006431847528E-2</v>
      </c>
      <c r="R346" s="278">
        <f t="shared" si="50"/>
        <v>-5.7848346395095555E-2</v>
      </c>
      <c r="S346" s="277"/>
      <c r="T346" s="277"/>
    </row>
    <row r="347" spans="2:20" x14ac:dyDescent="0.3">
      <c r="B347" s="271">
        <v>43895</v>
      </c>
      <c r="C347" s="273">
        <v>4101.45</v>
      </c>
      <c r="D347" s="273">
        <v>117.1</v>
      </c>
      <c r="E347" s="273">
        <v>1874.45</v>
      </c>
      <c r="F347" s="274">
        <v>36.799999999999997</v>
      </c>
      <c r="H347" s="271">
        <v>43895</v>
      </c>
      <c r="I347" s="277">
        <f t="shared" si="43"/>
        <v>5.3639551462371322E-2</v>
      </c>
      <c r="J347" s="277">
        <f t="shared" si="44"/>
        <v>-1.8852115626309177E-2</v>
      </c>
      <c r="K347" s="277">
        <f t="shared" si="45"/>
        <v>1.4340214832652399E-2</v>
      </c>
      <c r="L347" s="278">
        <f t="shared" si="46"/>
        <v>0.25597269624573366</v>
      </c>
      <c r="N347" s="271">
        <v>43895</v>
      </c>
      <c r="O347" s="277">
        <f t="shared" si="47"/>
        <v>5.0413648731071264E-2</v>
      </c>
      <c r="P347" s="277">
        <f t="shared" si="48"/>
        <v>-1.783378238370394E-2</v>
      </c>
      <c r="Q347" s="277">
        <f t="shared" si="49"/>
        <v>1.305293176962331E-2</v>
      </c>
      <c r="R347" s="278">
        <f t="shared" si="50"/>
        <v>0.25902178574807394</v>
      </c>
      <c r="S347" s="277"/>
      <c r="T347" s="277"/>
    </row>
    <row r="348" spans="2:20" x14ac:dyDescent="0.3">
      <c r="B348" s="271">
        <v>43896</v>
      </c>
      <c r="C348" s="273">
        <v>4430.6000000000004</v>
      </c>
      <c r="D348" s="273">
        <v>111.05</v>
      </c>
      <c r="E348" s="273">
        <v>1877.45</v>
      </c>
      <c r="F348" s="274">
        <v>16.149999999999999</v>
      </c>
      <c r="H348" s="271">
        <v>43896</v>
      </c>
      <c r="I348" s="277">
        <f t="shared" si="43"/>
        <v>8.0252105962525591E-2</v>
      </c>
      <c r="J348" s="277">
        <f t="shared" si="44"/>
        <v>-5.1665243381724998E-2</v>
      </c>
      <c r="K348" s="277">
        <f t="shared" si="45"/>
        <v>1.6004694710448398E-3</v>
      </c>
      <c r="L348" s="278">
        <f t="shared" si="46"/>
        <v>-0.56114130434782605</v>
      </c>
      <c r="N348" s="271">
        <v>43896</v>
      </c>
      <c r="O348" s="277">
        <f t="shared" si="47"/>
        <v>7.7026203231225526E-2</v>
      </c>
      <c r="P348" s="277">
        <f t="shared" si="48"/>
        <v>-5.0646910139119761E-2</v>
      </c>
      <c r="Q348" s="277">
        <f t="shared" si="49"/>
        <v>3.131864080157512E-4</v>
      </c>
      <c r="R348" s="278">
        <f t="shared" si="50"/>
        <v>-0.55809221484548577</v>
      </c>
      <c r="S348" s="277"/>
      <c r="T348" s="277"/>
    </row>
    <row r="349" spans="2:20" x14ac:dyDescent="0.3">
      <c r="B349" s="271">
        <v>43899</v>
      </c>
      <c r="C349" s="273">
        <v>4284.3500000000004</v>
      </c>
      <c r="D349" s="273">
        <v>94.9</v>
      </c>
      <c r="E349" s="273">
        <v>1867.15</v>
      </c>
      <c r="F349" s="274">
        <v>21.25</v>
      </c>
      <c r="H349" s="271">
        <v>43899</v>
      </c>
      <c r="I349" s="277">
        <f t="shared" si="43"/>
        <v>-3.3009073263214915E-2</v>
      </c>
      <c r="J349" s="277">
        <f t="shared" si="44"/>
        <v>-0.14542998649257083</v>
      </c>
      <c r="K349" s="277">
        <f t="shared" si="45"/>
        <v>-5.486164744733524E-3</v>
      </c>
      <c r="L349" s="278">
        <f t="shared" si="46"/>
        <v>0.31578947368421062</v>
      </c>
      <c r="N349" s="271">
        <v>43899</v>
      </c>
      <c r="O349" s="277">
        <f t="shared" si="47"/>
        <v>-3.6234975994514973E-2</v>
      </c>
      <c r="P349" s="277">
        <f t="shared" si="48"/>
        <v>-0.14441165324996558</v>
      </c>
      <c r="Q349" s="277">
        <f t="shared" si="49"/>
        <v>-6.7734478077626122E-3</v>
      </c>
      <c r="R349" s="278">
        <f t="shared" si="50"/>
        <v>0.31883856318655091</v>
      </c>
      <c r="S349" s="277"/>
      <c r="T349" s="277"/>
    </row>
    <row r="350" spans="2:20" x14ac:dyDescent="0.3">
      <c r="B350" s="271">
        <v>43901</v>
      </c>
      <c r="C350" s="273">
        <v>4296.75</v>
      </c>
      <c r="D350" s="273">
        <v>92</v>
      </c>
      <c r="E350" s="273">
        <v>1882.85</v>
      </c>
      <c r="F350" s="274">
        <v>28.8</v>
      </c>
      <c r="H350" s="271">
        <v>43901</v>
      </c>
      <c r="I350" s="277">
        <f t="shared" si="43"/>
        <v>2.8942546710702057E-3</v>
      </c>
      <c r="J350" s="277">
        <f t="shared" si="44"/>
        <v>-3.0558482613277191E-2</v>
      </c>
      <c r="K350" s="277">
        <f t="shared" si="45"/>
        <v>8.4085370752214963E-3</v>
      </c>
      <c r="L350" s="278">
        <f t="shared" si="46"/>
        <v>0.35529411764705887</v>
      </c>
      <c r="N350" s="271">
        <v>43901</v>
      </c>
      <c r="O350" s="277">
        <f t="shared" si="47"/>
        <v>-3.3164806022985575E-4</v>
      </c>
      <c r="P350" s="277">
        <f t="shared" si="48"/>
        <v>-2.9540149370671953E-2</v>
      </c>
      <c r="Q350" s="277">
        <f t="shared" si="49"/>
        <v>7.1212540121924073E-3</v>
      </c>
      <c r="R350" s="278">
        <f t="shared" si="50"/>
        <v>0.35834320714939916</v>
      </c>
      <c r="S350" s="277"/>
      <c r="T350" s="277"/>
    </row>
    <row r="351" spans="2:20" x14ac:dyDescent="0.3">
      <c r="B351" s="271">
        <v>43902</v>
      </c>
      <c r="C351" s="273">
        <v>4015.05</v>
      </c>
      <c r="D351" s="273">
        <v>79.849999999999994</v>
      </c>
      <c r="E351" s="273">
        <v>1843.35</v>
      </c>
      <c r="F351" s="274">
        <v>25.05</v>
      </c>
      <c r="H351" s="271">
        <v>43902</v>
      </c>
      <c r="I351" s="277">
        <f t="shared" si="43"/>
        <v>-6.5561179961598839E-2</v>
      </c>
      <c r="J351" s="277">
        <f t="shared" si="44"/>
        <v>-0.13206521739130442</v>
      </c>
      <c r="K351" s="277">
        <f t="shared" si="45"/>
        <v>-2.0978835276309851E-2</v>
      </c>
      <c r="L351" s="278">
        <f t="shared" si="46"/>
        <v>-0.13020833333333334</v>
      </c>
      <c r="N351" s="271">
        <v>43902</v>
      </c>
      <c r="O351" s="277">
        <f t="shared" si="47"/>
        <v>-6.8787082692898904E-2</v>
      </c>
      <c r="P351" s="277">
        <f t="shared" si="48"/>
        <v>-0.13104688414869917</v>
      </c>
      <c r="Q351" s="277">
        <f t="shared" si="49"/>
        <v>-2.226611833933894E-2</v>
      </c>
      <c r="R351" s="278">
        <f t="shared" si="50"/>
        <v>-0.12715924383099303</v>
      </c>
      <c r="S351" s="277"/>
      <c r="T351" s="277"/>
    </row>
    <row r="352" spans="2:20" x14ac:dyDescent="0.3">
      <c r="B352" s="271">
        <v>43903</v>
      </c>
      <c r="C352" s="273">
        <v>3919.85</v>
      </c>
      <c r="D352" s="273">
        <v>84.05</v>
      </c>
      <c r="E352" s="273">
        <v>1797.7</v>
      </c>
      <c r="F352" s="274">
        <v>25.55</v>
      </c>
      <c r="H352" s="271">
        <v>43903</v>
      </c>
      <c r="I352" s="277">
        <f t="shared" si="43"/>
        <v>-2.3710788159549762E-2</v>
      </c>
      <c r="J352" s="277">
        <f t="shared" si="44"/>
        <v>5.2598622417031976E-2</v>
      </c>
      <c r="K352" s="277">
        <f t="shared" si="45"/>
        <v>-2.4764694713429281E-2</v>
      </c>
      <c r="L352" s="278">
        <f t="shared" si="46"/>
        <v>1.9960079840319361E-2</v>
      </c>
      <c r="N352" s="271">
        <v>43903</v>
      </c>
      <c r="O352" s="277">
        <f t="shared" si="47"/>
        <v>-2.6936690890849824E-2</v>
      </c>
      <c r="P352" s="277">
        <f t="shared" si="48"/>
        <v>5.3616955659637214E-2</v>
      </c>
      <c r="Q352" s="277">
        <f t="shared" si="49"/>
        <v>-2.605197777645837E-2</v>
      </c>
      <c r="R352" s="278">
        <f t="shared" si="50"/>
        <v>2.3009169342659664E-2</v>
      </c>
      <c r="S352" s="277"/>
      <c r="T352" s="277"/>
    </row>
    <row r="353" spans="2:20" x14ac:dyDescent="0.3">
      <c r="B353" s="271">
        <v>43906</v>
      </c>
      <c r="C353" s="273">
        <v>3886.05</v>
      </c>
      <c r="D353" s="273">
        <v>74.849999999999994</v>
      </c>
      <c r="E353" s="273">
        <v>1683.4</v>
      </c>
      <c r="F353" s="274">
        <v>37.1</v>
      </c>
      <c r="H353" s="271">
        <v>43906</v>
      </c>
      <c r="I353" s="277">
        <f t="shared" si="43"/>
        <v>-8.6227789328672602E-3</v>
      </c>
      <c r="J353" s="277">
        <f t="shared" si="44"/>
        <v>-0.10945865556216541</v>
      </c>
      <c r="K353" s="277">
        <f t="shared" si="45"/>
        <v>-6.3581242699004253E-2</v>
      </c>
      <c r="L353" s="278">
        <f t="shared" si="46"/>
        <v>0.45205479452054798</v>
      </c>
      <c r="N353" s="271">
        <v>43906</v>
      </c>
      <c r="O353" s="277">
        <f t="shared" si="47"/>
        <v>-1.1848681664167322E-2</v>
      </c>
      <c r="P353" s="277">
        <f t="shared" si="48"/>
        <v>-0.10844032231956018</v>
      </c>
      <c r="Q353" s="277">
        <f t="shared" si="49"/>
        <v>-6.4868525762033336E-2</v>
      </c>
      <c r="R353" s="278">
        <f t="shared" si="50"/>
        <v>0.45510388402288826</v>
      </c>
      <c r="S353" s="277"/>
      <c r="T353" s="277"/>
    </row>
    <row r="354" spans="2:20" x14ac:dyDescent="0.3">
      <c r="B354" s="271">
        <v>43907</v>
      </c>
      <c r="C354" s="273">
        <v>3830.65</v>
      </c>
      <c r="D354" s="273">
        <v>75</v>
      </c>
      <c r="E354" s="273">
        <v>1731.6</v>
      </c>
      <c r="F354" s="274">
        <v>58.65</v>
      </c>
      <c r="H354" s="271">
        <v>43907</v>
      </c>
      <c r="I354" s="277">
        <f t="shared" si="43"/>
        <v>-1.4256121254229896E-2</v>
      </c>
      <c r="J354" s="277">
        <f t="shared" si="44"/>
        <v>2.0040080160321403E-3</v>
      </c>
      <c r="K354" s="277">
        <f t="shared" si="45"/>
        <v>2.8632529404775939E-2</v>
      </c>
      <c r="L354" s="278">
        <f t="shared" si="46"/>
        <v>0.58086253369272223</v>
      </c>
      <c r="N354" s="271">
        <v>43907</v>
      </c>
      <c r="O354" s="277">
        <f t="shared" si="47"/>
        <v>-1.7482023985529956E-2</v>
      </c>
      <c r="P354" s="277">
        <f t="shared" si="48"/>
        <v>3.0223412586373784E-3</v>
      </c>
      <c r="Q354" s="277">
        <f t="shared" si="49"/>
        <v>2.734524634174685E-2</v>
      </c>
      <c r="R354" s="278">
        <f t="shared" si="50"/>
        <v>0.58391162319506251</v>
      </c>
      <c r="S354" s="277"/>
      <c r="T354" s="277"/>
    </row>
    <row r="355" spans="2:20" x14ac:dyDescent="0.3">
      <c r="B355" s="271">
        <v>43908</v>
      </c>
      <c r="C355" s="273">
        <v>3598.15</v>
      </c>
      <c r="D355" s="273">
        <v>72.95</v>
      </c>
      <c r="E355" s="273">
        <v>1618.2</v>
      </c>
      <c r="F355" s="274">
        <v>60.45</v>
      </c>
      <c r="H355" s="271">
        <v>43908</v>
      </c>
      <c r="I355" s="277">
        <f t="shared" si="43"/>
        <v>-6.0694660175166094E-2</v>
      </c>
      <c r="J355" s="277">
        <f t="shared" si="44"/>
        <v>-2.7333333333333296E-2</v>
      </c>
      <c r="K355" s="277">
        <f t="shared" si="45"/>
        <v>-6.5488565488565409E-2</v>
      </c>
      <c r="L355" s="278">
        <f t="shared" si="46"/>
        <v>3.0690537084399051E-2</v>
      </c>
      <c r="N355" s="271">
        <v>43908</v>
      </c>
      <c r="O355" s="277">
        <f t="shared" si="47"/>
        <v>-6.3920562906466152E-2</v>
      </c>
      <c r="P355" s="277">
        <f t="shared" si="48"/>
        <v>-2.6315000090728059E-2</v>
      </c>
      <c r="Q355" s="277">
        <f t="shared" si="49"/>
        <v>-6.6775848551594491E-2</v>
      </c>
      <c r="R355" s="278">
        <f t="shared" si="50"/>
        <v>3.3739626586739353E-2</v>
      </c>
      <c r="S355" s="277"/>
      <c r="T355" s="277"/>
    </row>
    <row r="356" spans="2:20" x14ac:dyDescent="0.3">
      <c r="B356" s="271">
        <v>43909</v>
      </c>
      <c r="C356" s="273">
        <v>3248.85</v>
      </c>
      <c r="D356" s="273">
        <v>69.349999999999994</v>
      </c>
      <c r="E356" s="273">
        <v>1601.2</v>
      </c>
      <c r="F356" s="274">
        <v>53.85</v>
      </c>
      <c r="H356" s="271">
        <v>43909</v>
      </c>
      <c r="I356" s="277">
        <f t="shared" si="43"/>
        <v>-9.7077664911134939E-2</v>
      </c>
      <c r="J356" s="277">
        <f t="shared" si="44"/>
        <v>-4.934886908841684E-2</v>
      </c>
      <c r="K356" s="277">
        <f t="shared" si="45"/>
        <v>-1.050549993820294E-2</v>
      </c>
      <c r="L356" s="278">
        <f t="shared" si="46"/>
        <v>-0.10918114143920597</v>
      </c>
      <c r="N356" s="271">
        <v>43909</v>
      </c>
      <c r="O356" s="277">
        <f t="shared" si="47"/>
        <v>-0.100303567642435</v>
      </c>
      <c r="P356" s="277">
        <f t="shared" si="48"/>
        <v>-4.8330535845811602E-2</v>
      </c>
      <c r="Q356" s="277">
        <f t="shared" si="49"/>
        <v>-1.1792783001232029E-2</v>
      </c>
      <c r="R356" s="278">
        <f t="shared" si="50"/>
        <v>-0.10613205193686567</v>
      </c>
      <c r="S356" s="277"/>
      <c r="T356" s="277"/>
    </row>
    <row r="357" spans="2:20" x14ac:dyDescent="0.3">
      <c r="B357" s="271">
        <v>43910</v>
      </c>
      <c r="C357" s="273">
        <v>3570</v>
      </c>
      <c r="D357" s="273">
        <v>75.45</v>
      </c>
      <c r="E357" s="273">
        <v>1742.95</v>
      </c>
      <c r="F357" s="274">
        <v>45.85</v>
      </c>
      <c r="H357" s="271">
        <v>43910</v>
      </c>
      <c r="I357" s="277">
        <f t="shared" si="43"/>
        <v>9.8850362435938907E-2</v>
      </c>
      <c r="J357" s="277">
        <f t="shared" si="44"/>
        <v>8.7959625090122701E-2</v>
      </c>
      <c r="K357" s="277">
        <f t="shared" si="45"/>
        <v>8.85273544841369E-2</v>
      </c>
      <c r="L357" s="278">
        <f t="shared" si="46"/>
        <v>-0.14856081708449395</v>
      </c>
      <c r="N357" s="271">
        <v>43910</v>
      </c>
      <c r="O357" s="277">
        <f t="shared" si="47"/>
        <v>9.5624459704638842E-2</v>
      </c>
      <c r="P357" s="277">
        <f t="shared" si="48"/>
        <v>8.8977958332727938E-2</v>
      </c>
      <c r="Q357" s="277">
        <f t="shared" si="49"/>
        <v>8.7240071421107818E-2</v>
      </c>
      <c r="R357" s="278">
        <f t="shared" si="50"/>
        <v>-0.14551172758215364</v>
      </c>
      <c r="S357" s="277"/>
      <c r="T357" s="277"/>
    </row>
    <row r="358" spans="2:20" x14ac:dyDescent="0.3">
      <c r="B358" s="271">
        <v>43913</v>
      </c>
      <c r="C358" s="273">
        <v>3216.85</v>
      </c>
      <c r="D358" s="273">
        <v>62.65</v>
      </c>
      <c r="E358" s="273">
        <v>1498.45</v>
      </c>
      <c r="F358" s="274">
        <v>39.75</v>
      </c>
      <c r="H358" s="271">
        <v>43913</v>
      </c>
      <c r="I358" s="277">
        <f t="shared" si="43"/>
        <v>-9.8921568627451009E-2</v>
      </c>
      <c r="J358" s="277">
        <f t="shared" si="44"/>
        <v>-0.16964877402253153</v>
      </c>
      <c r="K358" s="277">
        <f t="shared" si="45"/>
        <v>-0.14027941134283828</v>
      </c>
      <c r="L358" s="278">
        <f t="shared" si="46"/>
        <v>-0.13304252998909491</v>
      </c>
      <c r="N358" s="271">
        <v>43913</v>
      </c>
      <c r="O358" s="277">
        <f t="shared" si="47"/>
        <v>-0.10214747135875107</v>
      </c>
      <c r="P358" s="277">
        <f t="shared" si="48"/>
        <v>-0.16863044077992628</v>
      </c>
      <c r="Q358" s="277">
        <f t="shared" si="49"/>
        <v>-0.14156669440586736</v>
      </c>
      <c r="R358" s="278">
        <f t="shared" si="50"/>
        <v>-0.1299934404867546</v>
      </c>
      <c r="S358" s="277"/>
      <c r="T358" s="277"/>
    </row>
    <row r="359" spans="2:20" x14ac:dyDescent="0.3">
      <c r="B359" s="271">
        <v>43914</v>
      </c>
      <c r="C359" s="273">
        <v>3184.05</v>
      </c>
      <c r="D359" s="273">
        <v>62.8</v>
      </c>
      <c r="E359" s="273">
        <v>1524.85</v>
      </c>
      <c r="F359" s="274">
        <v>35</v>
      </c>
      <c r="H359" s="271">
        <v>43914</v>
      </c>
      <c r="I359" s="277">
        <f t="shared" si="43"/>
        <v>-1.0196310054867255E-2</v>
      </c>
      <c r="J359" s="277">
        <f t="shared" si="44"/>
        <v>2.3942537909018131E-3</v>
      </c>
      <c r="K359" s="277">
        <f t="shared" si="45"/>
        <v>1.7618205478994869E-2</v>
      </c>
      <c r="L359" s="278">
        <f t="shared" si="46"/>
        <v>-0.11949685534591195</v>
      </c>
      <c r="N359" s="271">
        <v>43914</v>
      </c>
      <c r="O359" s="277">
        <f t="shared" si="47"/>
        <v>-1.3422212786167316E-2</v>
      </c>
      <c r="P359" s="277">
        <f t="shared" si="48"/>
        <v>3.4125870335070512E-3</v>
      </c>
      <c r="Q359" s="277">
        <f t="shared" si="49"/>
        <v>1.633092241596578E-2</v>
      </c>
      <c r="R359" s="278">
        <f t="shared" si="50"/>
        <v>-0.11644776584357165</v>
      </c>
      <c r="S359" s="277"/>
      <c r="T359" s="277"/>
    </row>
    <row r="360" spans="2:20" x14ac:dyDescent="0.3">
      <c r="B360" s="271">
        <v>43915</v>
      </c>
      <c r="C360" s="273">
        <v>3261.25</v>
      </c>
      <c r="D360" s="273">
        <v>64.2</v>
      </c>
      <c r="E360" s="273">
        <v>1593.15</v>
      </c>
      <c r="F360" s="274">
        <v>29.6</v>
      </c>
      <c r="H360" s="271">
        <v>43915</v>
      </c>
      <c r="I360" s="277">
        <f t="shared" si="43"/>
        <v>2.4245850410640479E-2</v>
      </c>
      <c r="J360" s="277">
        <f t="shared" si="44"/>
        <v>2.2292993630573341E-2</v>
      </c>
      <c r="K360" s="277">
        <f t="shared" si="45"/>
        <v>4.479129094665061E-2</v>
      </c>
      <c r="L360" s="278">
        <f t="shared" si="46"/>
        <v>-0.15428571428571425</v>
      </c>
      <c r="N360" s="271">
        <v>43915</v>
      </c>
      <c r="O360" s="277">
        <f t="shared" si="47"/>
        <v>2.1019947679340418E-2</v>
      </c>
      <c r="P360" s="277">
        <f t="shared" si="48"/>
        <v>2.3311326873178578E-2</v>
      </c>
      <c r="Q360" s="277">
        <f t="shared" si="49"/>
        <v>4.350400788362152E-2</v>
      </c>
      <c r="R360" s="278">
        <f t="shared" si="50"/>
        <v>-0.15123662478337394</v>
      </c>
      <c r="S360" s="277"/>
      <c r="T360" s="277"/>
    </row>
    <row r="361" spans="2:20" x14ac:dyDescent="0.3">
      <c r="B361" s="271">
        <v>43916</v>
      </c>
      <c r="C361" s="273">
        <v>3331.85</v>
      </c>
      <c r="D361" s="273">
        <v>65.8</v>
      </c>
      <c r="E361" s="273">
        <v>1616.95</v>
      </c>
      <c r="F361" s="274">
        <v>26.6</v>
      </c>
      <c r="H361" s="271">
        <v>43916</v>
      </c>
      <c r="I361" s="277">
        <f t="shared" si="43"/>
        <v>2.1648141050210779E-2</v>
      </c>
      <c r="J361" s="277">
        <f t="shared" si="44"/>
        <v>2.4922118380062214E-2</v>
      </c>
      <c r="K361" s="277">
        <f t="shared" si="45"/>
        <v>1.4938957411417602E-2</v>
      </c>
      <c r="L361" s="278">
        <f t="shared" si="46"/>
        <v>-0.10135135135135134</v>
      </c>
      <c r="N361" s="271">
        <v>43916</v>
      </c>
      <c r="O361" s="277">
        <f t="shared" si="47"/>
        <v>1.8422238318910718E-2</v>
      </c>
      <c r="P361" s="277">
        <f t="shared" si="48"/>
        <v>2.5940451622667452E-2</v>
      </c>
      <c r="Q361" s="277">
        <f t="shared" si="49"/>
        <v>1.3651674348388513E-2</v>
      </c>
      <c r="R361" s="278">
        <f t="shared" si="50"/>
        <v>-9.8302261849011044E-2</v>
      </c>
      <c r="S361" s="277"/>
      <c r="T361" s="277"/>
    </row>
    <row r="362" spans="2:20" x14ac:dyDescent="0.3">
      <c r="B362" s="271">
        <v>43917</v>
      </c>
      <c r="C362" s="273">
        <v>3391.35</v>
      </c>
      <c r="D362" s="273">
        <v>63.75</v>
      </c>
      <c r="E362" s="273">
        <v>1604.15</v>
      </c>
      <c r="F362" s="274">
        <v>26.35</v>
      </c>
      <c r="H362" s="271">
        <v>43917</v>
      </c>
      <c r="I362" s="277">
        <f t="shared" si="43"/>
        <v>1.7857946786319912E-2</v>
      </c>
      <c r="J362" s="277">
        <f t="shared" si="44"/>
        <v>-3.1155015197568348E-2</v>
      </c>
      <c r="K362" s="277">
        <f t="shared" si="45"/>
        <v>-7.9161384087324625E-3</v>
      </c>
      <c r="L362" s="278">
        <f t="shared" si="46"/>
        <v>-9.3984962406015032E-3</v>
      </c>
      <c r="N362" s="271">
        <v>43917</v>
      </c>
      <c r="O362" s="277">
        <f t="shared" si="47"/>
        <v>1.463204405501985E-2</v>
      </c>
      <c r="P362" s="277">
        <f t="shared" si="48"/>
        <v>-3.0136681954963111E-2</v>
      </c>
      <c r="Q362" s="277">
        <f t="shared" si="49"/>
        <v>-9.2034214717615515E-3</v>
      </c>
      <c r="R362" s="278">
        <f t="shared" si="50"/>
        <v>-6.3494067382612023E-3</v>
      </c>
      <c r="S362" s="277"/>
      <c r="T362" s="277"/>
    </row>
    <row r="363" spans="2:20" x14ac:dyDescent="0.3">
      <c r="B363" s="271">
        <v>43920</v>
      </c>
      <c r="C363" s="273">
        <v>3188</v>
      </c>
      <c r="D363" s="273">
        <v>61.55</v>
      </c>
      <c r="E363" s="273">
        <v>1594.95</v>
      </c>
      <c r="F363" s="274">
        <v>24.9</v>
      </c>
      <c r="H363" s="271">
        <v>43920</v>
      </c>
      <c r="I363" s="277">
        <f t="shared" si="43"/>
        <v>-5.9961372314859838E-2</v>
      </c>
      <c r="J363" s="277">
        <f t="shared" si="44"/>
        <v>-3.4509803921568674E-2</v>
      </c>
      <c r="K363" s="277">
        <f t="shared" si="45"/>
        <v>-5.7351245207742695E-3</v>
      </c>
      <c r="L363" s="278">
        <f t="shared" si="46"/>
        <v>-5.5028462998102573E-2</v>
      </c>
      <c r="N363" s="271">
        <v>43920</v>
      </c>
      <c r="O363" s="277">
        <f t="shared" si="47"/>
        <v>-6.3187275046159896E-2</v>
      </c>
      <c r="P363" s="277">
        <f t="shared" si="48"/>
        <v>-3.3491470678963436E-2</v>
      </c>
      <c r="Q363" s="277">
        <f t="shared" si="49"/>
        <v>-7.0224075838033577E-3</v>
      </c>
      <c r="R363" s="278">
        <f t="shared" si="50"/>
        <v>-5.1979373495762274E-2</v>
      </c>
      <c r="S363" s="277"/>
      <c r="T363" s="277"/>
    </row>
    <row r="364" spans="2:20" x14ac:dyDescent="0.3">
      <c r="B364" s="271">
        <v>43921</v>
      </c>
      <c r="C364" s="273">
        <v>3579.85</v>
      </c>
      <c r="D364" s="273">
        <v>64.7</v>
      </c>
      <c r="E364" s="273">
        <v>1666.5</v>
      </c>
      <c r="F364" s="274">
        <v>22.45</v>
      </c>
      <c r="H364" s="271">
        <v>43921</v>
      </c>
      <c r="I364" s="277">
        <f t="shared" si="43"/>
        <v>0.12291405269761603</v>
      </c>
      <c r="J364" s="277">
        <f t="shared" si="44"/>
        <v>5.1177904142973289E-2</v>
      </c>
      <c r="K364" s="277">
        <f t="shared" si="45"/>
        <v>4.4860340449543845E-2</v>
      </c>
      <c r="L364" s="278">
        <f t="shared" si="46"/>
        <v>-9.8393574297188729E-2</v>
      </c>
      <c r="N364" s="271">
        <v>43921</v>
      </c>
      <c r="O364" s="277">
        <f t="shared" si="47"/>
        <v>0.11968814996631597</v>
      </c>
      <c r="P364" s="277">
        <f t="shared" si="48"/>
        <v>5.2196237385578527E-2</v>
      </c>
      <c r="Q364" s="277">
        <f t="shared" si="49"/>
        <v>4.3573057386514756E-2</v>
      </c>
      <c r="R364" s="278">
        <f t="shared" si="50"/>
        <v>-9.534448479484843E-2</v>
      </c>
      <c r="S364" s="277"/>
      <c r="T364" s="277"/>
    </row>
    <row r="365" spans="2:20" x14ac:dyDescent="0.3">
      <c r="B365" s="271">
        <v>43922</v>
      </c>
      <c r="C365" s="273">
        <v>3572.95</v>
      </c>
      <c r="D365" s="273">
        <v>62.65</v>
      </c>
      <c r="E365" s="273">
        <v>1603.2</v>
      </c>
      <c r="F365" s="274">
        <v>23.95</v>
      </c>
      <c r="H365" s="271">
        <v>43922</v>
      </c>
      <c r="I365" s="277">
        <f t="shared" si="43"/>
        <v>-1.927455060966267E-3</v>
      </c>
      <c r="J365" s="277">
        <f t="shared" si="44"/>
        <v>-3.1684698608964515E-2</v>
      </c>
      <c r="K365" s="277">
        <f t="shared" si="45"/>
        <v>-3.7983798379837959E-2</v>
      </c>
      <c r="L365" s="278">
        <f t="shared" si="46"/>
        <v>6.6815144766147E-2</v>
      </c>
      <c r="N365" s="271">
        <v>43922</v>
      </c>
      <c r="O365" s="277">
        <f t="shared" si="47"/>
        <v>-5.153357792266328E-3</v>
      </c>
      <c r="P365" s="277">
        <f t="shared" si="48"/>
        <v>-3.0666365366359277E-2</v>
      </c>
      <c r="Q365" s="277">
        <f t="shared" si="49"/>
        <v>-3.9271081442867048E-2</v>
      </c>
      <c r="R365" s="278">
        <f t="shared" si="50"/>
        <v>6.9864234268487299E-2</v>
      </c>
      <c r="S365" s="277"/>
      <c r="T365" s="277"/>
    </row>
    <row r="366" spans="2:20" x14ac:dyDescent="0.3">
      <c r="B366" s="271">
        <v>43924</v>
      </c>
      <c r="C366" s="273">
        <v>3429.35</v>
      </c>
      <c r="D366" s="273">
        <v>62.8</v>
      </c>
      <c r="E366" s="273">
        <v>1520.9</v>
      </c>
      <c r="F366" s="274">
        <v>24.1</v>
      </c>
      <c r="H366" s="271">
        <v>43924</v>
      </c>
      <c r="I366" s="277">
        <f t="shared" si="43"/>
        <v>-4.019087868567988E-2</v>
      </c>
      <c r="J366" s="277">
        <f t="shared" si="44"/>
        <v>2.3942537909018131E-3</v>
      </c>
      <c r="K366" s="277">
        <f t="shared" si="45"/>
        <v>-5.1334830339321326E-2</v>
      </c>
      <c r="L366" s="278">
        <f t="shared" si="46"/>
        <v>6.263048016701551E-3</v>
      </c>
      <c r="N366" s="271">
        <v>43924</v>
      </c>
      <c r="O366" s="277">
        <f t="shared" si="47"/>
        <v>-4.3416781416979938E-2</v>
      </c>
      <c r="P366" s="277">
        <f t="shared" si="48"/>
        <v>3.4125870335070512E-3</v>
      </c>
      <c r="Q366" s="277">
        <f t="shared" si="49"/>
        <v>-5.2622113402350415E-2</v>
      </c>
      <c r="R366" s="278">
        <f t="shared" si="50"/>
        <v>9.3121375190418527E-3</v>
      </c>
      <c r="S366" s="277"/>
      <c r="T366" s="277"/>
    </row>
    <row r="367" spans="2:20" x14ac:dyDescent="0.3">
      <c r="B367" s="271">
        <v>43928</v>
      </c>
      <c r="C367" s="273">
        <v>3754.9</v>
      </c>
      <c r="D367" s="273">
        <v>66.75</v>
      </c>
      <c r="E367" s="273">
        <v>1623.8</v>
      </c>
      <c r="F367" s="274">
        <v>24.55</v>
      </c>
      <c r="H367" s="271">
        <v>43928</v>
      </c>
      <c r="I367" s="277">
        <f t="shared" si="43"/>
        <v>9.4930526193010387E-2</v>
      </c>
      <c r="J367" s="277">
        <f t="shared" si="44"/>
        <v>6.2898089171974564E-2</v>
      </c>
      <c r="K367" s="277">
        <f t="shared" si="45"/>
        <v>6.7657308172792335E-2</v>
      </c>
      <c r="L367" s="278">
        <f t="shared" si="46"/>
        <v>1.867219917012445E-2</v>
      </c>
      <c r="N367" s="271">
        <v>43928</v>
      </c>
      <c r="O367" s="277">
        <f t="shared" si="47"/>
        <v>9.1704623461710322E-2</v>
      </c>
      <c r="P367" s="277">
        <f t="shared" si="48"/>
        <v>6.3916422414579802E-2</v>
      </c>
      <c r="Q367" s="277">
        <f t="shared" si="49"/>
        <v>6.6370025109763253E-2</v>
      </c>
      <c r="R367" s="278">
        <f t="shared" si="50"/>
        <v>2.1721288672464752E-2</v>
      </c>
      <c r="S367" s="277"/>
      <c r="T367" s="277"/>
    </row>
    <row r="368" spans="2:20" x14ac:dyDescent="0.3">
      <c r="B368" s="271">
        <v>43929</v>
      </c>
      <c r="C368" s="273">
        <v>3769.25</v>
      </c>
      <c r="D368" s="273">
        <v>70.3</v>
      </c>
      <c r="E368" s="273">
        <v>1608.95</v>
      </c>
      <c r="F368" s="274">
        <v>24.75</v>
      </c>
      <c r="H368" s="271">
        <v>43929</v>
      </c>
      <c r="I368" s="277">
        <f t="shared" si="43"/>
        <v>3.8216730139284424E-3</v>
      </c>
      <c r="J368" s="277">
        <f t="shared" si="44"/>
        <v>5.3183520599250897E-2</v>
      </c>
      <c r="K368" s="277">
        <f t="shared" si="45"/>
        <v>-9.1452149279467355E-3</v>
      </c>
      <c r="L368" s="278">
        <f t="shared" si="46"/>
        <v>8.1466395112016008E-3</v>
      </c>
      <c r="N368" s="271">
        <v>43929</v>
      </c>
      <c r="O368" s="277">
        <f t="shared" si="47"/>
        <v>5.9577028262838101E-4</v>
      </c>
      <c r="P368" s="277">
        <f t="shared" si="48"/>
        <v>5.4201853841856135E-2</v>
      </c>
      <c r="Q368" s="277">
        <f t="shared" si="49"/>
        <v>-1.0432497990975825E-2</v>
      </c>
      <c r="R368" s="278">
        <f t="shared" si="50"/>
        <v>1.1195729013541902E-2</v>
      </c>
      <c r="S368" s="277"/>
      <c r="T368" s="277"/>
    </row>
    <row r="369" spans="2:20" x14ac:dyDescent="0.3">
      <c r="B369" s="271">
        <v>43930</v>
      </c>
      <c r="C369" s="273">
        <v>3836.55</v>
      </c>
      <c r="D369" s="273">
        <v>76.8</v>
      </c>
      <c r="E369" s="273">
        <v>1651.35</v>
      </c>
      <c r="F369" s="274">
        <v>24.9</v>
      </c>
      <c r="H369" s="271">
        <v>43930</v>
      </c>
      <c r="I369" s="277">
        <f t="shared" si="43"/>
        <v>1.7855010943821765E-2</v>
      </c>
      <c r="J369" s="277">
        <f t="shared" si="44"/>
        <v>9.2460881934566155E-2</v>
      </c>
      <c r="K369" s="277">
        <f t="shared" si="45"/>
        <v>2.6352590198576626E-2</v>
      </c>
      <c r="L369" s="278">
        <f t="shared" si="46"/>
        <v>6.0606060606060034E-3</v>
      </c>
      <c r="N369" s="271">
        <v>43930</v>
      </c>
      <c r="O369" s="277">
        <f t="shared" si="47"/>
        <v>1.4629108212521703E-2</v>
      </c>
      <c r="P369" s="277">
        <f t="shared" si="48"/>
        <v>9.3479215177171393E-2</v>
      </c>
      <c r="Q369" s="277">
        <f t="shared" si="49"/>
        <v>2.5065307135547537E-2</v>
      </c>
      <c r="R369" s="278">
        <f t="shared" si="50"/>
        <v>9.1096955629463051E-3</v>
      </c>
      <c r="S369" s="277"/>
      <c r="T369" s="277"/>
    </row>
    <row r="370" spans="2:20" x14ac:dyDescent="0.3">
      <c r="B370" s="271">
        <v>43934</v>
      </c>
      <c r="C370" s="273">
        <v>3687.75</v>
      </c>
      <c r="D370" s="273">
        <v>78.3</v>
      </c>
      <c r="E370" s="273">
        <v>1680.85</v>
      </c>
      <c r="F370" s="274">
        <v>24.1</v>
      </c>
      <c r="H370" s="271">
        <v>43934</v>
      </c>
      <c r="I370" s="277">
        <f t="shared" si="43"/>
        <v>-3.8784845759862421E-2</v>
      </c>
      <c r="J370" s="277">
        <f t="shared" si="44"/>
        <v>1.953125E-2</v>
      </c>
      <c r="K370" s="277">
        <f t="shared" si="45"/>
        <v>1.7864171738274745E-2</v>
      </c>
      <c r="L370" s="278">
        <f t="shared" si="46"/>
        <v>-3.2128514056224786E-2</v>
      </c>
      <c r="N370" s="271">
        <v>43934</v>
      </c>
      <c r="O370" s="277">
        <f t="shared" si="47"/>
        <v>-4.2010748491162486E-2</v>
      </c>
      <c r="P370" s="277">
        <f t="shared" si="48"/>
        <v>2.0549583242605238E-2</v>
      </c>
      <c r="Q370" s="277">
        <f t="shared" si="49"/>
        <v>1.6576888675245656E-2</v>
      </c>
      <c r="R370" s="278">
        <f t="shared" si="50"/>
        <v>-2.9079424553884483E-2</v>
      </c>
      <c r="S370" s="277"/>
      <c r="T370" s="277"/>
    </row>
    <row r="371" spans="2:20" x14ac:dyDescent="0.3">
      <c r="B371" s="271">
        <v>43936</v>
      </c>
      <c r="C371" s="273">
        <v>3699.3</v>
      </c>
      <c r="D371" s="273">
        <v>78.599999999999994</v>
      </c>
      <c r="E371" s="273">
        <v>1718.2</v>
      </c>
      <c r="F371" s="274">
        <v>24.5</v>
      </c>
      <c r="H371" s="271">
        <v>43936</v>
      </c>
      <c r="I371" s="277">
        <f t="shared" si="43"/>
        <v>3.1319910514541879E-3</v>
      </c>
      <c r="J371" s="277">
        <f t="shared" si="44"/>
        <v>3.8314176245210366E-3</v>
      </c>
      <c r="K371" s="277">
        <f t="shared" si="45"/>
        <v>2.2220900139810297E-2</v>
      </c>
      <c r="L371" s="278">
        <f t="shared" si="46"/>
        <v>1.6597510373443924E-2</v>
      </c>
      <c r="N371" s="271">
        <v>43936</v>
      </c>
      <c r="O371" s="277">
        <f t="shared" si="47"/>
        <v>-9.3911679845873515E-5</v>
      </c>
      <c r="P371" s="277">
        <f t="shared" si="48"/>
        <v>4.8497508671262743E-3</v>
      </c>
      <c r="Q371" s="277">
        <f t="shared" si="49"/>
        <v>2.0933617076781208E-2</v>
      </c>
      <c r="R371" s="278">
        <f t="shared" si="50"/>
        <v>1.9646599875784227E-2</v>
      </c>
      <c r="S371" s="277"/>
      <c r="T371" s="277"/>
    </row>
    <row r="372" spans="2:20" x14ac:dyDescent="0.3">
      <c r="B372" s="271">
        <v>43937</v>
      </c>
      <c r="C372" s="273">
        <v>3910.45</v>
      </c>
      <c r="D372" s="273">
        <v>82.7</v>
      </c>
      <c r="E372" s="273">
        <v>1743.1</v>
      </c>
      <c r="F372" s="274">
        <v>24.6</v>
      </c>
      <c r="H372" s="271">
        <v>43937</v>
      </c>
      <c r="I372" s="277">
        <f t="shared" si="43"/>
        <v>5.7078366177384807E-2</v>
      </c>
      <c r="J372" s="277">
        <f t="shared" si="44"/>
        <v>5.2162849872773649E-2</v>
      </c>
      <c r="K372" s="277">
        <f t="shared" si="45"/>
        <v>1.4491910138516972E-2</v>
      </c>
      <c r="L372" s="278">
        <f t="shared" si="46"/>
        <v>4.0816326530612821E-3</v>
      </c>
      <c r="N372" s="271">
        <v>43937</v>
      </c>
      <c r="O372" s="277">
        <f t="shared" si="47"/>
        <v>5.3852463446084742E-2</v>
      </c>
      <c r="P372" s="277">
        <f t="shared" si="48"/>
        <v>5.3181183115378887E-2</v>
      </c>
      <c r="Q372" s="277">
        <f t="shared" si="49"/>
        <v>1.3204627075487883E-2</v>
      </c>
      <c r="R372" s="278">
        <f t="shared" si="50"/>
        <v>7.130722155401583E-3</v>
      </c>
      <c r="S372" s="277"/>
      <c r="T372" s="277"/>
    </row>
    <row r="373" spans="2:20" x14ac:dyDescent="0.3">
      <c r="B373" s="271">
        <v>43938</v>
      </c>
      <c r="C373" s="273">
        <v>3896.8</v>
      </c>
      <c r="D373" s="273">
        <v>84.1</v>
      </c>
      <c r="E373" s="273">
        <v>1756.25</v>
      </c>
      <c r="F373" s="274">
        <v>25.1</v>
      </c>
      <c r="H373" s="271">
        <v>43938</v>
      </c>
      <c r="I373" s="277">
        <f t="shared" si="43"/>
        <v>-3.4906468564997986E-3</v>
      </c>
      <c r="J373" s="277">
        <f t="shared" si="44"/>
        <v>1.6928657799274383E-2</v>
      </c>
      <c r="K373" s="277">
        <f t="shared" si="45"/>
        <v>7.5440307498136029E-3</v>
      </c>
      <c r="L373" s="278">
        <f t="shared" si="46"/>
        <v>2.032520325203252E-2</v>
      </c>
      <c r="N373" s="271">
        <v>43938</v>
      </c>
      <c r="O373" s="277">
        <f t="shared" si="47"/>
        <v>-6.7165495877998596E-3</v>
      </c>
      <c r="P373" s="277">
        <f t="shared" si="48"/>
        <v>1.794699104187962E-2</v>
      </c>
      <c r="Q373" s="277">
        <f t="shared" si="49"/>
        <v>6.2567476867845147E-3</v>
      </c>
      <c r="R373" s="278">
        <f t="shared" si="50"/>
        <v>2.3374292754372823E-2</v>
      </c>
      <c r="S373" s="277"/>
      <c r="T373" s="277"/>
    </row>
    <row r="374" spans="2:20" x14ac:dyDescent="0.3">
      <c r="B374" s="271">
        <v>43941</v>
      </c>
      <c r="C374" s="273">
        <v>3966.1</v>
      </c>
      <c r="D374" s="273">
        <v>81.45</v>
      </c>
      <c r="E374" s="273">
        <v>1730.45</v>
      </c>
      <c r="F374" s="274">
        <v>29.45</v>
      </c>
      <c r="H374" s="271">
        <v>43941</v>
      </c>
      <c r="I374" s="277">
        <f t="shared" si="43"/>
        <v>1.7783822623691162E-2</v>
      </c>
      <c r="J374" s="277">
        <f t="shared" si="44"/>
        <v>-3.1510107015457686E-2</v>
      </c>
      <c r="K374" s="277">
        <f t="shared" si="45"/>
        <v>-1.4690391459074708E-2</v>
      </c>
      <c r="L374" s="278">
        <f t="shared" si="46"/>
        <v>0.17330677290836644</v>
      </c>
      <c r="N374" s="271">
        <v>43941</v>
      </c>
      <c r="O374" s="277">
        <f t="shared" si="47"/>
        <v>1.4557919892391101E-2</v>
      </c>
      <c r="P374" s="277">
        <f t="shared" si="48"/>
        <v>-3.0491773772852448E-2</v>
      </c>
      <c r="Q374" s="277">
        <f t="shared" si="49"/>
        <v>-1.5977674522103795E-2</v>
      </c>
      <c r="R374" s="278">
        <f t="shared" si="50"/>
        <v>0.17635586241070675</v>
      </c>
      <c r="S374" s="277"/>
      <c r="T374" s="277"/>
    </row>
    <row r="375" spans="2:20" x14ac:dyDescent="0.3">
      <c r="B375" s="271">
        <v>43942</v>
      </c>
      <c r="C375" s="273">
        <v>4109.6499999999996</v>
      </c>
      <c r="D375" s="273">
        <v>78.45</v>
      </c>
      <c r="E375" s="273">
        <v>1726</v>
      </c>
      <c r="F375" s="274">
        <v>29.65</v>
      </c>
      <c r="H375" s="271">
        <v>43942</v>
      </c>
      <c r="I375" s="277">
        <f t="shared" si="43"/>
        <v>3.6194246236857297E-2</v>
      </c>
      <c r="J375" s="277">
        <f t="shared" si="44"/>
        <v>-3.6832412523020254E-2</v>
      </c>
      <c r="K375" s="277">
        <f t="shared" si="45"/>
        <v>-2.5715854257563325E-3</v>
      </c>
      <c r="L375" s="278">
        <f t="shared" si="46"/>
        <v>6.7911714770797719E-3</v>
      </c>
      <c r="N375" s="271">
        <v>43942</v>
      </c>
      <c r="O375" s="277">
        <f t="shared" si="47"/>
        <v>3.2968343505557232E-2</v>
      </c>
      <c r="P375" s="277">
        <f t="shared" si="48"/>
        <v>-3.5814079280415016E-2</v>
      </c>
      <c r="Q375" s="277">
        <f t="shared" si="49"/>
        <v>-3.8588684887854211E-3</v>
      </c>
      <c r="R375" s="278">
        <f t="shared" si="50"/>
        <v>9.8402609794200728E-3</v>
      </c>
      <c r="S375" s="277"/>
      <c r="T375" s="277"/>
    </row>
    <row r="376" spans="2:20" x14ac:dyDescent="0.3">
      <c r="B376" s="271">
        <v>43943</v>
      </c>
      <c r="C376" s="273">
        <v>4193.25</v>
      </c>
      <c r="D376" s="273">
        <v>76.099999999999994</v>
      </c>
      <c r="E376" s="273">
        <v>1813</v>
      </c>
      <c r="F376" s="274">
        <v>29.6</v>
      </c>
      <c r="H376" s="271">
        <v>43943</v>
      </c>
      <c r="I376" s="277">
        <f t="shared" si="43"/>
        <v>2.0342364921587086E-2</v>
      </c>
      <c r="J376" s="277">
        <f t="shared" si="44"/>
        <v>-2.9955385595921077E-2</v>
      </c>
      <c r="K376" s="277">
        <f t="shared" si="45"/>
        <v>5.0405561993047507E-2</v>
      </c>
      <c r="L376" s="278">
        <f t="shared" si="46"/>
        <v>-1.6863406408093478E-3</v>
      </c>
      <c r="N376" s="271">
        <v>43943</v>
      </c>
      <c r="O376" s="277">
        <f t="shared" si="47"/>
        <v>1.7116462190287025E-2</v>
      </c>
      <c r="P376" s="277">
        <f t="shared" si="48"/>
        <v>-2.893705235331584E-2</v>
      </c>
      <c r="Q376" s="277">
        <f t="shared" si="49"/>
        <v>4.9118278930018418E-2</v>
      </c>
      <c r="R376" s="278">
        <f t="shared" si="50"/>
        <v>1.3627488615309536E-3</v>
      </c>
      <c r="S376" s="277"/>
      <c r="T376" s="277"/>
    </row>
    <row r="377" spans="2:20" x14ac:dyDescent="0.3">
      <c r="B377" s="271">
        <v>43944</v>
      </c>
      <c r="C377" s="273">
        <v>4170.3500000000004</v>
      </c>
      <c r="D377" s="273">
        <v>77.599999999999994</v>
      </c>
      <c r="E377" s="273">
        <v>1821.65</v>
      </c>
      <c r="F377" s="274">
        <v>28.3</v>
      </c>
      <c r="H377" s="271">
        <v>43944</v>
      </c>
      <c r="I377" s="277">
        <f t="shared" si="43"/>
        <v>-5.4611578131520027E-3</v>
      </c>
      <c r="J377" s="277">
        <f t="shared" si="44"/>
        <v>1.9710906701708279E-2</v>
      </c>
      <c r="K377" s="277">
        <f t="shared" si="45"/>
        <v>4.7710976282405353E-3</v>
      </c>
      <c r="L377" s="278">
        <f t="shared" si="46"/>
        <v>-4.3918918918918942E-2</v>
      </c>
      <c r="N377" s="271">
        <v>43944</v>
      </c>
      <c r="O377" s="277">
        <f t="shared" si="47"/>
        <v>-8.6870605444520632E-3</v>
      </c>
      <c r="P377" s="277">
        <f t="shared" si="48"/>
        <v>2.0729239944313516E-2</v>
      </c>
      <c r="Q377" s="277">
        <f t="shared" si="49"/>
        <v>3.4838145652114467E-3</v>
      </c>
      <c r="R377" s="278">
        <f t="shared" si="50"/>
        <v>-4.0869829416578643E-2</v>
      </c>
      <c r="S377" s="277"/>
      <c r="T377" s="277"/>
    </row>
    <row r="378" spans="2:20" x14ac:dyDescent="0.3">
      <c r="B378" s="271">
        <v>43945</v>
      </c>
      <c r="C378" s="273">
        <v>4202.3999999999996</v>
      </c>
      <c r="D378" s="273">
        <v>77.95</v>
      </c>
      <c r="E378" s="273">
        <v>1827.55</v>
      </c>
      <c r="F378" s="274">
        <v>26.6</v>
      </c>
      <c r="H378" s="271">
        <v>43945</v>
      </c>
      <c r="I378" s="277">
        <f t="shared" si="43"/>
        <v>7.6852062776503818E-3</v>
      </c>
      <c r="J378" s="277">
        <f t="shared" si="44"/>
        <v>4.5103092783506261E-3</v>
      </c>
      <c r="K378" s="277">
        <f t="shared" si="45"/>
        <v>3.2388219471357633E-3</v>
      </c>
      <c r="L378" s="278">
        <f t="shared" si="46"/>
        <v>-6.0070671378091849E-2</v>
      </c>
      <c r="N378" s="271">
        <v>43945</v>
      </c>
      <c r="O378" s="277">
        <f t="shared" si="47"/>
        <v>4.4593035463503204E-3</v>
      </c>
      <c r="P378" s="277">
        <f t="shared" si="48"/>
        <v>5.5286425209558638E-3</v>
      </c>
      <c r="Q378" s="277">
        <f t="shared" si="49"/>
        <v>1.9515388841066746E-3</v>
      </c>
      <c r="R378" s="278">
        <f t="shared" si="50"/>
        <v>-5.7021581875751549E-2</v>
      </c>
      <c r="S378" s="277"/>
      <c r="T378" s="277"/>
    </row>
    <row r="379" spans="2:20" x14ac:dyDescent="0.3">
      <c r="B379" s="271">
        <v>43948</v>
      </c>
      <c r="C379" s="273">
        <v>4200.6499999999996</v>
      </c>
      <c r="D379" s="273">
        <v>78.45</v>
      </c>
      <c r="E379" s="273">
        <v>1851.35</v>
      </c>
      <c r="F379" s="274">
        <v>27.05</v>
      </c>
      <c r="H379" s="271">
        <v>43948</v>
      </c>
      <c r="I379" s="277">
        <f t="shared" si="43"/>
        <v>-4.1642870740529227E-4</v>
      </c>
      <c r="J379" s="277">
        <f t="shared" si="44"/>
        <v>6.4143681847338031E-3</v>
      </c>
      <c r="K379" s="277">
        <f t="shared" si="45"/>
        <v>1.3022899510273292E-2</v>
      </c>
      <c r="L379" s="278">
        <f t="shared" si="46"/>
        <v>1.6917293233082678E-2</v>
      </c>
      <c r="N379" s="271">
        <v>43948</v>
      </c>
      <c r="O379" s="277">
        <f t="shared" si="47"/>
        <v>-3.6423314387053537E-3</v>
      </c>
      <c r="P379" s="277">
        <f t="shared" si="48"/>
        <v>7.4327014273390408E-3</v>
      </c>
      <c r="Q379" s="277">
        <f t="shared" si="49"/>
        <v>1.1735616447244203E-2</v>
      </c>
      <c r="R379" s="278">
        <f t="shared" si="50"/>
        <v>1.9966382735422981E-2</v>
      </c>
      <c r="S379" s="277"/>
      <c r="T379" s="277"/>
    </row>
    <row r="380" spans="2:20" x14ac:dyDescent="0.3">
      <c r="B380" s="271">
        <v>43949</v>
      </c>
      <c r="C380" s="273">
        <v>4318.3500000000004</v>
      </c>
      <c r="D380" s="273">
        <v>76.849999999999994</v>
      </c>
      <c r="E380" s="273">
        <v>1824.4</v>
      </c>
      <c r="F380" s="274">
        <v>27.25</v>
      </c>
      <c r="H380" s="271">
        <v>43949</v>
      </c>
      <c r="I380" s="277">
        <f t="shared" si="43"/>
        <v>2.8019473176770438E-2</v>
      </c>
      <c r="J380" s="277">
        <f t="shared" si="44"/>
        <v>-2.0395156150414383E-2</v>
      </c>
      <c r="K380" s="277">
        <f t="shared" si="45"/>
        <v>-1.4556944932076495E-2</v>
      </c>
      <c r="L380" s="278">
        <f t="shared" si="46"/>
        <v>7.3937153419593084E-3</v>
      </c>
      <c r="N380" s="271">
        <v>43949</v>
      </c>
      <c r="O380" s="277">
        <f t="shared" si="47"/>
        <v>2.4793570445470377E-2</v>
      </c>
      <c r="P380" s="277">
        <f t="shared" si="48"/>
        <v>-1.9376822907809146E-2</v>
      </c>
      <c r="Q380" s="277">
        <f t="shared" si="49"/>
        <v>-1.5844227995105584E-2</v>
      </c>
      <c r="R380" s="278">
        <f t="shared" si="50"/>
        <v>1.0442804844299609E-2</v>
      </c>
      <c r="S380" s="277"/>
      <c r="T380" s="277"/>
    </row>
    <row r="381" spans="2:20" x14ac:dyDescent="0.3">
      <c r="B381" s="271">
        <v>43950</v>
      </c>
      <c r="C381" s="273">
        <v>4187.6499999999996</v>
      </c>
      <c r="D381" s="273">
        <v>79.150000000000006</v>
      </c>
      <c r="E381" s="273">
        <v>1767.5</v>
      </c>
      <c r="F381" s="274">
        <v>28.05</v>
      </c>
      <c r="H381" s="271">
        <v>43950</v>
      </c>
      <c r="I381" s="277">
        <f t="shared" si="43"/>
        <v>-3.0266189632614474E-2</v>
      </c>
      <c r="J381" s="277">
        <f t="shared" si="44"/>
        <v>2.9928432010410039E-2</v>
      </c>
      <c r="K381" s="277">
        <f t="shared" si="45"/>
        <v>-3.1188335891251966E-2</v>
      </c>
      <c r="L381" s="278">
        <f t="shared" si="46"/>
        <v>2.9357798165137641E-2</v>
      </c>
      <c r="N381" s="271">
        <v>43950</v>
      </c>
      <c r="O381" s="277">
        <f t="shared" si="47"/>
        <v>-3.3492092363914538E-2</v>
      </c>
      <c r="P381" s="277">
        <f t="shared" si="48"/>
        <v>3.0946765253015276E-2</v>
      </c>
      <c r="Q381" s="277">
        <f t="shared" si="49"/>
        <v>-3.2475618954281055E-2</v>
      </c>
      <c r="R381" s="278">
        <f t="shared" si="50"/>
        <v>3.2406887667477943E-2</v>
      </c>
      <c r="S381" s="277"/>
      <c r="T381" s="277"/>
    </row>
    <row r="382" spans="2:20" x14ac:dyDescent="0.3">
      <c r="B382" s="271">
        <v>43951</v>
      </c>
      <c r="C382" s="273">
        <v>4571.3999999999996</v>
      </c>
      <c r="D382" s="273">
        <v>89.55</v>
      </c>
      <c r="E382" s="273">
        <v>1758.7</v>
      </c>
      <c r="F382" s="274">
        <v>27.9</v>
      </c>
      <c r="H382" s="271">
        <v>43951</v>
      </c>
      <c r="I382" s="277">
        <f t="shared" si="43"/>
        <v>9.1638508471338351E-2</v>
      </c>
      <c r="J382" s="277">
        <f t="shared" si="44"/>
        <v>0.13139608338597589</v>
      </c>
      <c r="K382" s="277">
        <f t="shared" si="45"/>
        <v>-4.9787835926449527E-3</v>
      </c>
      <c r="L382" s="278">
        <f t="shared" si="46"/>
        <v>-5.3475935828877766E-3</v>
      </c>
      <c r="N382" s="271">
        <v>43951</v>
      </c>
      <c r="O382" s="277">
        <f t="shared" si="47"/>
        <v>8.8412605740038286E-2</v>
      </c>
      <c r="P382" s="277">
        <f t="shared" si="48"/>
        <v>0.13241441662858114</v>
      </c>
      <c r="Q382" s="277">
        <f t="shared" si="49"/>
        <v>-6.2660666556740418E-3</v>
      </c>
      <c r="R382" s="278">
        <f t="shared" si="50"/>
        <v>-2.2985040805474752E-3</v>
      </c>
      <c r="S382" s="277"/>
      <c r="T382" s="277"/>
    </row>
    <row r="383" spans="2:20" x14ac:dyDescent="0.3">
      <c r="B383" s="271">
        <v>43955</v>
      </c>
      <c r="C383" s="273">
        <v>4586.75</v>
      </c>
      <c r="D383" s="273">
        <v>79.95</v>
      </c>
      <c r="E383" s="273">
        <v>1676.8</v>
      </c>
      <c r="F383" s="274">
        <v>27.05</v>
      </c>
      <c r="H383" s="271">
        <v>43955</v>
      </c>
      <c r="I383" s="277">
        <f t="shared" si="43"/>
        <v>3.3578334864593704E-3</v>
      </c>
      <c r="J383" s="277">
        <f t="shared" si="44"/>
        <v>-0.10720268006700162</v>
      </c>
      <c r="K383" s="277">
        <f t="shared" si="45"/>
        <v>-4.6568488087792168E-2</v>
      </c>
      <c r="L383" s="278">
        <f t="shared" si="46"/>
        <v>-3.0465949820788457E-2</v>
      </c>
      <c r="N383" s="271">
        <v>43955</v>
      </c>
      <c r="O383" s="277">
        <f t="shared" si="47"/>
        <v>1.3193075515930894E-4</v>
      </c>
      <c r="P383" s="277">
        <f t="shared" si="48"/>
        <v>-0.10618434682439638</v>
      </c>
      <c r="Q383" s="277">
        <f t="shared" si="49"/>
        <v>-4.7855771150821257E-2</v>
      </c>
      <c r="R383" s="278">
        <f t="shared" si="50"/>
        <v>-2.7416860318448154E-2</v>
      </c>
      <c r="S383" s="277"/>
      <c r="T383" s="277"/>
    </row>
    <row r="384" spans="2:20" x14ac:dyDescent="0.3">
      <c r="B384" s="271">
        <v>43956</v>
      </c>
      <c r="C384" s="273">
        <v>4513.6000000000004</v>
      </c>
      <c r="D384" s="273">
        <v>78.900000000000006</v>
      </c>
      <c r="E384" s="273">
        <v>1619.15</v>
      </c>
      <c r="F384" s="274">
        <v>26.6</v>
      </c>
      <c r="H384" s="271">
        <v>43956</v>
      </c>
      <c r="I384" s="277">
        <f t="shared" si="43"/>
        <v>-1.5948111407859518E-2</v>
      </c>
      <c r="J384" s="277">
        <f t="shared" si="44"/>
        <v>-1.3133208255159439E-2</v>
      </c>
      <c r="K384" s="277">
        <f t="shared" si="45"/>
        <v>-3.4380963740457932E-2</v>
      </c>
      <c r="L384" s="278">
        <f t="shared" si="46"/>
        <v>-1.6635859519408477E-2</v>
      </c>
      <c r="N384" s="271">
        <v>43956</v>
      </c>
      <c r="O384" s="277">
        <f t="shared" si="47"/>
        <v>-1.9174014139159579E-2</v>
      </c>
      <c r="P384" s="277">
        <f t="shared" si="48"/>
        <v>-1.2114875012554201E-2</v>
      </c>
      <c r="Q384" s="277">
        <f t="shared" si="49"/>
        <v>-3.5668246803487021E-2</v>
      </c>
      <c r="R384" s="278">
        <f t="shared" si="50"/>
        <v>-1.3586770017068176E-2</v>
      </c>
      <c r="S384" s="277"/>
      <c r="T384" s="277"/>
    </row>
    <row r="385" spans="2:20" x14ac:dyDescent="0.3">
      <c r="B385" s="271">
        <v>43957</v>
      </c>
      <c r="C385" s="273">
        <v>4416.8999999999996</v>
      </c>
      <c r="D385" s="273">
        <v>79.45</v>
      </c>
      <c r="E385" s="273">
        <v>1610.65</v>
      </c>
      <c r="F385" s="274">
        <v>26.3</v>
      </c>
      <c r="H385" s="271">
        <v>43957</v>
      </c>
      <c r="I385" s="277">
        <f t="shared" si="43"/>
        <v>-2.142414037575344E-2</v>
      </c>
      <c r="J385" s="277">
        <f t="shared" si="44"/>
        <v>6.970849176172334E-3</v>
      </c>
      <c r="K385" s="277">
        <f t="shared" si="45"/>
        <v>-5.2496680356977424E-3</v>
      </c>
      <c r="L385" s="278">
        <f t="shared" si="46"/>
        <v>-1.127819548872183E-2</v>
      </c>
      <c r="N385" s="271">
        <v>43957</v>
      </c>
      <c r="O385" s="277">
        <f t="shared" si="47"/>
        <v>-2.4650043107053501E-2</v>
      </c>
      <c r="P385" s="277">
        <f t="shared" si="48"/>
        <v>7.9891824187775726E-3</v>
      </c>
      <c r="Q385" s="277">
        <f t="shared" si="49"/>
        <v>-6.5369510987268314E-3</v>
      </c>
      <c r="R385" s="278">
        <f t="shared" si="50"/>
        <v>-8.229105986381529E-3</v>
      </c>
      <c r="S385" s="277"/>
      <c r="T385" s="277"/>
    </row>
    <row r="386" spans="2:20" x14ac:dyDescent="0.3">
      <c r="B386" s="271">
        <v>43958</v>
      </c>
      <c r="C386" s="273">
        <v>4352.45</v>
      </c>
      <c r="D386" s="273">
        <v>78.55</v>
      </c>
      <c r="E386" s="273">
        <v>1594.3</v>
      </c>
      <c r="F386" s="274">
        <v>28.1</v>
      </c>
      <c r="H386" s="271">
        <v>43958</v>
      </c>
      <c r="I386" s="277">
        <f t="shared" si="43"/>
        <v>-1.4591681948878133E-2</v>
      </c>
      <c r="J386" s="277">
        <f t="shared" si="44"/>
        <v>-1.1327879169288933E-2</v>
      </c>
      <c r="K386" s="277">
        <f t="shared" si="45"/>
        <v>-1.0151181200136675E-2</v>
      </c>
      <c r="L386" s="278">
        <f t="shared" si="46"/>
        <v>6.84410646387833E-2</v>
      </c>
      <c r="N386" s="271">
        <v>43958</v>
      </c>
      <c r="O386" s="277">
        <f t="shared" si="47"/>
        <v>-1.7817584680178196E-2</v>
      </c>
      <c r="P386" s="277">
        <f t="shared" si="48"/>
        <v>-1.0309545926683695E-2</v>
      </c>
      <c r="Q386" s="277">
        <f t="shared" si="49"/>
        <v>-1.1438464263165764E-2</v>
      </c>
      <c r="R386" s="278">
        <f t="shared" si="50"/>
        <v>7.1490154141123599E-2</v>
      </c>
      <c r="S386" s="277"/>
      <c r="T386" s="277"/>
    </row>
    <row r="387" spans="2:20" x14ac:dyDescent="0.3">
      <c r="B387" s="271">
        <v>43959</v>
      </c>
      <c r="C387" s="273">
        <v>4255.8</v>
      </c>
      <c r="D387" s="273">
        <v>77.400000000000006</v>
      </c>
      <c r="E387" s="273">
        <v>1578.4</v>
      </c>
      <c r="F387" s="274">
        <v>27.05</v>
      </c>
      <c r="H387" s="271">
        <v>43959</v>
      </c>
      <c r="I387" s="277">
        <f t="shared" si="43"/>
        <v>-2.2205884042320909E-2</v>
      </c>
      <c r="J387" s="277">
        <f t="shared" si="44"/>
        <v>-1.4640356460852853E-2</v>
      </c>
      <c r="K387" s="277">
        <f t="shared" si="45"/>
        <v>-9.9730289155114237E-3</v>
      </c>
      <c r="L387" s="278">
        <f t="shared" si="46"/>
        <v>-3.7366548042704652E-2</v>
      </c>
      <c r="N387" s="271">
        <v>43959</v>
      </c>
      <c r="O387" s="277">
        <f t="shared" si="47"/>
        <v>-2.5431786773620971E-2</v>
      </c>
      <c r="P387" s="277">
        <f t="shared" si="48"/>
        <v>-1.3622023218247615E-2</v>
      </c>
      <c r="Q387" s="277">
        <f t="shared" si="49"/>
        <v>-1.1260311978540513E-2</v>
      </c>
      <c r="R387" s="278">
        <f t="shared" si="50"/>
        <v>-3.4317458540364353E-2</v>
      </c>
      <c r="S387" s="277"/>
      <c r="T387" s="277"/>
    </row>
    <row r="388" spans="2:20" x14ac:dyDescent="0.3">
      <c r="B388" s="271">
        <v>43962</v>
      </c>
      <c r="C388" s="273">
        <v>4235.2</v>
      </c>
      <c r="D388" s="273">
        <v>79.599999999999994</v>
      </c>
      <c r="E388" s="273">
        <v>1569.6</v>
      </c>
      <c r="F388" s="274">
        <v>27.8</v>
      </c>
      <c r="H388" s="271">
        <v>43962</v>
      </c>
      <c r="I388" s="277">
        <f t="shared" si="43"/>
        <v>-4.84045302880783E-3</v>
      </c>
      <c r="J388" s="277">
        <f t="shared" si="44"/>
        <v>2.8423772609818973E-2</v>
      </c>
      <c r="K388" s="277">
        <f t="shared" si="45"/>
        <v>-5.5752660922454263E-3</v>
      </c>
      <c r="L388" s="278">
        <f t="shared" si="46"/>
        <v>2.7726432532347505E-2</v>
      </c>
      <c r="N388" s="271">
        <v>43962</v>
      </c>
      <c r="O388" s="277">
        <f t="shared" si="47"/>
        <v>-8.0663557601078906E-3</v>
      </c>
      <c r="P388" s="277">
        <f t="shared" si="48"/>
        <v>2.9442105852424211E-2</v>
      </c>
      <c r="Q388" s="277">
        <f t="shared" si="49"/>
        <v>-6.8625491552745145E-3</v>
      </c>
      <c r="R388" s="278">
        <f t="shared" si="50"/>
        <v>3.0775522034687808E-2</v>
      </c>
      <c r="S388" s="277"/>
      <c r="T388" s="277"/>
    </row>
    <row r="389" spans="2:20" x14ac:dyDescent="0.3">
      <c r="B389" s="271">
        <v>43963</v>
      </c>
      <c r="C389" s="273">
        <v>4207.95</v>
      </c>
      <c r="D389" s="273">
        <v>89.05</v>
      </c>
      <c r="E389" s="273">
        <v>1523.35</v>
      </c>
      <c r="F389" s="274">
        <v>27.95</v>
      </c>
      <c r="H389" s="271">
        <v>43963</v>
      </c>
      <c r="I389" s="277">
        <f t="shared" si="43"/>
        <v>-6.4341707593502081E-3</v>
      </c>
      <c r="J389" s="277">
        <f t="shared" si="44"/>
        <v>0.11871859296482416</v>
      </c>
      <c r="K389" s="277">
        <f t="shared" si="45"/>
        <v>-2.9466106014271153E-2</v>
      </c>
      <c r="L389" s="278">
        <f t="shared" si="46"/>
        <v>5.3956834532373592E-3</v>
      </c>
      <c r="N389" s="271">
        <v>43963</v>
      </c>
      <c r="O389" s="277">
        <f t="shared" si="47"/>
        <v>-9.6600734906502686E-3</v>
      </c>
      <c r="P389" s="277">
        <f t="shared" si="48"/>
        <v>0.1197369262074294</v>
      </c>
      <c r="Q389" s="277">
        <f t="shared" si="49"/>
        <v>-3.0753389077300242E-2</v>
      </c>
      <c r="R389" s="278">
        <f t="shared" si="50"/>
        <v>8.4447729555776601E-3</v>
      </c>
      <c r="S389" s="277"/>
      <c r="T389" s="277"/>
    </row>
    <row r="390" spans="2:20" x14ac:dyDescent="0.3">
      <c r="B390" s="271">
        <v>43964</v>
      </c>
      <c r="C390" s="273">
        <v>4369.3500000000004</v>
      </c>
      <c r="D390" s="273">
        <v>90.25</v>
      </c>
      <c r="E390" s="273">
        <v>1563.3</v>
      </c>
      <c r="F390" s="274">
        <v>28.65</v>
      </c>
      <c r="H390" s="271">
        <v>43964</v>
      </c>
      <c r="I390" s="277">
        <f t="shared" si="43"/>
        <v>3.8355969058567842E-2</v>
      </c>
      <c r="J390" s="277">
        <f t="shared" si="44"/>
        <v>1.3475575519371173E-2</v>
      </c>
      <c r="K390" s="277">
        <f t="shared" si="45"/>
        <v>2.6225096005514193E-2</v>
      </c>
      <c r="L390" s="278">
        <f t="shared" si="46"/>
        <v>2.50447227191413E-2</v>
      </c>
      <c r="N390" s="271">
        <v>43964</v>
      </c>
      <c r="O390" s="277">
        <f t="shared" si="47"/>
        <v>3.5130066327267784E-2</v>
      </c>
      <c r="P390" s="277">
        <f t="shared" si="48"/>
        <v>1.4493908761976411E-2</v>
      </c>
      <c r="Q390" s="277">
        <f t="shared" si="49"/>
        <v>2.4937812942485104E-2</v>
      </c>
      <c r="R390" s="278">
        <f t="shared" si="50"/>
        <v>2.8093812221481603E-2</v>
      </c>
      <c r="S390" s="277"/>
      <c r="T390" s="277"/>
    </row>
    <row r="391" spans="2:20" x14ac:dyDescent="0.3">
      <c r="B391" s="271">
        <v>43965</v>
      </c>
      <c r="C391" s="273">
        <v>4317.3500000000004</v>
      </c>
      <c r="D391" s="273">
        <v>89.15</v>
      </c>
      <c r="E391" s="273">
        <v>1522.4</v>
      </c>
      <c r="F391" s="274">
        <v>28.2</v>
      </c>
      <c r="H391" s="271">
        <v>43965</v>
      </c>
      <c r="I391" s="277">
        <f t="shared" si="43"/>
        <v>-1.1901083685216335E-2</v>
      </c>
      <c r="J391" s="277">
        <f t="shared" si="44"/>
        <v>-1.2188365650969465E-2</v>
      </c>
      <c r="K391" s="277">
        <f t="shared" si="45"/>
        <v>-2.6162604746369771E-2</v>
      </c>
      <c r="L391" s="278">
        <f t="shared" si="46"/>
        <v>-1.5706806282722488E-2</v>
      </c>
      <c r="N391" s="271">
        <v>43965</v>
      </c>
      <c r="O391" s="277">
        <f t="shared" si="47"/>
        <v>-1.5126986416516396E-2</v>
      </c>
      <c r="P391" s="277">
        <f t="shared" si="48"/>
        <v>-1.1170032408364228E-2</v>
      </c>
      <c r="Q391" s="277">
        <f t="shared" si="49"/>
        <v>-2.744988780939886E-2</v>
      </c>
      <c r="R391" s="278">
        <f t="shared" si="50"/>
        <v>-1.2657716780382187E-2</v>
      </c>
      <c r="S391" s="277"/>
      <c r="T391" s="277"/>
    </row>
    <row r="392" spans="2:20" x14ac:dyDescent="0.3">
      <c r="B392" s="271">
        <v>43966</v>
      </c>
      <c r="C392" s="273">
        <v>4406.3500000000004</v>
      </c>
      <c r="D392" s="273">
        <v>92.95</v>
      </c>
      <c r="E392" s="273">
        <v>1552.95</v>
      </c>
      <c r="F392" s="274">
        <v>28.7</v>
      </c>
      <c r="H392" s="271">
        <v>43966</v>
      </c>
      <c r="I392" s="277">
        <f t="shared" si="43"/>
        <v>2.0614497318957228E-2</v>
      </c>
      <c r="J392" s="277">
        <f t="shared" si="44"/>
        <v>4.2624789680314044E-2</v>
      </c>
      <c r="K392" s="277">
        <f t="shared" si="45"/>
        <v>2.0066999474513895E-2</v>
      </c>
      <c r="L392" s="278">
        <f t="shared" si="46"/>
        <v>1.7730496453900711E-2</v>
      </c>
      <c r="N392" s="271">
        <v>43966</v>
      </c>
      <c r="O392" s="277">
        <f t="shared" si="47"/>
        <v>1.7388594587657166E-2</v>
      </c>
      <c r="P392" s="277">
        <f t="shared" si="48"/>
        <v>4.3643122922919282E-2</v>
      </c>
      <c r="Q392" s="277">
        <f t="shared" si="49"/>
        <v>1.8779716411484806E-2</v>
      </c>
      <c r="R392" s="278">
        <f t="shared" si="50"/>
        <v>2.0779585956241013E-2</v>
      </c>
      <c r="S392" s="277"/>
      <c r="T392" s="277"/>
    </row>
    <row r="393" spans="2:20" x14ac:dyDescent="0.3">
      <c r="B393" s="271">
        <v>43969</v>
      </c>
      <c r="C393" s="273">
        <v>4256.3999999999996</v>
      </c>
      <c r="D393" s="273">
        <v>92.5</v>
      </c>
      <c r="E393" s="273">
        <v>1501.1</v>
      </c>
      <c r="F393" s="274">
        <v>27.55</v>
      </c>
      <c r="H393" s="271">
        <v>43969</v>
      </c>
      <c r="I393" s="277">
        <f t="shared" si="43"/>
        <v>-3.4030433351867354E-2</v>
      </c>
      <c r="J393" s="277">
        <f t="shared" si="44"/>
        <v>-4.841312533620256E-3</v>
      </c>
      <c r="K393" s="277">
        <f t="shared" si="45"/>
        <v>-3.3388067870826578E-2</v>
      </c>
      <c r="L393" s="278">
        <f t="shared" si="46"/>
        <v>-4.0069686411149774E-2</v>
      </c>
      <c r="N393" s="271">
        <v>43969</v>
      </c>
      <c r="O393" s="277">
        <f t="shared" si="47"/>
        <v>-3.7256336083167418E-2</v>
      </c>
      <c r="P393" s="277">
        <f t="shared" si="48"/>
        <v>-3.8229792910150183E-3</v>
      </c>
      <c r="Q393" s="277">
        <f t="shared" si="49"/>
        <v>-3.4675350933855667E-2</v>
      </c>
      <c r="R393" s="278">
        <f t="shared" si="50"/>
        <v>-3.7020596908809475E-2</v>
      </c>
      <c r="S393" s="277"/>
      <c r="T393" s="277"/>
    </row>
    <row r="394" spans="2:20" x14ac:dyDescent="0.3">
      <c r="B394" s="271">
        <v>43970</v>
      </c>
      <c r="C394" s="273">
        <v>4301.75</v>
      </c>
      <c r="D394" s="273">
        <v>90</v>
      </c>
      <c r="E394" s="273">
        <v>1503.95</v>
      </c>
      <c r="F394" s="274">
        <v>27.4</v>
      </c>
      <c r="H394" s="271">
        <v>43970</v>
      </c>
      <c r="I394" s="277">
        <f t="shared" ref="I394:I457" si="51">(C394-C393)/C393</f>
        <v>1.0654543745888631E-2</v>
      </c>
      <c r="J394" s="277">
        <f t="shared" ref="J394:J457" si="52">(D394-D393)/D393</f>
        <v>-2.7027027027027029E-2</v>
      </c>
      <c r="K394" s="277">
        <f t="shared" ref="K394:K457" si="53">(E394-E393)/E393</f>
        <v>1.8986076876957808E-3</v>
      </c>
      <c r="L394" s="278">
        <f t="shared" ref="L394:L457" si="54">(F394-F393)/F393</f>
        <v>-5.4446460980037067E-3</v>
      </c>
      <c r="N394" s="271">
        <v>43970</v>
      </c>
      <c r="O394" s="277">
        <f t="shared" ref="O394:O457" si="55">I394-I$499</f>
        <v>7.4286410145885697E-3</v>
      </c>
      <c r="P394" s="277">
        <f t="shared" ref="P394:P457" si="56">J394-J$499</f>
        <v>-2.6008693784421791E-2</v>
      </c>
      <c r="Q394" s="277">
        <f t="shared" ref="Q394:Q457" si="57">K394-K$499</f>
        <v>6.1132462466669218E-4</v>
      </c>
      <c r="R394" s="278">
        <f t="shared" ref="R394:R457" si="58">L394-L$499</f>
        <v>-2.3955565956634054E-3</v>
      </c>
      <c r="S394" s="277"/>
      <c r="T394" s="277"/>
    </row>
    <row r="395" spans="2:20" x14ac:dyDescent="0.3">
      <c r="B395" s="271">
        <v>43971</v>
      </c>
      <c r="C395" s="273">
        <v>4390.8500000000004</v>
      </c>
      <c r="D395" s="273">
        <v>88.55</v>
      </c>
      <c r="E395" s="273">
        <v>1500.05</v>
      </c>
      <c r="F395" s="274">
        <v>27.15</v>
      </c>
      <c r="H395" s="271">
        <v>43971</v>
      </c>
      <c r="I395" s="277">
        <f t="shared" si="51"/>
        <v>2.0712500726448622E-2</v>
      </c>
      <c r="J395" s="277">
        <f t="shared" si="52"/>
        <v>-1.6111111111111142E-2</v>
      </c>
      <c r="K395" s="277">
        <f t="shared" si="53"/>
        <v>-2.5931713155358162E-3</v>
      </c>
      <c r="L395" s="278">
        <f t="shared" si="54"/>
        <v>-9.1240875912408769E-3</v>
      </c>
      <c r="N395" s="271">
        <v>43971</v>
      </c>
      <c r="O395" s="277">
        <f t="shared" si="55"/>
        <v>1.748659799514856E-2</v>
      </c>
      <c r="P395" s="277">
        <f t="shared" si="56"/>
        <v>-1.5092777868505904E-2</v>
      </c>
      <c r="Q395" s="277">
        <f t="shared" si="57"/>
        <v>-3.8804543785649049E-3</v>
      </c>
      <c r="R395" s="278">
        <f t="shared" si="58"/>
        <v>-6.074998088900576E-3</v>
      </c>
      <c r="S395" s="277"/>
      <c r="T395" s="277"/>
    </row>
    <row r="396" spans="2:20" x14ac:dyDescent="0.3">
      <c r="B396" s="271">
        <v>43972</v>
      </c>
      <c r="C396" s="273">
        <v>4296.3</v>
      </c>
      <c r="D396" s="273">
        <v>90.2</v>
      </c>
      <c r="E396" s="273">
        <v>1574.3</v>
      </c>
      <c r="F396" s="274">
        <v>26.9</v>
      </c>
      <c r="H396" s="271">
        <v>43972</v>
      </c>
      <c r="I396" s="277">
        <f t="shared" si="51"/>
        <v>-2.1533416081168835E-2</v>
      </c>
      <c r="J396" s="277">
        <f t="shared" si="52"/>
        <v>1.8633540372670874E-2</v>
      </c>
      <c r="K396" s="277">
        <f t="shared" si="53"/>
        <v>4.9498350054998169E-2</v>
      </c>
      <c r="L396" s="278">
        <f t="shared" si="54"/>
        <v>-9.2081031307550652E-3</v>
      </c>
      <c r="N396" s="271">
        <v>43972</v>
      </c>
      <c r="O396" s="277">
        <f t="shared" si="55"/>
        <v>-2.4759318812468897E-2</v>
      </c>
      <c r="P396" s="277">
        <f t="shared" si="56"/>
        <v>1.9651873615276112E-2</v>
      </c>
      <c r="Q396" s="277">
        <f t="shared" si="57"/>
        <v>4.821106699196908E-2</v>
      </c>
      <c r="R396" s="278">
        <f t="shared" si="58"/>
        <v>-6.1590136284147643E-3</v>
      </c>
      <c r="S396" s="277"/>
      <c r="T396" s="277"/>
    </row>
    <row r="397" spans="2:20" x14ac:dyDescent="0.3">
      <c r="B397" s="271">
        <v>43973</v>
      </c>
      <c r="C397" s="273">
        <v>4342.3999999999996</v>
      </c>
      <c r="D397" s="273">
        <v>89.1</v>
      </c>
      <c r="E397" s="273">
        <v>1617.9</v>
      </c>
      <c r="F397" s="274">
        <v>26.55</v>
      </c>
      <c r="H397" s="271">
        <v>43973</v>
      </c>
      <c r="I397" s="277">
        <f t="shared" si="51"/>
        <v>1.0730163163652318E-2</v>
      </c>
      <c r="J397" s="277">
        <f t="shared" si="52"/>
        <v>-1.2195121951219606E-2</v>
      </c>
      <c r="K397" s="277">
        <f t="shared" si="53"/>
        <v>2.7694848504097147E-2</v>
      </c>
      <c r="L397" s="278">
        <f t="shared" si="54"/>
        <v>-1.30111524163568E-2</v>
      </c>
      <c r="N397" s="271">
        <v>43973</v>
      </c>
      <c r="O397" s="277">
        <f t="shared" si="55"/>
        <v>7.5042604323522569E-3</v>
      </c>
      <c r="P397" s="277">
        <f t="shared" si="56"/>
        <v>-1.1176788708614369E-2</v>
      </c>
      <c r="Q397" s="277">
        <f t="shared" si="57"/>
        <v>2.6407565441068058E-2</v>
      </c>
      <c r="R397" s="278">
        <f t="shared" si="58"/>
        <v>-9.9620629140164986E-3</v>
      </c>
      <c r="S397" s="277"/>
      <c r="T397" s="277"/>
    </row>
    <row r="398" spans="2:20" x14ac:dyDescent="0.3">
      <c r="B398" s="271">
        <v>43977</v>
      </c>
      <c r="C398" s="273">
        <v>4499.95</v>
      </c>
      <c r="D398" s="273">
        <v>87.9</v>
      </c>
      <c r="E398" s="273">
        <v>1629.85</v>
      </c>
      <c r="F398" s="274">
        <v>27.4</v>
      </c>
      <c r="H398" s="271">
        <v>43977</v>
      </c>
      <c r="I398" s="277">
        <f t="shared" si="51"/>
        <v>3.6281779661016991E-2</v>
      </c>
      <c r="J398" s="277">
        <f t="shared" si="52"/>
        <v>-1.3468013468013341E-2</v>
      </c>
      <c r="K398" s="277">
        <f t="shared" si="53"/>
        <v>7.3861178070336962E-3</v>
      </c>
      <c r="L398" s="278">
        <f t="shared" si="54"/>
        <v>3.2015065913370916E-2</v>
      </c>
      <c r="N398" s="271">
        <v>43977</v>
      </c>
      <c r="O398" s="277">
        <f t="shared" si="55"/>
        <v>3.3055876929716926E-2</v>
      </c>
      <c r="P398" s="277">
        <f t="shared" si="56"/>
        <v>-1.2449680225408103E-2</v>
      </c>
      <c r="Q398" s="277">
        <f t="shared" si="57"/>
        <v>6.0988347440046071E-3</v>
      </c>
      <c r="R398" s="278">
        <f t="shared" si="58"/>
        <v>3.5064155415711215E-2</v>
      </c>
      <c r="S398" s="277"/>
      <c r="T398" s="277"/>
    </row>
    <row r="399" spans="2:20" x14ac:dyDescent="0.3">
      <c r="B399" s="271">
        <v>43978</v>
      </c>
      <c r="C399" s="273">
        <v>4551.6499999999996</v>
      </c>
      <c r="D399" s="273">
        <v>87.9</v>
      </c>
      <c r="E399" s="273">
        <v>1619.45</v>
      </c>
      <c r="F399" s="274">
        <v>27.6</v>
      </c>
      <c r="H399" s="271">
        <v>43978</v>
      </c>
      <c r="I399" s="277">
        <f t="shared" si="51"/>
        <v>1.1489016544628234E-2</v>
      </c>
      <c r="J399" s="277">
        <f t="shared" si="52"/>
        <v>0</v>
      </c>
      <c r="K399" s="277">
        <f t="shared" si="53"/>
        <v>-6.3809553026351285E-3</v>
      </c>
      <c r="L399" s="278">
        <f t="shared" si="54"/>
        <v>7.2992700729928046E-3</v>
      </c>
      <c r="N399" s="271">
        <v>43978</v>
      </c>
      <c r="O399" s="277">
        <f t="shared" si="55"/>
        <v>8.2631138133281729E-3</v>
      </c>
      <c r="P399" s="277">
        <f t="shared" si="56"/>
        <v>1.0183332426052379E-3</v>
      </c>
      <c r="Q399" s="277">
        <f t="shared" si="57"/>
        <v>-7.6682383656642168E-3</v>
      </c>
      <c r="R399" s="278">
        <f t="shared" si="58"/>
        <v>1.0348359575333105E-2</v>
      </c>
      <c r="S399" s="277"/>
      <c r="T399" s="277"/>
    </row>
    <row r="400" spans="2:20" x14ac:dyDescent="0.3">
      <c r="B400" s="271">
        <v>43979</v>
      </c>
      <c r="C400" s="273">
        <v>4633</v>
      </c>
      <c r="D400" s="273">
        <v>89.95</v>
      </c>
      <c r="E400" s="273">
        <v>1643.6</v>
      </c>
      <c r="F400" s="274">
        <v>27</v>
      </c>
      <c r="H400" s="271">
        <v>43979</v>
      </c>
      <c r="I400" s="277">
        <f t="shared" si="51"/>
        <v>1.7872639592235864E-2</v>
      </c>
      <c r="J400" s="277">
        <f t="shared" si="52"/>
        <v>2.3321956769055713E-2</v>
      </c>
      <c r="K400" s="277">
        <f t="shared" si="53"/>
        <v>1.4912470283120727E-2</v>
      </c>
      <c r="L400" s="278">
        <f t="shared" si="54"/>
        <v>-2.173913043478266E-2</v>
      </c>
      <c r="N400" s="271">
        <v>43979</v>
      </c>
      <c r="O400" s="277">
        <f t="shared" si="55"/>
        <v>1.4646736860935802E-2</v>
      </c>
      <c r="P400" s="277">
        <f t="shared" si="56"/>
        <v>2.4340290011660951E-2</v>
      </c>
      <c r="Q400" s="277">
        <f t="shared" si="57"/>
        <v>1.3625187220091638E-2</v>
      </c>
      <c r="R400" s="278">
        <f t="shared" si="58"/>
        <v>-1.8690040932442357E-2</v>
      </c>
      <c r="S400" s="277"/>
      <c r="T400" s="277"/>
    </row>
    <row r="401" spans="2:20" x14ac:dyDescent="0.3">
      <c r="B401" s="271">
        <v>43980</v>
      </c>
      <c r="C401" s="273">
        <v>4875.8</v>
      </c>
      <c r="D401" s="273">
        <v>92.2</v>
      </c>
      <c r="E401" s="273">
        <v>1683.1</v>
      </c>
      <c r="F401" s="274">
        <v>26.85</v>
      </c>
      <c r="H401" s="271">
        <v>43980</v>
      </c>
      <c r="I401" s="277">
        <f t="shared" si="51"/>
        <v>5.2406647960284949E-2</v>
      </c>
      <c r="J401" s="277">
        <f t="shared" si="52"/>
        <v>2.5013896609227346E-2</v>
      </c>
      <c r="K401" s="277">
        <f t="shared" si="53"/>
        <v>2.4032611340958871E-2</v>
      </c>
      <c r="L401" s="278">
        <f t="shared" si="54"/>
        <v>-5.5555555555555029E-3</v>
      </c>
      <c r="N401" s="271">
        <v>43980</v>
      </c>
      <c r="O401" s="277">
        <f t="shared" si="55"/>
        <v>4.9180745228984885E-2</v>
      </c>
      <c r="P401" s="277">
        <f t="shared" si="56"/>
        <v>2.6032229851832584E-2</v>
      </c>
      <c r="Q401" s="277">
        <f t="shared" si="57"/>
        <v>2.2745328277929782E-2</v>
      </c>
      <c r="R401" s="278">
        <f t="shared" si="58"/>
        <v>-2.5064660532152015E-3</v>
      </c>
      <c r="S401" s="277"/>
      <c r="T401" s="277"/>
    </row>
    <row r="402" spans="2:20" x14ac:dyDescent="0.3">
      <c r="B402" s="271">
        <v>43983</v>
      </c>
      <c r="C402" s="273">
        <v>5051.5</v>
      </c>
      <c r="D402" s="273">
        <v>93.65</v>
      </c>
      <c r="E402" s="273">
        <v>1693.25</v>
      </c>
      <c r="F402" s="274">
        <v>27.15</v>
      </c>
      <c r="H402" s="271">
        <v>43983</v>
      </c>
      <c r="I402" s="277">
        <f t="shared" si="51"/>
        <v>3.6035112186718038E-2</v>
      </c>
      <c r="J402" s="277">
        <f t="shared" si="52"/>
        <v>1.5726681127982676E-2</v>
      </c>
      <c r="K402" s="277">
        <f t="shared" si="53"/>
        <v>6.0305388865783916E-3</v>
      </c>
      <c r="L402" s="278">
        <f t="shared" si="54"/>
        <v>1.1173184357541792E-2</v>
      </c>
      <c r="N402" s="271">
        <v>43983</v>
      </c>
      <c r="O402" s="277">
        <f t="shared" si="55"/>
        <v>3.2809209455417973E-2</v>
      </c>
      <c r="P402" s="277">
        <f t="shared" si="56"/>
        <v>1.6745014370587914E-2</v>
      </c>
      <c r="Q402" s="277">
        <f t="shared" si="57"/>
        <v>4.7432558235493034E-3</v>
      </c>
      <c r="R402" s="278">
        <f t="shared" si="58"/>
        <v>1.4222273859882093E-2</v>
      </c>
      <c r="S402" s="277"/>
      <c r="T402" s="277"/>
    </row>
    <row r="403" spans="2:20" x14ac:dyDescent="0.3">
      <c r="B403" s="271">
        <v>43984</v>
      </c>
      <c r="C403" s="273">
        <v>5197.5</v>
      </c>
      <c r="D403" s="273">
        <v>96.9</v>
      </c>
      <c r="E403" s="273">
        <v>1709.3</v>
      </c>
      <c r="F403" s="274">
        <v>27.15</v>
      </c>
      <c r="H403" s="271">
        <v>43984</v>
      </c>
      <c r="I403" s="277">
        <f t="shared" si="51"/>
        <v>2.8902306245669602E-2</v>
      </c>
      <c r="J403" s="277">
        <f t="shared" si="52"/>
        <v>3.4703683929524824E-2</v>
      </c>
      <c r="K403" s="277">
        <f t="shared" si="53"/>
        <v>9.4788129337073403E-3</v>
      </c>
      <c r="L403" s="278">
        <f t="shared" si="54"/>
        <v>0</v>
      </c>
      <c r="N403" s="271">
        <v>43984</v>
      </c>
      <c r="O403" s="277">
        <f t="shared" si="55"/>
        <v>2.567640351436954E-2</v>
      </c>
      <c r="P403" s="277">
        <f t="shared" si="56"/>
        <v>3.5722017172130062E-2</v>
      </c>
      <c r="Q403" s="277">
        <f t="shared" si="57"/>
        <v>8.1915298706782512E-3</v>
      </c>
      <c r="R403" s="278">
        <f t="shared" si="58"/>
        <v>3.0490895023403014E-3</v>
      </c>
      <c r="S403" s="277"/>
      <c r="T403" s="277"/>
    </row>
    <row r="404" spans="2:20" x14ac:dyDescent="0.3">
      <c r="B404" s="271">
        <v>43985</v>
      </c>
      <c r="C404" s="273">
        <v>5384.95</v>
      </c>
      <c r="D404" s="273">
        <v>96.7</v>
      </c>
      <c r="E404" s="273">
        <v>1716.55</v>
      </c>
      <c r="F404" s="274">
        <v>27.95</v>
      </c>
      <c r="H404" s="271">
        <v>43985</v>
      </c>
      <c r="I404" s="277">
        <f t="shared" si="51"/>
        <v>3.606541606541603E-2</v>
      </c>
      <c r="J404" s="277">
        <f t="shared" si="52"/>
        <v>-2.0639834881321243E-3</v>
      </c>
      <c r="K404" s="277">
        <f t="shared" si="53"/>
        <v>4.241502369390979E-3</v>
      </c>
      <c r="L404" s="278">
        <f t="shared" si="54"/>
        <v>2.9465930018416235E-2</v>
      </c>
      <c r="N404" s="271">
        <v>43985</v>
      </c>
      <c r="O404" s="277">
        <f t="shared" si="55"/>
        <v>3.2839513334115972E-2</v>
      </c>
      <c r="P404" s="277">
        <f t="shared" si="56"/>
        <v>-1.0456502455268863E-3</v>
      </c>
      <c r="Q404" s="277">
        <f t="shared" si="57"/>
        <v>2.9542193063618904E-3</v>
      </c>
      <c r="R404" s="278">
        <f t="shared" si="58"/>
        <v>3.2515019520756534E-2</v>
      </c>
      <c r="S404" s="277"/>
      <c r="T404" s="277"/>
    </row>
    <row r="405" spans="2:20" x14ac:dyDescent="0.3">
      <c r="B405" s="271">
        <v>43986</v>
      </c>
      <c r="C405" s="273">
        <v>5180.55</v>
      </c>
      <c r="D405" s="273">
        <v>104.4</v>
      </c>
      <c r="E405" s="273">
        <v>1633.75</v>
      </c>
      <c r="F405" s="274">
        <v>27.95</v>
      </c>
      <c r="H405" s="271">
        <v>43986</v>
      </c>
      <c r="I405" s="277">
        <f t="shared" si="51"/>
        <v>-3.7957641203725127E-2</v>
      </c>
      <c r="J405" s="277">
        <f t="shared" si="52"/>
        <v>7.9627714581178927E-2</v>
      </c>
      <c r="K405" s="277">
        <f t="shared" si="53"/>
        <v>-4.8236287903061351E-2</v>
      </c>
      <c r="L405" s="278">
        <f t="shared" si="54"/>
        <v>0</v>
      </c>
      <c r="N405" s="271">
        <v>43986</v>
      </c>
      <c r="O405" s="277">
        <f t="shared" si="55"/>
        <v>-4.1183543935025185E-2</v>
      </c>
      <c r="P405" s="277">
        <f t="shared" si="56"/>
        <v>8.0646047823784164E-2</v>
      </c>
      <c r="Q405" s="277">
        <f t="shared" si="57"/>
        <v>-4.952357096609044E-2</v>
      </c>
      <c r="R405" s="278">
        <f t="shared" si="58"/>
        <v>3.0490895023403014E-3</v>
      </c>
      <c r="S405" s="277"/>
      <c r="T405" s="277"/>
    </row>
    <row r="406" spans="2:20" x14ac:dyDescent="0.3">
      <c r="B406" s="271">
        <v>43987</v>
      </c>
      <c r="C406" s="273">
        <v>5006.25</v>
      </c>
      <c r="D406" s="273">
        <v>105.3</v>
      </c>
      <c r="E406" s="273">
        <v>1638.55</v>
      </c>
      <c r="F406" s="274">
        <v>28.85</v>
      </c>
      <c r="H406" s="271">
        <v>43987</v>
      </c>
      <c r="I406" s="277">
        <f t="shared" si="51"/>
        <v>-3.3645076294988016E-2</v>
      </c>
      <c r="J406" s="277">
        <f t="shared" si="52"/>
        <v>8.6206896551723321E-3</v>
      </c>
      <c r="K406" s="277">
        <f t="shared" si="53"/>
        <v>2.9380260137719691E-3</v>
      </c>
      <c r="L406" s="278">
        <f t="shared" si="54"/>
        <v>3.220035778175321E-2</v>
      </c>
      <c r="N406" s="271">
        <v>43987</v>
      </c>
      <c r="O406" s="277">
        <f t="shared" si="55"/>
        <v>-3.6870979026288081E-2</v>
      </c>
      <c r="P406" s="277">
        <f t="shared" si="56"/>
        <v>9.6390228977775699E-3</v>
      </c>
      <c r="Q406" s="277">
        <f t="shared" si="57"/>
        <v>1.6507429507428804E-3</v>
      </c>
      <c r="R406" s="278">
        <f t="shared" si="58"/>
        <v>3.5249447284093509E-2</v>
      </c>
      <c r="S406" s="277"/>
      <c r="T406" s="277"/>
    </row>
    <row r="407" spans="2:20" x14ac:dyDescent="0.3">
      <c r="B407" s="271">
        <v>43990</v>
      </c>
      <c r="C407" s="273">
        <v>5010.05</v>
      </c>
      <c r="D407" s="273">
        <v>105.1</v>
      </c>
      <c r="E407" s="273">
        <v>1634.25</v>
      </c>
      <c r="F407" s="274">
        <v>30.6</v>
      </c>
      <c r="H407" s="271">
        <v>43990</v>
      </c>
      <c r="I407" s="277">
        <f t="shared" si="51"/>
        <v>7.590511860175145E-4</v>
      </c>
      <c r="J407" s="277">
        <f t="shared" si="52"/>
        <v>-1.899335232668593E-3</v>
      </c>
      <c r="K407" s="277">
        <f t="shared" si="53"/>
        <v>-2.624271459522111E-3</v>
      </c>
      <c r="L407" s="278">
        <f t="shared" si="54"/>
        <v>6.0658578856152508E-2</v>
      </c>
      <c r="N407" s="271">
        <v>43990</v>
      </c>
      <c r="O407" s="277">
        <f t="shared" si="55"/>
        <v>-2.4668515452825469E-3</v>
      </c>
      <c r="P407" s="277">
        <f t="shared" si="56"/>
        <v>-8.8100199006335505E-4</v>
      </c>
      <c r="Q407" s="277">
        <f t="shared" si="57"/>
        <v>-3.9115545225511996E-3</v>
      </c>
      <c r="R407" s="278">
        <f t="shared" si="58"/>
        <v>6.3707668358492814E-2</v>
      </c>
      <c r="S407" s="277"/>
      <c r="T407" s="277"/>
    </row>
    <row r="408" spans="2:20" x14ac:dyDescent="0.3">
      <c r="B408" s="271">
        <v>43991</v>
      </c>
      <c r="C408" s="273">
        <v>5040.7</v>
      </c>
      <c r="D408" s="273">
        <v>104.6</v>
      </c>
      <c r="E408" s="273">
        <v>1642.05</v>
      </c>
      <c r="F408" s="274">
        <v>29.85</v>
      </c>
      <c r="H408" s="271">
        <v>43991</v>
      </c>
      <c r="I408" s="277">
        <f t="shared" si="51"/>
        <v>6.1177034161334987E-3</v>
      </c>
      <c r="J408" s="277">
        <f t="shared" si="52"/>
        <v>-4.7573739295908657E-3</v>
      </c>
      <c r="K408" s="277">
        <f t="shared" si="53"/>
        <v>4.772831574116539E-3</v>
      </c>
      <c r="L408" s="278">
        <f t="shared" si="54"/>
        <v>-2.4509803921568627E-2</v>
      </c>
      <c r="N408" s="271">
        <v>43991</v>
      </c>
      <c r="O408" s="277">
        <f t="shared" si="55"/>
        <v>2.8918006848334373E-3</v>
      </c>
      <c r="P408" s="277">
        <f t="shared" si="56"/>
        <v>-3.739040686985628E-3</v>
      </c>
      <c r="Q408" s="277">
        <f t="shared" si="57"/>
        <v>3.4855485110874503E-3</v>
      </c>
      <c r="R408" s="278">
        <f t="shared" si="58"/>
        <v>-2.1460714419228324E-2</v>
      </c>
      <c r="S408" s="277"/>
      <c r="T408" s="277"/>
    </row>
    <row r="409" spans="2:20" x14ac:dyDescent="0.3">
      <c r="B409" s="271">
        <v>43992</v>
      </c>
      <c r="C409" s="273">
        <v>5019.3500000000004</v>
      </c>
      <c r="D409" s="273">
        <v>106.1</v>
      </c>
      <c r="E409" s="273">
        <v>1635.95</v>
      </c>
      <c r="F409" s="274">
        <v>30.4</v>
      </c>
      <c r="H409" s="271">
        <v>43992</v>
      </c>
      <c r="I409" s="277">
        <f t="shared" si="51"/>
        <v>-4.2355228440493298E-3</v>
      </c>
      <c r="J409" s="277">
        <f t="shared" si="52"/>
        <v>1.4340344168260039E-2</v>
      </c>
      <c r="K409" s="277">
        <f t="shared" si="53"/>
        <v>-3.7148686093601956E-3</v>
      </c>
      <c r="L409" s="278">
        <f t="shared" si="54"/>
        <v>1.8425460636515817E-2</v>
      </c>
      <c r="N409" s="271">
        <v>43992</v>
      </c>
      <c r="O409" s="277">
        <f t="shared" si="55"/>
        <v>-7.4614255753493912E-3</v>
      </c>
      <c r="P409" s="277">
        <f t="shared" si="56"/>
        <v>1.5358677410865277E-2</v>
      </c>
      <c r="Q409" s="277">
        <f t="shared" si="57"/>
        <v>-5.0021516723892847E-3</v>
      </c>
      <c r="R409" s="278">
        <f t="shared" si="58"/>
        <v>2.147455013885612E-2</v>
      </c>
      <c r="S409" s="277"/>
      <c r="T409" s="277"/>
    </row>
    <row r="410" spans="2:20" x14ac:dyDescent="0.3">
      <c r="B410" s="271">
        <v>43993</v>
      </c>
      <c r="C410" s="273">
        <v>4976.45</v>
      </c>
      <c r="D410" s="273">
        <v>101.05</v>
      </c>
      <c r="E410" s="273">
        <v>1610.6</v>
      </c>
      <c r="F410" s="274">
        <v>29.8</v>
      </c>
      <c r="H410" s="271">
        <v>43993</v>
      </c>
      <c r="I410" s="277">
        <f t="shared" si="51"/>
        <v>-8.5469234064172745E-3</v>
      </c>
      <c r="J410" s="277">
        <f t="shared" si="52"/>
        <v>-4.7596606974552286E-2</v>
      </c>
      <c r="K410" s="277">
        <f t="shared" si="53"/>
        <v>-1.5495583605856008E-2</v>
      </c>
      <c r="L410" s="278">
        <f t="shared" si="54"/>
        <v>-1.9736842105263087E-2</v>
      </c>
      <c r="N410" s="271">
        <v>43993</v>
      </c>
      <c r="O410" s="277">
        <f t="shared" si="55"/>
        <v>-1.1772826137717336E-2</v>
      </c>
      <c r="P410" s="277">
        <f t="shared" si="56"/>
        <v>-4.6578273731947048E-2</v>
      </c>
      <c r="Q410" s="277">
        <f t="shared" si="57"/>
        <v>-1.6782866668885097E-2</v>
      </c>
      <c r="R410" s="278">
        <f t="shared" si="58"/>
        <v>-1.6687752602922785E-2</v>
      </c>
      <c r="S410" s="277"/>
      <c r="T410" s="277"/>
    </row>
    <row r="411" spans="2:20" x14ac:dyDescent="0.3">
      <c r="B411" s="271">
        <v>43994</v>
      </c>
      <c r="C411" s="273">
        <v>4975.7</v>
      </c>
      <c r="D411" s="273">
        <v>103.3</v>
      </c>
      <c r="E411" s="273">
        <v>1637.35</v>
      </c>
      <c r="F411" s="274">
        <v>29.5</v>
      </c>
      <c r="H411" s="271">
        <v>43994</v>
      </c>
      <c r="I411" s="277">
        <f t="shared" si="51"/>
        <v>-1.5070984336223615E-4</v>
      </c>
      <c r="J411" s="277">
        <f t="shared" si="52"/>
        <v>2.2266204849084613E-2</v>
      </c>
      <c r="K411" s="277">
        <f t="shared" si="53"/>
        <v>1.6608717248230473E-2</v>
      </c>
      <c r="L411" s="278">
        <f t="shared" si="54"/>
        <v>-1.0067114093959755E-2</v>
      </c>
      <c r="N411" s="271">
        <v>43994</v>
      </c>
      <c r="O411" s="277">
        <f t="shared" si="55"/>
        <v>-3.3766125746622975E-3</v>
      </c>
      <c r="P411" s="277">
        <f t="shared" si="56"/>
        <v>2.3284538091689851E-2</v>
      </c>
      <c r="Q411" s="277">
        <f t="shared" si="57"/>
        <v>1.5321434185201384E-2</v>
      </c>
      <c r="R411" s="278">
        <f t="shared" si="58"/>
        <v>-7.0180245916194543E-3</v>
      </c>
      <c r="S411" s="277"/>
      <c r="T411" s="277"/>
    </row>
    <row r="412" spans="2:20" x14ac:dyDescent="0.3">
      <c r="B412" s="271">
        <v>43997</v>
      </c>
      <c r="C412" s="273">
        <v>5291.75</v>
      </c>
      <c r="D412" s="273">
        <v>102.4</v>
      </c>
      <c r="E412" s="273">
        <v>1618.2</v>
      </c>
      <c r="F412" s="274">
        <v>29</v>
      </c>
      <c r="H412" s="271">
        <v>43997</v>
      </c>
      <c r="I412" s="277">
        <f t="shared" si="51"/>
        <v>6.3518700886307497E-2</v>
      </c>
      <c r="J412" s="277">
        <f t="shared" si="52"/>
        <v>-8.7124878993222795E-3</v>
      </c>
      <c r="K412" s="277">
        <f t="shared" si="53"/>
        <v>-1.169572785293301E-2</v>
      </c>
      <c r="L412" s="278">
        <f t="shared" si="54"/>
        <v>-1.6949152542372881E-2</v>
      </c>
      <c r="N412" s="271">
        <v>43997</v>
      </c>
      <c r="O412" s="277">
        <f t="shared" si="55"/>
        <v>6.0292798155007432E-2</v>
      </c>
      <c r="P412" s="277">
        <f t="shared" si="56"/>
        <v>-7.6941546567170418E-3</v>
      </c>
      <c r="Q412" s="277">
        <f t="shared" si="57"/>
        <v>-1.2983010915962099E-2</v>
      </c>
      <c r="R412" s="278">
        <f t="shared" si="58"/>
        <v>-1.390006304003258E-2</v>
      </c>
      <c r="S412" s="277"/>
      <c r="T412" s="277"/>
    </row>
    <row r="413" spans="2:20" x14ac:dyDescent="0.3">
      <c r="B413" s="271">
        <v>43998</v>
      </c>
      <c r="C413" s="273">
        <v>5303.4</v>
      </c>
      <c r="D413" s="273">
        <v>103.85</v>
      </c>
      <c r="E413" s="273">
        <v>1621.7</v>
      </c>
      <c r="F413" s="274">
        <v>28.4</v>
      </c>
      <c r="H413" s="271">
        <v>43998</v>
      </c>
      <c r="I413" s="277">
        <f t="shared" si="51"/>
        <v>2.2015401332261797E-3</v>
      </c>
      <c r="J413" s="277">
        <f t="shared" si="52"/>
        <v>1.4160156249999889E-2</v>
      </c>
      <c r="K413" s="277">
        <f t="shared" si="53"/>
        <v>2.1628970461006055E-3</v>
      </c>
      <c r="L413" s="278">
        <f t="shared" si="54"/>
        <v>-2.0689655172413841E-2</v>
      </c>
      <c r="N413" s="271">
        <v>43998</v>
      </c>
      <c r="O413" s="277">
        <f t="shared" si="55"/>
        <v>-1.0243625980738817E-3</v>
      </c>
      <c r="P413" s="277">
        <f t="shared" si="56"/>
        <v>1.5178489492605127E-2</v>
      </c>
      <c r="Q413" s="277">
        <f t="shared" si="57"/>
        <v>8.756139830715169E-4</v>
      </c>
      <c r="R413" s="278">
        <f t="shared" si="58"/>
        <v>-1.7640565670073539E-2</v>
      </c>
      <c r="S413" s="277"/>
      <c r="T413" s="277"/>
    </row>
    <row r="414" spans="2:20" x14ac:dyDescent="0.3">
      <c r="B414" s="271">
        <v>43999</v>
      </c>
      <c r="C414" s="273">
        <v>5338.35</v>
      </c>
      <c r="D414" s="273">
        <v>102.1</v>
      </c>
      <c r="E414" s="273">
        <v>1595.4</v>
      </c>
      <c r="F414" s="274">
        <v>27.65</v>
      </c>
      <c r="H414" s="271">
        <v>43999</v>
      </c>
      <c r="I414" s="277">
        <f t="shared" si="51"/>
        <v>6.5901120036204568E-3</v>
      </c>
      <c r="J414" s="277">
        <f t="shared" si="52"/>
        <v>-1.6851227732306212E-2</v>
      </c>
      <c r="K414" s="277">
        <f t="shared" si="53"/>
        <v>-1.6217549485108191E-2</v>
      </c>
      <c r="L414" s="278">
        <f t="shared" si="54"/>
        <v>-2.6408450704225355E-2</v>
      </c>
      <c r="N414" s="271">
        <v>43999</v>
      </c>
      <c r="O414" s="277">
        <f t="shared" si="55"/>
        <v>3.3642092723203953E-3</v>
      </c>
      <c r="P414" s="277">
        <f t="shared" si="56"/>
        <v>-1.5832894489700974E-2</v>
      </c>
      <c r="Q414" s="277">
        <f t="shared" si="57"/>
        <v>-1.750483254813728E-2</v>
      </c>
      <c r="R414" s="278">
        <f t="shared" si="58"/>
        <v>-2.3359361201885052E-2</v>
      </c>
      <c r="S414" s="277"/>
      <c r="T414" s="277"/>
    </row>
    <row r="415" spans="2:20" x14ac:dyDescent="0.3">
      <c r="B415" s="271">
        <v>44000</v>
      </c>
      <c r="C415" s="273">
        <v>5566.85</v>
      </c>
      <c r="D415" s="273">
        <v>107</v>
      </c>
      <c r="E415" s="273">
        <v>1597.8</v>
      </c>
      <c r="F415" s="274">
        <v>28</v>
      </c>
      <c r="H415" s="271">
        <v>44000</v>
      </c>
      <c r="I415" s="277">
        <f t="shared" si="51"/>
        <v>4.2803487969129035E-2</v>
      </c>
      <c r="J415" s="277">
        <f t="shared" si="52"/>
        <v>4.799216454456421E-2</v>
      </c>
      <c r="K415" s="277">
        <f t="shared" si="53"/>
        <v>1.5043249341856984E-3</v>
      </c>
      <c r="L415" s="278">
        <f t="shared" si="54"/>
        <v>1.2658227848101318E-2</v>
      </c>
      <c r="N415" s="271">
        <v>44000</v>
      </c>
      <c r="O415" s="277">
        <f t="shared" si="55"/>
        <v>3.9577585237828977E-2</v>
      </c>
      <c r="P415" s="277">
        <f t="shared" si="56"/>
        <v>4.9010497787169448E-2</v>
      </c>
      <c r="Q415" s="277">
        <f t="shared" si="57"/>
        <v>2.1704187115660981E-4</v>
      </c>
      <c r="R415" s="278">
        <f t="shared" si="58"/>
        <v>1.5707317350441619E-2</v>
      </c>
      <c r="S415" s="277"/>
      <c r="T415" s="277"/>
    </row>
    <row r="416" spans="2:20" x14ac:dyDescent="0.3">
      <c r="B416" s="271">
        <v>44001</v>
      </c>
      <c r="C416" s="273">
        <v>5687.25</v>
      </c>
      <c r="D416" s="273">
        <v>105.25</v>
      </c>
      <c r="E416" s="273">
        <v>1622.5</v>
      </c>
      <c r="F416" s="274">
        <v>28</v>
      </c>
      <c r="H416" s="271">
        <v>44001</v>
      </c>
      <c r="I416" s="277">
        <f t="shared" si="51"/>
        <v>2.1628030214573706E-2</v>
      </c>
      <c r="J416" s="277">
        <f t="shared" si="52"/>
        <v>-1.6355140186915886E-2</v>
      </c>
      <c r="K416" s="277">
        <f t="shared" si="53"/>
        <v>1.5458755789210193E-2</v>
      </c>
      <c r="L416" s="278">
        <f t="shared" si="54"/>
        <v>0</v>
      </c>
      <c r="N416" s="271">
        <v>44001</v>
      </c>
      <c r="O416" s="277">
        <f t="shared" si="55"/>
        <v>1.8402127483273644E-2</v>
      </c>
      <c r="P416" s="277">
        <f t="shared" si="56"/>
        <v>-1.5336806944310648E-2</v>
      </c>
      <c r="Q416" s="277">
        <f t="shared" si="57"/>
        <v>1.4171472726181104E-2</v>
      </c>
      <c r="R416" s="278">
        <f t="shared" si="58"/>
        <v>3.0490895023403014E-3</v>
      </c>
      <c r="S416" s="277"/>
      <c r="T416" s="277"/>
    </row>
    <row r="417" spans="2:20" x14ac:dyDescent="0.3">
      <c r="B417" s="271">
        <v>44004</v>
      </c>
      <c r="C417" s="273">
        <v>5546.1</v>
      </c>
      <c r="D417" s="273">
        <v>110.05</v>
      </c>
      <c r="E417" s="273">
        <v>1652.15</v>
      </c>
      <c r="F417" s="274">
        <v>27.75</v>
      </c>
      <c r="H417" s="271">
        <v>44004</v>
      </c>
      <c r="I417" s="277">
        <f t="shared" si="51"/>
        <v>-2.4818673348278981E-2</v>
      </c>
      <c r="J417" s="277">
        <f t="shared" si="52"/>
        <v>4.5605700712589049E-2</v>
      </c>
      <c r="K417" s="277">
        <f t="shared" si="53"/>
        <v>1.8274268104776635E-2</v>
      </c>
      <c r="L417" s="278">
        <f t="shared" si="54"/>
        <v>-8.9285714285714281E-3</v>
      </c>
      <c r="N417" s="271">
        <v>44004</v>
      </c>
      <c r="O417" s="277">
        <f t="shared" si="55"/>
        <v>-2.8044576079579043E-2</v>
      </c>
      <c r="P417" s="277">
        <f t="shared" si="56"/>
        <v>4.6624033955194287E-2</v>
      </c>
      <c r="Q417" s="277">
        <f t="shared" si="57"/>
        <v>1.6986985041747546E-2</v>
      </c>
      <c r="R417" s="278">
        <f t="shared" si="58"/>
        <v>-5.8794819262311272E-3</v>
      </c>
      <c r="S417" s="277"/>
      <c r="T417" s="277"/>
    </row>
    <row r="418" spans="2:20" x14ac:dyDescent="0.3">
      <c r="B418" s="271">
        <v>44005</v>
      </c>
      <c r="C418" s="273">
        <v>5907.1</v>
      </c>
      <c r="D418" s="273">
        <v>110</v>
      </c>
      <c r="E418" s="273">
        <v>1683.9</v>
      </c>
      <c r="F418" s="274">
        <v>27.55</v>
      </c>
      <c r="H418" s="271">
        <v>44005</v>
      </c>
      <c r="I418" s="277">
        <f t="shared" si="51"/>
        <v>6.5090784515244943E-2</v>
      </c>
      <c r="J418" s="277">
        <f t="shared" si="52"/>
        <v>-4.5433893684686195E-4</v>
      </c>
      <c r="K418" s="277">
        <f t="shared" si="53"/>
        <v>1.9217383409496715E-2</v>
      </c>
      <c r="L418" s="278">
        <f t="shared" si="54"/>
        <v>-7.2072072072071813E-3</v>
      </c>
      <c r="N418" s="271">
        <v>44005</v>
      </c>
      <c r="O418" s="277">
        <f t="shared" si="55"/>
        <v>6.1864881783944878E-2</v>
      </c>
      <c r="P418" s="277">
        <f t="shared" si="56"/>
        <v>5.6399430575837604E-4</v>
      </c>
      <c r="Q418" s="277">
        <f t="shared" si="57"/>
        <v>1.7930100346467626E-2</v>
      </c>
      <c r="R418" s="278">
        <f t="shared" si="58"/>
        <v>-4.1581177048668795E-3</v>
      </c>
      <c r="S418" s="277"/>
      <c r="T418" s="277"/>
    </row>
    <row r="419" spans="2:20" x14ac:dyDescent="0.3">
      <c r="B419" s="271">
        <v>44006</v>
      </c>
      <c r="C419" s="273">
        <v>5661.6</v>
      </c>
      <c r="D419" s="273">
        <v>109.45</v>
      </c>
      <c r="E419" s="273">
        <v>1747.25</v>
      </c>
      <c r="F419" s="274">
        <v>27.05</v>
      </c>
      <c r="H419" s="271">
        <v>44006</v>
      </c>
      <c r="I419" s="277">
        <f t="shared" si="51"/>
        <v>-4.1560156421932927E-2</v>
      </c>
      <c r="J419" s="277">
        <f t="shared" si="52"/>
        <v>-4.9999999999999741E-3</v>
      </c>
      <c r="K419" s="277">
        <f t="shared" si="53"/>
        <v>3.7620998871666908E-2</v>
      </c>
      <c r="L419" s="278">
        <f t="shared" si="54"/>
        <v>-1.8148820326678767E-2</v>
      </c>
      <c r="N419" s="271">
        <v>44006</v>
      </c>
      <c r="O419" s="277">
        <f t="shared" si="55"/>
        <v>-4.4786059153232985E-2</v>
      </c>
      <c r="P419" s="277">
        <f t="shared" si="56"/>
        <v>-3.9816667573947364E-3</v>
      </c>
      <c r="Q419" s="277">
        <f t="shared" si="57"/>
        <v>3.6333715808637819E-2</v>
      </c>
      <c r="R419" s="278">
        <f t="shared" si="58"/>
        <v>-1.5099730824338466E-2</v>
      </c>
      <c r="S419" s="277"/>
      <c r="T419" s="277"/>
    </row>
    <row r="420" spans="2:20" x14ac:dyDescent="0.3">
      <c r="B420" s="271">
        <v>44007</v>
      </c>
      <c r="C420" s="273">
        <v>5693.65</v>
      </c>
      <c r="D420" s="273">
        <v>111.25</v>
      </c>
      <c r="E420" s="273">
        <v>1689</v>
      </c>
      <c r="F420" s="274">
        <v>27</v>
      </c>
      <c r="H420" s="271">
        <v>44007</v>
      </c>
      <c r="I420" s="277">
        <f t="shared" si="51"/>
        <v>5.6609439027835362E-3</v>
      </c>
      <c r="J420" s="277">
        <f t="shared" si="52"/>
        <v>1.6445865692096821E-2</v>
      </c>
      <c r="K420" s="277">
        <f t="shared" si="53"/>
        <v>-3.3338102732865929E-2</v>
      </c>
      <c r="L420" s="278">
        <f t="shared" si="54"/>
        <v>-1.8484288354898599E-3</v>
      </c>
      <c r="N420" s="271">
        <v>44007</v>
      </c>
      <c r="O420" s="277">
        <f t="shared" si="55"/>
        <v>2.4350411714834748E-3</v>
      </c>
      <c r="P420" s="277">
        <f t="shared" si="56"/>
        <v>1.7464198934702059E-2</v>
      </c>
      <c r="Q420" s="277">
        <f t="shared" si="57"/>
        <v>-3.4625385795895018E-2</v>
      </c>
      <c r="R420" s="278">
        <f t="shared" si="58"/>
        <v>1.2006606668504415E-3</v>
      </c>
      <c r="S420" s="277"/>
      <c r="T420" s="277"/>
    </row>
    <row r="421" spans="2:20" x14ac:dyDescent="0.3">
      <c r="B421" s="271">
        <v>44008</v>
      </c>
      <c r="C421" s="273">
        <v>5578.6</v>
      </c>
      <c r="D421" s="273">
        <v>109.95</v>
      </c>
      <c r="E421" s="273">
        <v>1686.75</v>
      </c>
      <c r="F421" s="274">
        <v>26.75</v>
      </c>
      <c r="H421" s="271">
        <v>44008</v>
      </c>
      <c r="I421" s="277">
        <f t="shared" si="51"/>
        <v>-2.0206721523100168E-2</v>
      </c>
      <c r="J421" s="277">
        <f t="shared" si="52"/>
        <v>-1.168539325842694E-2</v>
      </c>
      <c r="K421" s="277">
        <f t="shared" si="53"/>
        <v>-1.3321492007104796E-3</v>
      </c>
      <c r="L421" s="278">
        <f t="shared" si="54"/>
        <v>-9.2592592592592587E-3</v>
      </c>
      <c r="N421" s="271">
        <v>44008</v>
      </c>
      <c r="O421" s="277">
        <f t="shared" si="55"/>
        <v>-2.3432624254400229E-2</v>
      </c>
      <c r="P421" s="277">
        <f t="shared" si="56"/>
        <v>-1.0667060015821702E-2</v>
      </c>
      <c r="Q421" s="277">
        <f t="shared" si="57"/>
        <v>-2.619432263739568E-3</v>
      </c>
      <c r="R421" s="278">
        <f t="shared" si="58"/>
        <v>-6.2101697569189578E-3</v>
      </c>
      <c r="S421" s="277"/>
      <c r="T421" s="277"/>
    </row>
    <row r="422" spans="2:20" x14ac:dyDescent="0.3">
      <c r="B422" s="271">
        <v>44011</v>
      </c>
      <c r="C422" s="273">
        <v>5551.2</v>
      </c>
      <c r="D422" s="273">
        <v>107.95</v>
      </c>
      <c r="E422" s="273">
        <v>1691.95</v>
      </c>
      <c r="F422" s="274">
        <v>26.1</v>
      </c>
      <c r="H422" s="271">
        <v>44011</v>
      </c>
      <c r="I422" s="277">
        <f t="shared" si="51"/>
        <v>-4.911626572975396E-3</v>
      </c>
      <c r="J422" s="277">
        <f t="shared" si="52"/>
        <v>-1.8190086402910415E-2</v>
      </c>
      <c r="K422" s="277">
        <f t="shared" si="53"/>
        <v>3.0828516377649595E-3</v>
      </c>
      <c r="L422" s="278">
        <f t="shared" si="54"/>
        <v>-2.4299065420560696E-2</v>
      </c>
      <c r="N422" s="271">
        <v>44011</v>
      </c>
      <c r="O422" s="277">
        <f t="shared" si="55"/>
        <v>-8.1375293042754565E-3</v>
      </c>
      <c r="P422" s="277">
        <f t="shared" si="56"/>
        <v>-1.7171753160305177E-2</v>
      </c>
      <c r="Q422" s="277">
        <f t="shared" si="57"/>
        <v>1.7955685747358709E-3</v>
      </c>
      <c r="R422" s="278">
        <f t="shared" si="58"/>
        <v>-2.1249975918220393E-2</v>
      </c>
      <c r="S422" s="277"/>
      <c r="T422" s="277"/>
    </row>
    <row r="423" spans="2:20" x14ac:dyDescent="0.3">
      <c r="B423" s="271">
        <v>44012</v>
      </c>
      <c r="C423" s="273">
        <v>5758.9</v>
      </c>
      <c r="D423" s="273">
        <v>106.4</v>
      </c>
      <c r="E423" s="273">
        <v>1687.45</v>
      </c>
      <c r="F423" s="274">
        <v>25.6</v>
      </c>
      <c r="H423" s="271">
        <v>44012</v>
      </c>
      <c r="I423" s="277">
        <f t="shared" si="51"/>
        <v>3.7415333621559271E-2</v>
      </c>
      <c r="J423" s="277">
        <f t="shared" si="52"/>
        <v>-1.4358499305233878E-2</v>
      </c>
      <c r="K423" s="277">
        <f t="shared" si="53"/>
        <v>-2.6596530630337775E-3</v>
      </c>
      <c r="L423" s="278">
        <f t="shared" si="54"/>
        <v>-1.9157088122605363E-2</v>
      </c>
      <c r="N423" s="271">
        <v>44012</v>
      </c>
      <c r="O423" s="277">
        <f t="shared" si="55"/>
        <v>3.4189430890259206E-2</v>
      </c>
      <c r="P423" s="277">
        <f t="shared" si="56"/>
        <v>-1.3340166062628641E-2</v>
      </c>
      <c r="Q423" s="277">
        <f t="shared" si="57"/>
        <v>-3.9469361260628666E-3</v>
      </c>
      <c r="R423" s="278">
        <f t="shared" si="58"/>
        <v>-1.610799862026506E-2</v>
      </c>
      <c r="S423" s="277"/>
      <c r="T423" s="277"/>
    </row>
    <row r="424" spans="2:20" x14ac:dyDescent="0.3">
      <c r="B424" s="271">
        <v>44013</v>
      </c>
      <c r="C424" s="273">
        <v>5873.95</v>
      </c>
      <c r="D424" s="273">
        <v>107.7</v>
      </c>
      <c r="E424" s="273">
        <v>1688</v>
      </c>
      <c r="F424" s="274">
        <v>26.9</v>
      </c>
      <c r="H424" s="271">
        <v>44013</v>
      </c>
      <c r="I424" s="277">
        <f t="shared" si="51"/>
        <v>1.9977773533140043E-2</v>
      </c>
      <c r="J424" s="277">
        <f t="shared" si="52"/>
        <v>1.2218045112781928E-2</v>
      </c>
      <c r="K424" s="277">
        <f t="shared" si="53"/>
        <v>3.2593558327651456E-4</v>
      </c>
      <c r="L424" s="278">
        <f t="shared" si="54"/>
        <v>5.0781249999999889E-2</v>
      </c>
      <c r="N424" s="271">
        <v>44013</v>
      </c>
      <c r="O424" s="277">
        <f t="shared" si="55"/>
        <v>1.6751870801839982E-2</v>
      </c>
      <c r="P424" s="277">
        <f t="shared" si="56"/>
        <v>1.3236378355387166E-2</v>
      </c>
      <c r="Q424" s="277">
        <f t="shared" si="57"/>
        <v>-9.6134747975257402E-4</v>
      </c>
      <c r="R424" s="278">
        <f t="shared" si="58"/>
        <v>5.3830339502340188E-2</v>
      </c>
      <c r="S424" s="277"/>
      <c r="T424" s="277"/>
    </row>
    <row r="425" spans="2:20" x14ac:dyDescent="0.3">
      <c r="B425" s="271">
        <v>44014</v>
      </c>
      <c r="C425" s="273">
        <v>5958</v>
      </c>
      <c r="D425" s="273">
        <v>106.4</v>
      </c>
      <c r="E425" s="273">
        <v>1686.45</v>
      </c>
      <c r="F425" s="274">
        <v>26.25</v>
      </c>
      <c r="H425" s="271">
        <v>44014</v>
      </c>
      <c r="I425" s="277">
        <f t="shared" si="51"/>
        <v>1.4308940321248936E-2</v>
      </c>
      <c r="J425" s="277">
        <f t="shared" si="52"/>
        <v>-1.2070566388115107E-2</v>
      </c>
      <c r="K425" s="277">
        <f t="shared" si="53"/>
        <v>-9.1824644549760338E-4</v>
      </c>
      <c r="L425" s="278">
        <f t="shared" si="54"/>
        <v>-2.416356877323415E-2</v>
      </c>
      <c r="N425" s="271">
        <v>44014</v>
      </c>
      <c r="O425" s="277">
        <f t="shared" si="55"/>
        <v>1.1083037589948875E-2</v>
      </c>
      <c r="P425" s="277">
        <f t="shared" si="56"/>
        <v>-1.105223314550987E-2</v>
      </c>
      <c r="Q425" s="277">
        <f t="shared" si="57"/>
        <v>-2.205529508526692E-3</v>
      </c>
      <c r="R425" s="278">
        <f t="shared" si="58"/>
        <v>-2.1114479270893848E-2</v>
      </c>
      <c r="S425" s="277"/>
      <c r="T425" s="277"/>
    </row>
    <row r="426" spans="2:20" x14ac:dyDescent="0.3">
      <c r="B426" s="271">
        <v>44015</v>
      </c>
      <c r="C426" s="273">
        <v>5983.4</v>
      </c>
      <c r="D426" s="273">
        <v>106.45</v>
      </c>
      <c r="E426" s="273">
        <v>1695.65</v>
      </c>
      <c r="F426" s="274">
        <v>26.15</v>
      </c>
      <c r="H426" s="271">
        <v>44015</v>
      </c>
      <c r="I426" s="277">
        <f t="shared" si="51"/>
        <v>4.2631755622691567E-3</v>
      </c>
      <c r="J426" s="277">
        <f t="shared" si="52"/>
        <v>4.6992481203004844E-4</v>
      </c>
      <c r="K426" s="277">
        <f t="shared" si="53"/>
        <v>5.4552462272821874E-3</v>
      </c>
      <c r="L426" s="278">
        <f t="shared" si="54"/>
        <v>-3.8095238095238637E-3</v>
      </c>
      <c r="N426" s="271">
        <v>44015</v>
      </c>
      <c r="O426" s="277">
        <f t="shared" si="55"/>
        <v>1.0372728309690953E-3</v>
      </c>
      <c r="P426" s="277">
        <f t="shared" si="56"/>
        <v>1.4882580546352864E-3</v>
      </c>
      <c r="Q426" s="277">
        <f t="shared" si="57"/>
        <v>4.1679631642530992E-3</v>
      </c>
      <c r="R426" s="278">
        <f t="shared" si="58"/>
        <v>-7.6043430718356238E-4</v>
      </c>
      <c r="S426" s="277"/>
      <c r="T426" s="277"/>
    </row>
    <row r="427" spans="2:20" x14ac:dyDescent="0.3">
      <c r="B427" s="271">
        <v>44018</v>
      </c>
      <c r="C427" s="273">
        <v>5967.35</v>
      </c>
      <c r="D427" s="273">
        <v>110.25</v>
      </c>
      <c r="E427" s="273">
        <v>1708.85</v>
      </c>
      <c r="F427" s="274">
        <v>26.05</v>
      </c>
      <c r="H427" s="271">
        <v>44018</v>
      </c>
      <c r="I427" s="277">
        <f t="shared" si="51"/>
        <v>-2.6824213657785328E-3</v>
      </c>
      <c r="J427" s="277">
        <f t="shared" si="52"/>
        <v>3.5697510568341917E-2</v>
      </c>
      <c r="K427" s="277">
        <f t="shared" si="53"/>
        <v>7.7846253649042066E-3</v>
      </c>
      <c r="L427" s="278">
        <f t="shared" si="54"/>
        <v>-3.8240917782025956E-3</v>
      </c>
      <c r="N427" s="271">
        <v>44018</v>
      </c>
      <c r="O427" s="277">
        <f t="shared" si="55"/>
        <v>-5.9083240970785947E-3</v>
      </c>
      <c r="P427" s="277">
        <f t="shared" si="56"/>
        <v>3.6715843810947155E-2</v>
      </c>
      <c r="Q427" s="277">
        <f t="shared" si="57"/>
        <v>6.4973423018751184E-3</v>
      </c>
      <c r="R427" s="278">
        <f t="shared" si="58"/>
        <v>-7.7500227586229428E-4</v>
      </c>
      <c r="S427" s="277"/>
      <c r="T427" s="277"/>
    </row>
    <row r="428" spans="2:20" x14ac:dyDescent="0.3">
      <c r="B428" s="271">
        <v>44019</v>
      </c>
      <c r="C428" s="273">
        <v>5881.55</v>
      </c>
      <c r="D428" s="273">
        <v>107.6</v>
      </c>
      <c r="E428" s="273">
        <v>1745.75</v>
      </c>
      <c r="F428" s="274">
        <v>25.75</v>
      </c>
      <c r="H428" s="271">
        <v>44019</v>
      </c>
      <c r="I428" s="277">
        <f t="shared" si="51"/>
        <v>-1.4378241598029305E-2</v>
      </c>
      <c r="J428" s="277">
        <f t="shared" si="52"/>
        <v>-2.4036281179138374E-2</v>
      </c>
      <c r="K428" s="277">
        <f t="shared" si="53"/>
        <v>2.1593469292214118E-2</v>
      </c>
      <c r="L428" s="278">
        <f t="shared" si="54"/>
        <v>-1.151631477927066E-2</v>
      </c>
      <c r="N428" s="271">
        <v>44019</v>
      </c>
      <c r="O428" s="277">
        <f t="shared" si="55"/>
        <v>-1.7604144329329365E-2</v>
      </c>
      <c r="P428" s="277">
        <f t="shared" si="56"/>
        <v>-2.3017947936533136E-2</v>
      </c>
      <c r="Q428" s="277">
        <f t="shared" si="57"/>
        <v>2.0306186229185029E-2</v>
      </c>
      <c r="R428" s="278">
        <f t="shared" si="58"/>
        <v>-8.467225276930359E-3</v>
      </c>
      <c r="S428" s="277"/>
      <c r="T428" s="277"/>
    </row>
    <row r="429" spans="2:20" x14ac:dyDescent="0.3">
      <c r="B429" s="271">
        <v>44020</v>
      </c>
      <c r="C429" s="273">
        <v>6086.4</v>
      </c>
      <c r="D429" s="273">
        <v>110.4</v>
      </c>
      <c r="E429" s="273">
        <v>1686.25</v>
      </c>
      <c r="F429" s="274">
        <v>26.05</v>
      </c>
      <c r="H429" s="271">
        <v>44020</v>
      </c>
      <c r="I429" s="277">
        <f t="shared" si="51"/>
        <v>3.4829254193197275E-2</v>
      </c>
      <c r="J429" s="277">
        <f t="shared" si="52"/>
        <v>2.6022304832713863E-2</v>
      </c>
      <c r="K429" s="277">
        <f t="shared" si="53"/>
        <v>-3.4082772447372192E-2</v>
      </c>
      <c r="L429" s="278">
        <f t="shared" si="54"/>
        <v>1.1650485436893232E-2</v>
      </c>
      <c r="N429" s="271">
        <v>44020</v>
      </c>
      <c r="O429" s="277">
        <f t="shared" si="55"/>
        <v>3.1603351461897217E-2</v>
      </c>
      <c r="P429" s="277">
        <f t="shared" si="56"/>
        <v>2.70406380753191E-2</v>
      </c>
      <c r="Q429" s="277">
        <f t="shared" si="57"/>
        <v>-3.5370055510401281E-2</v>
      </c>
      <c r="R429" s="278">
        <f t="shared" si="58"/>
        <v>1.4699574939233533E-2</v>
      </c>
      <c r="S429" s="277"/>
      <c r="T429" s="277"/>
    </row>
    <row r="430" spans="2:20" x14ac:dyDescent="0.3">
      <c r="B430" s="271">
        <v>44021</v>
      </c>
      <c r="C430" s="273">
        <v>6220.55</v>
      </c>
      <c r="D430" s="273">
        <v>112</v>
      </c>
      <c r="E430" s="273">
        <v>1717.25</v>
      </c>
      <c r="F430" s="274">
        <v>26.65</v>
      </c>
      <c r="H430" s="271">
        <v>44021</v>
      </c>
      <c r="I430" s="277">
        <f t="shared" si="51"/>
        <v>2.2040943743428063E-2</v>
      </c>
      <c r="J430" s="277">
        <f t="shared" si="52"/>
        <v>1.4492753623188354E-2</v>
      </c>
      <c r="K430" s="277">
        <f t="shared" si="53"/>
        <v>1.8383988139362491E-2</v>
      </c>
      <c r="L430" s="278">
        <f t="shared" si="54"/>
        <v>2.3032629558541184E-2</v>
      </c>
      <c r="N430" s="271">
        <v>44021</v>
      </c>
      <c r="O430" s="277">
        <f t="shared" si="55"/>
        <v>1.8815041012128001E-2</v>
      </c>
      <c r="P430" s="277">
        <f t="shared" si="56"/>
        <v>1.5511086865793592E-2</v>
      </c>
      <c r="Q430" s="277">
        <f t="shared" si="57"/>
        <v>1.7096705076333402E-2</v>
      </c>
      <c r="R430" s="278">
        <f t="shared" si="58"/>
        <v>2.6081719060881487E-2</v>
      </c>
      <c r="S430" s="277"/>
      <c r="T430" s="277"/>
    </row>
    <row r="431" spans="2:20" x14ac:dyDescent="0.3">
      <c r="B431" s="271">
        <v>44022</v>
      </c>
      <c r="C431" s="273">
        <v>6230.1</v>
      </c>
      <c r="D431" s="273">
        <v>110.35</v>
      </c>
      <c r="E431" s="273">
        <v>1703.5</v>
      </c>
      <c r="F431" s="274">
        <v>25.55</v>
      </c>
      <c r="H431" s="271">
        <v>44022</v>
      </c>
      <c r="I431" s="277">
        <f t="shared" si="51"/>
        <v>1.5352340227150624E-3</v>
      </c>
      <c r="J431" s="277">
        <f t="shared" si="52"/>
        <v>-1.4732142857142907E-2</v>
      </c>
      <c r="K431" s="277">
        <f t="shared" si="53"/>
        <v>-8.0069879167273261E-3</v>
      </c>
      <c r="L431" s="278">
        <f t="shared" si="54"/>
        <v>-4.1275797373358271E-2</v>
      </c>
      <c r="N431" s="271">
        <v>44022</v>
      </c>
      <c r="O431" s="277">
        <f t="shared" si="55"/>
        <v>-1.690668708584999E-3</v>
      </c>
      <c r="P431" s="277">
        <f t="shared" si="56"/>
        <v>-1.3713809614537669E-2</v>
      </c>
      <c r="Q431" s="277">
        <f t="shared" si="57"/>
        <v>-9.2942709797564152E-3</v>
      </c>
      <c r="R431" s="278">
        <f t="shared" si="58"/>
        <v>-3.8226707871017972E-2</v>
      </c>
      <c r="S431" s="277"/>
      <c r="T431" s="277"/>
    </row>
    <row r="432" spans="2:20" x14ac:dyDescent="0.3">
      <c r="B432" s="271">
        <v>44025</v>
      </c>
      <c r="C432" s="273">
        <v>6467.8</v>
      </c>
      <c r="D432" s="273">
        <v>112.4</v>
      </c>
      <c r="E432" s="273">
        <v>1705.65</v>
      </c>
      <c r="F432" s="274">
        <v>22.05</v>
      </c>
      <c r="H432" s="271">
        <v>44025</v>
      </c>
      <c r="I432" s="277">
        <f t="shared" si="51"/>
        <v>3.8153480682493024E-2</v>
      </c>
      <c r="J432" s="277">
        <f t="shared" si="52"/>
        <v>1.857725419120989E-2</v>
      </c>
      <c r="K432" s="277">
        <f t="shared" si="53"/>
        <v>1.2621074258879312E-3</v>
      </c>
      <c r="L432" s="278">
        <f t="shared" si="54"/>
        <v>-0.13698630136986301</v>
      </c>
      <c r="N432" s="271">
        <v>44025</v>
      </c>
      <c r="O432" s="277">
        <f t="shared" si="55"/>
        <v>3.4927577951192959E-2</v>
      </c>
      <c r="P432" s="277">
        <f t="shared" si="56"/>
        <v>1.9595587433815127E-2</v>
      </c>
      <c r="Q432" s="277">
        <f t="shared" si="57"/>
        <v>-2.5175637141157435E-5</v>
      </c>
      <c r="R432" s="278">
        <f t="shared" si="58"/>
        <v>-0.13393721186752269</v>
      </c>
      <c r="S432" s="277"/>
      <c r="T432" s="277"/>
    </row>
    <row r="433" spans="2:20" x14ac:dyDescent="0.3">
      <c r="B433" s="271">
        <v>44026</v>
      </c>
      <c r="C433" s="273">
        <v>6362</v>
      </c>
      <c r="D433" s="273">
        <v>108.9</v>
      </c>
      <c r="E433" s="273">
        <v>1688.4</v>
      </c>
      <c r="F433" s="274">
        <v>20.95</v>
      </c>
      <c r="H433" s="271">
        <v>44026</v>
      </c>
      <c r="I433" s="277">
        <f t="shared" si="51"/>
        <v>-1.6357957883669901E-2</v>
      </c>
      <c r="J433" s="277">
        <f t="shared" si="52"/>
        <v>-3.1138790035587186E-2</v>
      </c>
      <c r="K433" s="277">
        <f t="shared" si="53"/>
        <v>-1.0113446486676633E-2</v>
      </c>
      <c r="L433" s="278">
        <f t="shared" si="54"/>
        <v>-4.9886621315192808E-2</v>
      </c>
      <c r="N433" s="271">
        <v>44026</v>
      </c>
      <c r="O433" s="277">
        <f t="shared" si="55"/>
        <v>-1.9583860614969962E-2</v>
      </c>
      <c r="P433" s="277">
        <f t="shared" si="56"/>
        <v>-3.0120456792981948E-2</v>
      </c>
      <c r="Q433" s="277">
        <f t="shared" si="57"/>
        <v>-1.1400729549705722E-2</v>
      </c>
      <c r="R433" s="278">
        <f t="shared" si="58"/>
        <v>-4.6837531812852509E-2</v>
      </c>
      <c r="S433" s="277"/>
      <c r="T433" s="277"/>
    </row>
    <row r="434" spans="2:20" x14ac:dyDescent="0.3">
      <c r="B434" s="271">
        <v>44027</v>
      </c>
      <c r="C434" s="273">
        <v>6467.05</v>
      </c>
      <c r="D434" s="273">
        <v>109.1</v>
      </c>
      <c r="E434" s="273">
        <v>1671.65</v>
      </c>
      <c r="F434" s="274">
        <v>20.45</v>
      </c>
      <c r="H434" s="271">
        <v>44027</v>
      </c>
      <c r="I434" s="277">
        <f t="shared" si="51"/>
        <v>1.6512103112228886E-2</v>
      </c>
      <c r="J434" s="277">
        <f t="shared" si="52"/>
        <v>1.8365472910926411E-3</v>
      </c>
      <c r="K434" s="277">
        <f t="shared" si="53"/>
        <v>-9.9206349206349201E-3</v>
      </c>
      <c r="L434" s="278">
        <f t="shared" si="54"/>
        <v>-2.386634844868735E-2</v>
      </c>
      <c r="N434" s="271">
        <v>44027</v>
      </c>
      <c r="O434" s="277">
        <f t="shared" si="55"/>
        <v>1.3286200380928825E-2</v>
      </c>
      <c r="P434" s="277">
        <f t="shared" si="56"/>
        <v>2.854880533697879E-3</v>
      </c>
      <c r="Q434" s="277">
        <f t="shared" si="57"/>
        <v>-1.1207917983664009E-2</v>
      </c>
      <c r="R434" s="278">
        <f t="shared" si="58"/>
        <v>-2.0817258946347048E-2</v>
      </c>
      <c r="S434" s="277"/>
      <c r="T434" s="277"/>
    </row>
    <row r="435" spans="2:20" x14ac:dyDescent="0.3">
      <c r="B435" s="271">
        <v>44028</v>
      </c>
      <c r="C435" s="273">
        <v>6448.5</v>
      </c>
      <c r="D435" s="273">
        <v>108.9</v>
      </c>
      <c r="E435" s="273">
        <v>1693.2</v>
      </c>
      <c r="F435" s="274">
        <v>19.2</v>
      </c>
      <c r="H435" s="271">
        <v>44028</v>
      </c>
      <c r="I435" s="277">
        <f t="shared" si="51"/>
        <v>-2.8683866678006482E-3</v>
      </c>
      <c r="J435" s="277">
        <f t="shared" si="52"/>
        <v>-1.8331805682858721E-3</v>
      </c>
      <c r="K435" s="277">
        <f t="shared" si="53"/>
        <v>1.2891454550892802E-2</v>
      </c>
      <c r="L435" s="278">
        <f t="shared" si="54"/>
        <v>-6.1124694376528121E-2</v>
      </c>
      <c r="N435" s="271">
        <v>44028</v>
      </c>
      <c r="O435" s="277">
        <f t="shared" si="55"/>
        <v>-6.0942893991007101E-3</v>
      </c>
      <c r="P435" s="277">
        <f t="shared" si="56"/>
        <v>-8.1484732568063421E-4</v>
      </c>
      <c r="Q435" s="277">
        <f t="shared" si="57"/>
        <v>1.1604171487863713E-2</v>
      </c>
      <c r="R435" s="278">
        <f t="shared" si="58"/>
        <v>-5.8075604874187822E-2</v>
      </c>
      <c r="S435" s="277"/>
      <c r="T435" s="277"/>
    </row>
    <row r="436" spans="2:20" x14ac:dyDescent="0.3">
      <c r="B436" s="271">
        <v>44029</v>
      </c>
      <c r="C436" s="273">
        <v>6469.25</v>
      </c>
      <c r="D436" s="273">
        <v>109.15</v>
      </c>
      <c r="E436" s="273">
        <v>1717.9</v>
      </c>
      <c r="F436" s="274">
        <v>19.8</v>
      </c>
      <c r="H436" s="271">
        <v>44029</v>
      </c>
      <c r="I436" s="277">
        <f t="shared" si="51"/>
        <v>3.217802589749554E-3</v>
      </c>
      <c r="J436" s="277">
        <f t="shared" si="52"/>
        <v>2.295684113865932E-3</v>
      </c>
      <c r="K436" s="277">
        <f t="shared" si="53"/>
        <v>1.4587762815969787E-2</v>
      </c>
      <c r="L436" s="278">
        <f t="shared" si="54"/>
        <v>3.1250000000000076E-2</v>
      </c>
      <c r="N436" s="271">
        <v>44029</v>
      </c>
      <c r="O436" s="277">
        <f t="shared" si="55"/>
        <v>-8.1001415505074607E-6</v>
      </c>
      <c r="P436" s="277">
        <f t="shared" si="56"/>
        <v>3.3140173564711701E-3</v>
      </c>
      <c r="Q436" s="277">
        <f t="shared" si="57"/>
        <v>1.3300479752940698E-2</v>
      </c>
      <c r="R436" s="278">
        <f t="shared" si="58"/>
        <v>3.4299089502340376E-2</v>
      </c>
      <c r="S436" s="277"/>
      <c r="T436" s="277"/>
    </row>
    <row r="437" spans="2:20" x14ac:dyDescent="0.3">
      <c r="B437" s="271">
        <v>44032</v>
      </c>
      <c r="C437" s="273">
        <v>6831.25</v>
      </c>
      <c r="D437" s="273">
        <v>108.1</v>
      </c>
      <c r="E437" s="273">
        <v>1751.6</v>
      </c>
      <c r="F437" s="274">
        <v>19.45</v>
      </c>
      <c r="H437" s="271">
        <v>44032</v>
      </c>
      <c r="I437" s="277">
        <f t="shared" si="51"/>
        <v>5.5957027476137108E-2</v>
      </c>
      <c r="J437" s="277">
        <f t="shared" si="52"/>
        <v>-9.6197892808063332E-3</v>
      </c>
      <c r="K437" s="277">
        <f t="shared" si="53"/>
        <v>1.9616974212701449E-2</v>
      </c>
      <c r="L437" s="278">
        <f t="shared" si="54"/>
        <v>-1.7676767676767749E-2</v>
      </c>
      <c r="N437" s="271">
        <v>44032</v>
      </c>
      <c r="O437" s="277">
        <f t="shared" si="55"/>
        <v>5.2731124744837043E-2</v>
      </c>
      <c r="P437" s="277">
        <f t="shared" si="56"/>
        <v>-8.6014560382010954E-3</v>
      </c>
      <c r="Q437" s="277">
        <f t="shared" si="57"/>
        <v>1.832969114967236E-2</v>
      </c>
      <c r="R437" s="278">
        <f t="shared" si="58"/>
        <v>-1.4627678174427448E-2</v>
      </c>
      <c r="S437" s="277"/>
      <c r="T437" s="277"/>
    </row>
    <row r="438" spans="2:20" x14ac:dyDescent="0.3">
      <c r="B438" s="271">
        <v>44033</v>
      </c>
      <c r="C438" s="273">
        <v>7120.35</v>
      </c>
      <c r="D438" s="273">
        <v>110.8</v>
      </c>
      <c r="E438" s="273">
        <v>1724.25</v>
      </c>
      <c r="F438" s="274">
        <v>19.3</v>
      </c>
      <c r="H438" s="271">
        <v>44033</v>
      </c>
      <c r="I438" s="277">
        <f t="shared" si="51"/>
        <v>4.2320219579140034E-2</v>
      </c>
      <c r="J438" s="277">
        <f t="shared" si="52"/>
        <v>2.4976873265494939E-2</v>
      </c>
      <c r="K438" s="277">
        <f t="shared" si="53"/>
        <v>-1.5614295501255943E-2</v>
      </c>
      <c r="L438" s="278">
        <f t="shared" si="54"/>
        <v>-7.7120822622107239E-3</v>
      </c>
      <c r="N438" s="271">
        <v>44033</v>
      </c>
      <c r="O438" s="277">
        <f t="shared" si="55"/>
        <v>3.9094316847839969E-2</v>
      </c>
      <c r="P438" s="277">
        <f t="shared" si="56"/>
        <v>2.5995206508100176E-2</v>
      </c>
      <c r="Q438" s="277">
        <f t="shared" si="57"/>
        <v>-1.6901578564285032E-2</v>
      </c>
      <c r="R438" s="278">
        <f t="shared" si="58"/>
        <v>-4.662992759870423E-3</v>
      </c>
      <c r="S438" s="277"/>
      <c r="T438" s="277"/>
    </row>
    <row r="439" spans="2:20" x14ac:dyDescent="0.3">
      <c r="B439" s="271">
        <v>44034</v>
      </c>
      <c r="C439" s="273">
        <v>7376.15</v>
      </c>
      <c r="D439" s="273">
        <v>112.1</v>
      </c>
      <c r="E439" s="273">
        <v>1695.75</v>
      </c>
      <c r="F439" s="274">
        <v>18.25</v>
      </c>
      <c r="H439" s="271">
        <v>44034</v>
      </c>
      <c r="I439" s="277">
        <f t="shared" si="51"/>
        <v>3.5925200306164619E-2</v>
      </c>
      <c r="J439" s="277">
        <f t="shared" si="52"/>
        <v>1.1732851985559541E-2</v>
      </c>
      <c r="K439" s="277">
        <f t="shared" si="53"/>
        <v>-1.6528925619834711E-2</v>
      </c>
      <c r="L439" s="278">
        <f t="shared" si="54"/>
        <v>-5.4404145077720241E-2</v>
      </c>
      <c r="N439" s="271">
        <v>44034</v>
      </c>
      <c r="O439" s="277">
        <f t="shared" si="55"/>
        <v>3.2699297574864561E-2</v>
      </c>
      <c r="P439" s="277">
        <f t="shared" si="56"/>
        <v>1.2751185228164779E-2</v>
      </c>
      <c r="Q439" s="277">
        <f t="shared" si="57"/>
        <v>-1.78162086828638E-2</v>
      </c>
      <c r="R439" s="278">
        <f t="shared" si="58"/>
        <v>-5.1355055575379942E-2</v>
      </c>
      <c r="S439" s="277"/>
      <c r="T439" s="277"/>
    </row>
    <row r="440" spans="2:20" x14ac:dyDescent="0.3">
      <c r="B440" s="271">
        <v>44035</v>
      </c>
      <c r="C440" s="273">
        <v>7648.15</v>
      </c>
      <c r="D440" s="273">
        <v>113.95</v>
      </c>
      <c r="E440" s="273">
        <v>1727.8</v>
      </c>
      <c r="F440" s="274">
        <v>14.75</v>
      </c>
      <c r="H440" s="271">
        <v>44035</v>
      </c>
      <c r="I440" s="277">
        <f t="shared" si="51"/>
        <v>3.6875605837733777E-2</v>
      </c>
      <c r="J440" s="277">
        <f t="shared" si="52"/>
        <v>1.6503122212310515E-2</v>
      </c>
      <c r="K440" s="277">
        <f t="shared" si="53"/>
        <v>1.8900191655609584E-2</v>
      </c>
      <c r="L440" s="278">
        <f t="shared" si="54"/>
        <v>-0.19178082191780821</v>
      </c>
      <c r="N440" s="271">
        <v>44035</v>
      </c>
      <c r="O440" s="277">
        <f t="shared" si="55"/>
        <v>3.3649703106433712E-2</v>
      </c>
      <c r="P440" s="277">
        <f t="shared" si="56"/>
        <v>1.7521455454915753E-2</v>
      </c>
      <c r="Q440" s="277">
        <f t="shared" si="57"/>
        <v>1.7612908592580495E-2</v>
      </c>
      <c r="R440" s="278">
        <f t="shared" si="58"/>
        <v>-0.1887317324154679</v>
      </c>
      <c r="S440" s="277"/>
      <c r="T440" s="277"/>
    </row>
    <row r="441" spans="2:20" x14ac:dyDescent="0.3">
      <c r="B441" s="271">
        <v>44036</v>
      </c>
      <c r="C441" s="273">
        <v>7686.75</v>
      </c>
      <c r="D441" s="273">
        <v>112.05</v>
      </c>
      <c r="E441" s="273">
        <v>1712.05</v>
      </c>
      <c r="F441" s="274">
        <v>13.65</v>
      </c>
      <c r="H441" s="271">
        <v>44036</v>
      </c>
      <c r="I441" s="277">
        <f t="shared" si="51"/>
        <v>5.0469721435903274E-3</v>
      </c>
      <c r="J441" s="277">
        <f t="shared" si="52"/>
        <v>-1.6673979815708694E-2</v>
      </c>
      <c r="K441" s="277">
        <f t="shared" si="53"/>
        <v>-9.1156383840722312E-3</v>
      </c>
      <c r="L441" s="278">
        <f t="shared" si="54"/>
        <v>-7.4576271186440654E-2</v>
      </c>
      <c r="N441" s="271">
        <v>44036</v>
      </c>
      <c r="O441" s="277">
        <f t="shared" si="55"/>
        <v>1.821069412290266E-3</v>
      </c>
      <c r="P441" s="277">
        <f t="shared" si="56"/>
        <v>-1.5655646573103456E-2</v>
      </c>
      <c r="Q441" s="277">
        <f t="shared" si="57"/>
        <v>-1.040292144710132E-2</v>
      </c>
      <c r="R441" s="278">
        <f t="shared" si="58"/>
        <v>-7.1527181684100355E-2</v>
      </c>
      <c r="S441" s="277"/>
      <c r="T441" s="277"/>
    </row>
    <row r="442" spans="2:20" x14ac:dyDescent="0.3">
      <c r="B442" s="271">
        <v>44039</v>
      </c>
      <c r="C442" s="273">
        <v>7370.95</v>
      </c>
      <c r="D442" s="273">
        <v>109.85</v>
      </c>
      <c r="E442" s="273">
        <v>1778.15</v>
      </c>
      <c r="F442" s="274">
        <v>12.3</v>
      </c>
      <c r="H442" s="271">
        <v>44039</v>
      </c>
      <c r="I442" s="277">
        <f t="shared" si="51"/>
        <v>-4.1083682960939304E-2</v>
      </c>
      <c r="J442" s="277">
        <f t="shared" si="52"/>
        <v>-1.9634091923248574E-2</v>
      </c>
      <c r="K442" s="277">
        <f t="shared" si="53"/>
        <v>3.8608685493998506E-2</v>
      </c>
      <c r="L442" s="278">
        <f t="shared" si="54"/>
        <v>-9.8901098901098869E-2</v>
      </c>
      <c r="N442" s="271">
        <v>44039</v>
      </c>
      <c r="O442" s="277">
        <f t="shared" si="55"/>
        <v>-4.4309585692239362E-2</v>
      </c>
      <c r="P442" s="277">
        <f t="shared" si="56"/>
        <v>-1.8615758680643336E-2</v>
      </c>
      <c r="Q442" s="277">
        <f t="shared" si="57"/>
        <v>3.7321402430969416E-2</v>
      </c>
      <c r="R442" s="278">
        <f t="shared" si="58"/>
        <v>-9.585200939875857E-2</v>
      </c>
      <c r="S442" s="277"/>
      <c r="T442" s="277"/>
    </row>
    <row r="443" spans="2:20" x14ac:dyDescent="0.3">
      <c r="B443" s="271">
        <v>44040</v>
      </c>
      <c r="C443" s="273">
        <v>7089.4</v>
      </c>
      <c r="D443" s="273">
        <v>110.85</v>
      </c>
      <c r="E443" s="273">
        <v>1759.65</v>
      </c>
      <c r="F443" s="274">
        <v>11.9</v>
      </c>
      <c r="H443" s="271">
        <v>44040</v>
      </c>
      <c r="I443" s="277">
        <f t="shared" si="51"/>
        <v>-3.819724730190819E-2</v>
      </c>
      <c r="J443" s="277">
        <f t="shared" si="52"/>
        <v>9.1033227127901694E-3</v>
      </c>
      <c r="K443" s="277">
        <f t="shared" si="53"/>
        <v>-1.0404071647498804E-2</v>
      </c>
      <c r="L443" s="278">
        <f t="shared" si="54"/>
        <v>-3.2520325203252057E-2</v>
      </c>
      <c r="N443" s="271">
        <v>44040</v>
      </c>
      <c r="O443" s="277">
        <f t="shared" si="55"/>
        <v>-4.1423150033208248E-2</v>
      </c>
      <c r="P443" s="277">
        <f t="shared" si="56"/>
        <v>1.0121655955395407E-2</v>
      </c>
      <c r="Q443" s="277">
        <f t="shared" si="57"/>
        <v>-1.1691354710527893E-2</v>
      </c>
      <c r="R443" s="278">
        <f t="shared" si="58"/>
        <v>-2.9471235700911754E-2</v>
      </c>
      <c r="S443" s="277"/>
      <c r="T443" s="277"/>
    </row>
    <row r="444" spans="2:20" x14ac:dyDescent="0.3">
      <c r="B444" s="271">
        <v>44041</v>
      </c>
      <c r="C444" s="273">
        <v>7250.7</v>
      </c>
      <c r="D444" s="273">
        <v>110</v>
      </c>
      <c r="E444" s="273">
        <v>1740.15</v>
      </c>
      <c r="F444" s="274">
        <v>11.7</v>
      </c>
      <c r="H444" s="271">
        <v>44041</v>
      </c>
      <c r="I444" s="277">
        <f t="shared" si="51"/>
        <v>2.2752278048918131E-2</v>
      </c>
      <c r="J444" s="277">
        <f t="shared" si="52"/>
        <v>-7.6680198466395526E-3</v>
      </c>
      <c r="K444" s="277">
        <f t="shared" si="53"/>
        <v>-1.108174921149092E-2</v>
      </c>
      <c r="L444" s="278">
        <f t="shared" si="54"/>
        <v>-1.680672268907572E-2</v>
      </c>
      <c r="N444" s="271">
        <v>44041</v>
      </c>
      <c r="O444" s="277">
        <f t="shared" si="55"/>
        <v>1.9526375317618069E-2</v>
      </c>
      <c r="P444" s="277">
        <f t="shared" si="56"/>
        <v>-6.6496866040343149E-3</v>
      </c>
      <c r="Q444" s="277">
        <f t="shared" si="57"/>
        <v>-1.2369032274520009E-2</v>
      </c>
      <c r="R444" s="278">
        <f t="shared" si="58"/>
        <v>-1.3757633186735419E-2</v>
      </c>
      <c r="S444" s="277"/>
      <c r="T444" s="277"/>
    </row>
    <row r="445" spans="2:20" x14ac:dyDescent="0.3">
      <c r="B445" s="271">
        <v>44042</v>
      </c>
      <c r="C445" s="273">
        <v>7051.25</v>
      </c>
      <c r="D445" s="273">
        <v>110.9</v>
      </c>
      <c r="E445" s="273">
        <v>1743.35</v>
      </c>
      <c r="F445" s="274">
        <v>11.95</v>
      </c>
      <c r="H445" s="271">
        <v>44042</v>
      </c>
      <c r="I445" s="277">
        <f t="shared" si="51"/>
        <v>-2.7507688912794603E-2</v>
      </c>
      <c r="J445" s="277">
        <f t="shared" si="52"/>
        <v>8.1818181818182328E-3</v>
      </c>
      <c r="K445" s="277">
        <f t="shared" si="53"/>
        <v>1.8389219320172501E-3</v>
      </c>
      <c r="L445" s="278">
        <f t="shared" si="54"/>
        <v>2.1367521367521368E-2</v>
      </c>
      <c r="N445" s="271">
        <v>44042</v>
      </c>
      <c r="O445" s="277">
        <f t="shared" si="55"/>
        <v>-3.0733591644094664E-2</v>
      </c>
      <c r="P445" s="277">
        <f t="shared" si="56"/>
        <v>9.2001514244234705E-3</v>
      </c>
      <c r="Q445" s="277">
        <f t="shared" si="57"/>
        <v>5.516388689881615E-4</v>
      </c>
      <c r="R445" s="278">
        <f t="shared" si="58"/>
        <v>2.4416610869861671E-2</v>
      </c>
      <c r="S445" s="277"/>
      <c r="T445" s="277"/>
    </row>
    <row r="446" spans="2:20" x14ac:dyDescent="0.3">
      <c r="B446" s="271">
        <v>44043</v>
      </c>
      <c r="C446" s="273">
        <v>7633.7</v>
      </c>
      <c r="D446" s="273">
        <v>113.8</v>
      </c>
      <c r="E446" s="273">
        <v>1715.5</v>
      </c>
      <c r="F446" s="274">
        <v>11.95</v>
      </c>
      <c r="H446" s="271">
        <v>44043</v>
      </c>
      <c r="I446" s="277">
        <f t="shared" si="51"/>
        <v>8.2602375465342992E-2</v>
      </c>
      <c r="J446" s="277">
        <f t="shared" si="52"/>
        <v>2.6149684400360609E-2</v>
      </c>
      <c r="K446" s="277">
        <f t="shared" si="53"/>
        <v>-1.5974990678865351E-2</v>
      </c>
      <c r="L446" s="278">
        <f t="shared" si="54"/>
        <v>0</v>
      </c>
      <c r="N446" s="271">
        <v>44043</v>
      </c>
      <c r="O446" s="277">
        <f t="shared" si="55"/>
        <v>7.9376472734042927E-2</v>
      </c>
      <c r="P446" s="277">
        <f t="shared" si="56"/>
        <v>2.7168017642965846E-2</v>
      </c>
      <c r="Q446" s="277">
        <f t="shared" si="57"/>
        <v>-1.726227374189444E-2</v>
      </c>
      <c r="R446" s="278">
        <f t="shared" si="58"/>
        <v>3.0490895023403014E-3</v>
      </c>
      <c r="S446" s="277"/>
      <c r="T446" s="277"/>
    </row>
    <row r="447" spans="2:20" x14ac:dyDescent="0.3">
      <c r="B447" s="271">
        <v>44046</v>
      </c>
      <c r="C447" s="273">
        <v>7968.4</v>
      </c>
      <c r="D447" s="273">
        <v>115.3</v>
      </c>
      <c r="E447" s="273">
        <v>1705.5</v>
      </c>
      <c r="F447" s="274">
        <v>12</v>
      </c>
      <c r="H447" s="271">
        <v>44046</v>
      </c>
      <c r="I447" s="277">
        <f t="shared" si="51"/>
        <v>4.3845055477684455E-2</v>
      </c>
      <c r="J447" s="277">
        <f t="shared" si="52"/>
        <v>1.3181019332161687E-2</v>
      </c>
      <c r="K447" s="277">
        <f t="shared" si="53"/>
        <v>-5.8292043136111919E-3</v>
      </c>
      <c r="L447" s="278">
        <f t="shared" si="54"/>
        <v>4.1841004184101013E-3</v>
      </c>
      <c r="N447" s="271">
        <v>44046</v>
      </c>
      <c r="O447" s="277">
        <f t="shared" si="55"/>
        <v>4.061915274638439E-2</v>
      </c>
      <c r="P447" s="277">
        <f t="shared" si="56"/>
        <v>1.4199352574766925E-2</v>
      </c>
      <c r="Q447" s="277">
        <f t="shared" si="57"/>
        <v>-7.1164873766402809E-3</v>
      </c>
      <c r="R447" s="278">
        <f t="shared" si="58"/>
        <v>7.2331899207504022E-3</v>
      </c>
      <c r="S447" s="277"/>
      <c r="T447" s="277"/>
    </row>
    <row r="448" spans="2:20" x14ac:dyDescent="0.3">
      <c r="B448" s="271">
        <v>44047</v>
      </c>
      <c r="C448" s="273">
        <v>7963.75</v>
      </c>
      <c r="D448" s="273">
        <v>119.05</v>
      </c>
      <c r="E448" s="273">
        <v>1713.95</v>
      </c>
      <c r="F448" s="274">
        <v>12.25</v>
      </c>
      <c r="H448" s="271">
        <v>44047</v>
      </c>
      <c r="I448" s="277">
        <f t="shared" si="51"/>
        <v>-5.8355504241750368E-4</v>
      </c>
      <c r="J448" s="277">
        <f t="shared" si="52"/>
        <v>3.2523850823937557E-2</v>
      </c>
      <c r="K448" s="277">
        <f t="shared" si="53"/>
        <v>4.9545587804163266E-3</v>
      </c>
      <c r="L448" s="278">
        <f t="shared" si="54"/>
        <v>2.0833333333333332E-2</v>
      </c>
      <c r="N448" s="271">
        <v>44047</v>
      </c>
      <c r="O448" s="277">
        <f t="shared" si="55"/>
        <v>-3.8094577737175653E-3</v>
      </c>
      <c r="P448" s="277">
        <f t="shared" si="56"/>
        <v>3.3542184066542795E-2</v>
      </c>
      <c r="Q448" s="277">
        <f t="shared" si="57"/>
        <v>3.6672757173872379E-3</v>
      </c>
      <c r="R448" s="278">
        <f t="shared" si="58"/>
        <v>2.3882422835673635E-2</v>
      </c>
      <c r="S448" s="277"/>
      <c r="T448" s="277"/>
    </row>
    <row r="449" spans="2:20" x14ac:dyDescent="0.3">
      <c r="B449" s="271">
        <v>44048</v>
      </c>
      <c r="C449" s="273">
        <v>7867.95</v>
      </c>
      <c r="D449" s="273">
        <v>121.95</v>
      </c>
      <c r="E449" s="273">
        <v>1716.3</v>
      </c>
      <c r="F449" s="274">
        <v>12.85</v>
      </c>
      <c r="H449" s="271">
        <v>44048</v>
      </c>
      <c r="I449" s="277">
        <f t="shared" si="51"/>
        <v>-1.202950871134832E-2</v>
      </c>
      <c r="J449" s="277">
        <f t="shared" si="52"/>
        <v>2.4359512809743855E-2</v>
      </c>
      <c r="K449" s="277">
        <f t="shared" si="53"/>
        <v>1.371101840777099E-3</v>
      </c>
      <c r="L449" s="278">
        <f t="shared" si="54"/>
        <v>4.8979591836734664E-2</v>
      </c>
      <c r="N449" s="271">
        <v>44048</v>
      </c>
      <c r="O449" s="277">
        <f t="shared" si="55"/>
        <v>-1.5255411442648381E-2</v>
      </c>
      <c r="P449" s="277">
        <f t="shared" si="56"/>
        <v>2.5377846052349093E-2</v>
      </c>
      <c r="Q449" s="277">
        <f t="shared" si="57"/>
        <v>8.3818777748010352E-5</v>
      </c>
      <c r="R449" s="278">
        <f t="shared" si="58"/>
        <v>5.2028681339074963E-2</v>
      </c>
      <c r="S449" s="277"/>
      <c r="T449" s="277"/>
    </row>
    <row r="450" spans="2:20" x14ac:dyDescent="0.3">
      <c r="B450" s="271">
        <v>44049</v>
      </c>
      <c r="C450" s="273">
        <v>7723.15</v>
      </c>
      <c r="D450" s="273">
        <v>122.75</v>
      </c>
      <c r="E450" s="273">
        <v>1727.55</v>
      </c>
      <c r="F450" s="274">
        <v>13.45</v>
      </c>
      <c r="H450" s="271">
        <v>44049</v>
      </c>
      <c r="I450" s="277">
        <f t="shared" si="51"/>
        <v>-1.8403777349881505E-2</v>
      </c>
      <c r="J450" s="277">
        <f t="shared" si="52"/>
        <v>6.5600656006559828E-3</v>
      </c>
      <c r="K450" s="277">
        <f t="shared" si="53"/>
        <v>6.5547981122181442E-3</v>
      </c>
      <c r="L450" s="278">
        <f t="shared" si="54"/>
        <v>4.6692607003891023E-2</v>
      </c>
      <c r="N450" s="271">
        <v>44049</v>
      </c>
      <c r="O450" s="277">
        <f t="shared" si="55"/>
        <v>-2.1629680081181567E-2</v>
      </c>
      <c r="P450" s="277">
        <f t="shared" si="56"/>
        <v>7.5783988432612205E-3</v>
      </c>
      <c r="Q450" s="277">
        <f t="shared" si="57"/>
        <v>5.267515049189056E-3</v>
      </c>
      <c r="R450" s="278">
        <f t="shared" si="58"/>
        <v>4.9741696506231323E-2</v>
      </c>
      <c r="S450" s="277"/>
      <c r="T450" s="277"/>
    </row>
    <row r="451" spans="2:20" x14ac:dyDescent="0.3">
      <c r="B451" s="271">
        <v>44050</v>
      </c>
      <c r="C451" s="273">
        <v>7786.55</v>
      </c>
      <c r="D451" s="273">
        <v>122.8</v>
      </c>
      <c r="E451" s="273">
        <v>1806.25</v>
      </c>
      <c r="F451" s="274">
        <v>14.1</v>
      </c>
      <c r="H451" s="271">
        <v>44050</v>
      </c>
      <c r="I451" s="277">
        <f t="shared" si="51"/>
        <v>8.2090856710021875E-3</v>
      </c>
      <c r="J451" s="277">
        <f t="shared" si="52"/>
        <v>4.0733197556005833E-4</v>
      </c>
      <c r="K451" s="277">
        <f t="shared" si="53"/>
        <v>4.5555844982779106E-2</v>
      </c>
      <c r="L451" s="278">
        <f t="shared" si="54"/>
        <v>4.8327137546468432E-2</v>
      </c>
      <c r="N451" s="271">
        <v>44050</v>
      </c>
      <c r="O451" s="277">
        <f t="shared" si="55"/>
        <v>4.9831829397021261E-3</v>
      </c>
      <c r="P451" s="277">
        <f t="shared" si="56"/>
        <v>1.4256652181652962E-3</v>
      </c>
      <c r="Q451" s="277">
        <f t="shared" si="57"/>
        <v>4.4268561919750017E-2</v>
      </c>
      <c r="R451" s="278">
        <f t="shared" si="58"/>
        <v>5.1376227048808731E-2</v>
      </c>
      <c r="S451" s="277"/>
      <c r="T451" s="277"/>
    </row>
    <row r="452" spans="2:20" x14ac:dyDescent="0.3">
      <c r="B452" s="271">
        <v>44053</v>
      </c>
      <c r="C452" s="273">
        <v>8047.35</v>
      </c>
      <c r="D452" s="273">
        <v>125.2</v>
      </c>
      <c r="E452" s="273">
        <v>1782.35</v>
      </c>
      <c r="F452" s="274">
        <v>14.8</v>
      </c>
      <c r="H452" s="271">
        <v>44053</v>
      </c>
      <c r="I452" s="277">
        <f t="shared" si="51"/>
        <v>3.3493652516197826E-2</v>
      </c>
      <c r="J452" s="277">
        <f t="shared" si="52"/>
        <v>1.9543973941368125E-2</v>
      </c>
      <c r="K452" s="277">
        <f t="shared" si="53"/>
        <v>-1.3231833910034652E-2</v>
      </c>
      <c r="L452" s="278">
        <f t="shared" si="54"/>
        <v>4.9645390070922064E-2</v>
      </c>
      <c r="N452" s="271">
        <v>44053</v>
      </c>
      <c r="O452" s="277">
        <f t="shared" si="55"/>
        <v>3.0267749784897765E-2</v>
      </c>
      <c r="P452" s="277">
        <f t="shared" si="56"/>
        <v>2.0562307183973363E-2</v>
      </c>
      <c r="Q452" s="277">
        <f t="shared" si="57"/>
        <v>-1.4519116973063741E-2</v>
      </c>
      <c r="R452" s="278">
        <f t="shared" si="58"/>
        <v>5.2694479573262364E-2</v>
      </c>
      <c r="S452" s="277"/>
      <c r="T452" s="277"/>
    </row>
    <row r="453" spans="2:20" x14ac:dyDescent="0.3">
      <c r="B453" s="271">
        <v>44054</v>
      </c>
      <c r="C453" s="273">
        <v>8017.8</v>
      </c>
      <c r="D453" s="273">
        <v>125.6</v>
      </c>
      <c r="E453" s="273">
        <v>1789.55</v>
      </c>
      <c r="F453" s="274">
        <v>15.5</v>
      </c>
      <c r="H453" s="271">
        <v>44054</v>
      </c>
      <c r="I453" s="277">
        <f t="shared" si="51"/>
        <v>-3.6720162537978566E-3</v>
      </c>
      <c r="J453" s="277">
        <f t="shared" si="52"/>
        <v>3.1948881789136698E-3</v>
      </c>
      <c r="K453" s="277">
        <f t="shared" si="53"/>
        <v>4.0396106264202012E-3</v>
      </c>
      <c r="L453" s="278">
        <f t="shared" si="54"/>
        <v>4.7297297297297244E-2</v>
      </c>
      <c r="N453" s="271">
        <v>44054</v>
      </c>
      <c r="O453" s="277">
        <f t="shared" si="55"/>
        <v>-6.8979189850979176E-3</v>
      </c>
      <c r="P453" s="277">
        <f t="shared" si="56"/>
        <v>4.213221421518908E-3</v>
      </c>
      <c r="Q453" s="277">
        <f t="shared" si="57"/>
        <v>2.7523275633911126E-3</v>
      </c>
      <c r="R453" s="278">
        <f t="shared" si="58"/>
        <v>5.0346386799637544E-2</v>
      </c>
      <c r="S453" s="277"/>
      <c r="T453" s="277"/>
    </row>
    <row r="454" spans="2:20" x14ac:dyDescent="0.3">
      <c r="B454" s="271">
        <v>44055</v>
      </c>
      <c r="C454" s="273">
        <v>8086.25</v>
      </c>
      <c r="D454" s="273">
        <v>123.4</v>
      </c>
      <c r="E454" s="273">
        <v>1797.25</v>
      </c>
      <c r="F454" s="274">
        <v>16.25</v>
      </c>
      <c r="H454" s="271">
        <v>44055</v>
      </c>
      <c r="I454" s="277">
        <f t="shared" si="51"/>
        <v>8.537254608496074E-3</v>
      </c>
      <c r="J454" s="277">
        <f t="shared" si="52"/>
        <v>-1.751592356687889E-2</v>
      </c>
      <c r="K454" s="277">
        <f t="shared" si="53"/>
        <v>4.3027576765108802E-3</v>
      </c>
      <c r="L454" s="278">
        <f t="shared" si="54"/>
        <v>4.8387096774193547E-2</v>
      </c>
      <c r="N454" s="271">
        <v>44055</v>
      </c>
      <c r="O454" s="277">
        <f t="shared" si="55"/>
        <v>5.3113518771960126E-3</v>
      </c>
      <c r="P454" s="277">
        <f t="shared" si="56"/>
        <v>-1.6497590324273653E-2</v>
      </c>
      <c r="Q454" s="277">
        <f t="shared" si="57"/>
        <v>3.0154746134817916E-3</v>
      </c>
      <c r="R454" s="278">
        <f t="shared" si="58"/>
        <v>5.1436186276533846E-2</v>
      </c>
      <c r="S454" s="277"/>
      <c r="T454" s="277"/>
    </row>
    <row r="455" spans="2:20" x14ac:dyDescent="0.3">
      <c r="B455" s="271">
        <v>44056</v>
      </c>
      <c r="C455" s="273">
        <v>8102.5</v>
      </c>
      <c r="D455" s="273">
        <v>124.45</v>
      </c>
      <c r="E455" s="273">
        <v>1802.55</v>
      </c>
      <c r="F455" s="274">
        <v>15.85</v>
      </c>
      <c r="H455" s="271">
        <v>44056</v>
      </c>
      <c r="I455" s="277">
        <f t="shared" si="51"/>
        <v>2.0095841706600712E-3</v>
      </c>
      <c r="J455" s="277">
        <f t="shared" si="52"/>
        <v>8.5089141004862003E-3</v>
      </c>
      <c r="K455" s="277">
        <f t="shared" si="53"/>
        <v>2.948949784392797E-3</v>
      </c>
      <c r="L455" s="278">
        <f t="shared" si="54"/>
        <v>-2.4615384615384636E-2</v>
      </c>
      <c r="N455" s="271">
        <v>44056</v>
      </c>
      <c r="O455" s="277">
        <f t="shared" si="55"/>
        <v>-1.2163185606399902E-3</v>
      </c>
      <c r="P455" s="277">
        <f t="shared" si="56"/>
        <v>9.527247343091438E-3</v>
      </c>
      <c r="Q455" s="277">
        <f t="shared" si="57"/>
        <v>1.6616667213637084E-3</v>
      </c>
      <c r="R455" s="278">
        <f t="shared" si="58"/>
        <v>-2.1566295113044334E-2</v>
      </c>
      <c r="S455" s="277"/>
      <c r="T455" s="277"/>
    </row>
    <row r="456" spans="2:20" x14ac:dyDescent="0.3">
      <c r="B456" s="271">
        <v>44057</v>
      </c>
      <c r="C456" s="273">
        <v>7939.4</v>
      </c>
      <c r="D456" s="273">
        <v>122.65</v>
      </c>
      <c r="E456" s="273">
        <v>1802.55</v>
      </c>
      <c r="F456" s="274">
        <v>15.1</v>
      </c>
      <c r="H456" s="271">
        <v>44057</v>
      </c>
      <c r="I456" s="277">
        <f t="shared" si="51"/>
        <v>-2.0129589632829417E-2</v>
      </c>
      <c r="J456" s="277">
        <f t="shared" si="52"/>
        <v>-1.4463640016070688E-2</v>
      </c>
      <c r="K456" s="277">
        <f t="shared" si="53"/>
        <v>0</v>
      </c>
      <c r="L456" s="278">
        <f t="shared" si="54"/>
        <v>-4.7318611987381708E-2</v>
      </c>
      <c r="N456" s="271">
        <v>44057</v>
      </c>
      <c r="O456" s="277">
        <f t="shared" si="55"/>
        <v>-2.3355492364129479E-2</v>
      </c>
      <c r="P456" s="277">
        <f t="shared" si="56"/>
        <v>-1.344530677346545E-2</v>
      </c>
      <c r="Q456" s="277">
        <f t="shared" si="57"/>
        <v>-1.2872830630290886E-3</v>
      </c>
      <c r="R456" s="278">
        <f t="shared" si="58"/>
        <v>-4.4269522485041408E-2</v>
      </c>
      <c r="S456" s="277"/>
      <c r="T456" s="277"/>
    </row>
    <row r="457" spans="2:20" x14ac:dyDescent="0.3">
      <c r="B457" s="271">
        <v>44060</v>
      </c>
      <c r="C457" s="273">
        <v>7815.6</v>
      </c>
      <c r="D457" s="273">
        <v>127.95</v>
      </c>
      <c r="E457" s="273">
        <v>1836.7</v>
      </c>
      <c r="F457" s="274">
        <v>14.35</v>
      </c>
      <c r="H457" s="271">
        <v>44060</v>
      </c>
      <c r="I457" s="277">
        <f t="shared" si="51"/>
        <v>-1.5593117867848866E-2</v>
      </c>
      <c r="J457" s="277">
        <f t="shared" si="52"/>
        <v>4.3212392988177716E-2</v>
      </c>
      <c r="K457" s="277">
        <f t="shared" si="53"/>
        <v>1.8945382929738477E-2</v>
      </c>
      <c r="L457" s="278">
        <f t="shared" si="54"/>
        <v>-4.9668874172185434E-2</v>
      </c>
      <c r="N457" s="271">
        <v>44060</v>
      </c>
      <c r="O457" s="277">
        <f t="shared" si="55"/>
        <v>-1.8819020599148927E-2</v>
      </c>
      <c r="P457" s="277">
        <f t="shared" si="56"/>
        <v>4.4230726230782953E-2</v>
      </c>
      <c r="Q457" s="277">
        <f t="shared" si="57"/>
        <v>1.7658099866709388E-2</v>
      </c>
      <c r="R457" s="278">
        <f t="shared" si="58"/>
        <v>-4.6619784669845135E-2</v>
      </c>
      <c r="S457" s="277"/>
      <c r="T457" s="277"/>
    </row>
    <row r="458" spans="2:20" x14ac:dyDescent="0.3">
      <c r="B458" s="271">
        <v>44061</v>
      </c>
      <c r="C458" s="273">
        <v>7882.45</v>
      </c>
      <c r="D458" s="273">
        <v>126.8</v>
      </c>
      <c r="E458" s="273">
        <v>1874.1</v>
      </c>
      <c r="F458" s="274">
        <v>15.05</v>
      </c>
      <c r="H458" s="271">
        <v>44061</v>
      </c>
      <c r="I458" s="277">
        <f t="shared" ref="I458:I497" si="59">(C458-C457)/C457</f>
        <v>8.5534060084957592E-3</v>
      </c>
      <c r="J458" s="277">
        <f t="shared" ref="J458:J497" si="60">(D458-D457)/D457</f>
        <v>-8.9878858929269695E-3</v>
      </c>
      <c r="K458" s="277">
        <f t="shared" ref="K458:K497" si="61">(E458-E457)/E457</f>
        <v>2.0362606849240412E-2</v>
      </c>
      <c r="L458" s="278">
        <f t="shared" ref="L458:L497" si="62">(F458-F457)/F457</f>
        <v>4.8780487804878127E-2</v>
      </c>
      <c r="N458" s="271">
        <v>44061</v>
      </c>
      <c r="O458" s="277">
        <f t="shared" ref="O458:O497" si="63">I458-I$499</f>
        <v>5.3275032771956977E-3</v>
      </c>
      <c r="P458" s="277">
        <f t="shared" ref="P458:P497" si="64">J458-J$499</f>
        <v>-7.9695526503217318E-3</v>
      </c>
      <c r="Q458" s="277">
        <f t="shared" ref="Q458:Q497" si="65">K458-K$499</f>
        <v>1.9075323786211323E-2</v>
      </c>
      <c r="R458" s="278">
        <f t="shared" ref="R458:R497" si="66">L458-L$499</f>
        <v>5.1829577307218426E-2</v>
      </c>
      <c r="S458" s="277"/>
      <c r="T458" s="277"/>
    </row>
    <row r="459" spans="2:20" x14ac:dyDescent="0.3">
      <c r="B459" s="271">
        <v>44062</v>
      </c>
      <c r="C459" s="273">
        <v>7985.1</v>
      </c>
      <c r="D459" s="273">
        <v>129.05000000000001</v>
      </c>
      <c r="E459" s="273">
        <v>1885.7</v>
      </c>
      <c r="F459" s="274">
        <v>15.8</v>
      </c>
      <c r="H459" s="271">
        <v>44062</v>
      </c>
      <c r="I459" s="277">
        <f t="shared" si="59"/>
        <v>1.3022600841109115E-2</v>
      </c>
      <c r="J459" s="277">
        <f t="shared" si="60"/>
        <v>1.7744479495268251E-2</v>
      </c>
      <c r="K459" s="277">
        <f t="shared" si="61"/>
        <v>6.1896376927592645E-3</v>
      </c>
      <c r="L459" s="278">
        <f t="shared" si="62"/>
        <v>4.9833887043189369E-2</v>
      </c>
      <c r="N459" s="271">
        <v>44062</v>
      </c>
      <c r="O459" s="277">
        <f t="shared" si="63"/>
        <v>9.7966981098090537E-3</v>
      </c>
      <c r="P459" s="277">
        <f t="shared" si="64"/>
        <v>1.8762812737873488E-2</v>
      </c>
      <c r="Q459" s="277">
        <f t="shared" si="65"/>
        <v>4.9023546297301754E-3</v>
      </c>
      <c r="R459" s="278">
        <f t="shared" si="66"/>
        <v>5.2882976545529668E-2</v>
      </c>
      <c r="S459" s="277"/>
      <c r="T459" s="277"/>
    </row>
    <row r="460" spans="2:20" x14ac:dyDescent="0.3">
      <c r="B460" s="271">
        <v>44063</v>
      </c>
      <c r="C460" s="273">
        <v>8041</v>
      </c>
      <c r="D460" s="273">
        <v>128.94999999999999</v>
      </c>
      <c r="E460" s="273">
        <v>1874.9</v>
      </c>
      <c r="F460" s="274">
        <v>15.75</v>
      </c>
      <c r="H460" s="271">
        <v>44063</v>
      </c>
      <c r="I460" s="277">
        <f t="shared" si="59"/>
        <v>7.0005385029617206E-3</v>
      </c>
      <c r="J460" s="277">
        <f t="shared" si="60"/>
        <v>-7.7489345215050543E-4</v>
      </c>
      <c r="K460" s="277">
        <f t="shared" si="61"/>
        <v>-5.7273161160311574E-3</v>
      </c>
      <c r="L460" s="278">
        <f t="shared" si="62"/>
        <v>-3.1645569620253611E-3</v>
      </c>
      <c r="N460" s="271">
        <v>44063</v>
      </c>
      <c r="O460" s="277">
        <f t="shared" si="63"/>
        <v>3.7746357716616592E-3</v>
      </c>
      <c r="P460" s="277">
        <f t="shared" si="64"/>
        <v>2.4343979045473251E-4</v>
      </c>
      <c r="Q460" s="277">
        <f t="shared" si="65"/>
        <v>-7.0145991790602456E-3</v>
      </c>
      <c r="R460" s="278">
        <f t="shared" si="66"/>
        <v>-1.1546745968505972E-4</v>
      </c>
      <c r="S460" s="277"/>
      <c r="T460" s="277"/>
    </row>
    <row r="461" spans="2:20" x14ac:dyDescent="0.3">
      <c r="B461" s="271">
        <v>44064</v>
      </c>
      <c r="C461" s="273">
        <v>8078.85</v>
      </c>
      <c r="D461" s="273">
        <v>130.69999999999999</v>
      </c>
      <c r="E461" s="273">
        <v>1958</v>
      </c>
      <c r="F461" s="274">
        <v>15.55</v>
      </c>
      <c r="H461" s="271">
        <v>44064</v>
      </c>
      <c r="I461" s="277">
        <f t="shared" si="59"/>
        <v>4.7071259793558468E-3</v>
      </c>
      <c r="J461" s="277">
        <f t="shared" si="60"/>
        <v>1.3571151609150834E-2</v>
      </c>
      <c r="K461" s="277">
        <f t="shared" si="61"/>
        <v>4.4322363859405786E-2</v>
      </c>
      <c r="L461" s="278">
        <f t="shared" si="62"/>
        <v>-1.2698412698412653E-2</v>
      </c>
      <c r="N461" s="271">
        <v>44064</v>
      </c>
      <c r="O461" s="277">
        <f t="shared" si="63"/>
        <v>1.4812232480557854E-3</v>
      </c>
      <c r="P461" s="277">
        <f t="shared" si="64"/>
        <v>1.4589484851756072E-2</v>
      </c>
      <c r="Q461" s="277">
        <f t="shared" si="65"/>
        <v>4.3035080796376697E-2</v>
      </c>
      <c r="R461" s="278">
        <f t="shared" si="66"/>
        <v>-9.6493231960723524E-3</v>
      </c>
      <c r="S461" s="277"/>
      <c r="T461" s="277"/>
    </row>
    <row r="462" spans="2:20" x14ac:dyDescent="0.3">
      <c r="B462" s="271">
        <v>44067</v>
      </c>
      <c r="C462" s="273">
        <v>8123.95</v>
      </c>
      <c r="D462" s="273">
        <v>128.80000000000001</v>
      </c>
      <c r="E462" s="273">
        <v>1962.15</v>
      </c>
      <c r="F462" s="274">
        <v>14.8</v>
      </c>
      <c r="H462" s="271">
        <v>44067</v>
      </c>
      <c r="I462" s="277">
        <f t="shared" si="59"/>
        <v>5.5824777041286137E-3</v>
      </c>
      <c r="J462" s="277">
        <f t="shared" si="60"/>
        <v>-1.4537107880642521E-2</v>
      </c>
      <c r="K462" s="277">
        <f t="shared" si="61"/>
        <v>2.1195097037794131E-3</v>
      </c>
      <c r="L462" s="278">
        <f t="shared" si="62"/>
        <v>-4.8231511254019289E-2</v>
      </c>
      <c r="N462" s="271">
        <v>44067</v>
      </c>
      <c r="O462" s="277">
        <f t="shared" si="63"/>
        <v>2.3565749728285523E-3</v>
      </c>
      <c r="P462" s="277">
        <f t="shared" si="64"/>
        <v>-1.3518774638037283E-2</v>
      </c>
      <c r="Q462" s="277">
        <f t="shared" si="65"/>
        <v>8.3222664075032447E-4</v>
      </c>
      <c r="R462" s="278">
        <f t="shared" si="66"/>
        <v>-4.518242175167899E-2</v>
      </c>
      <c r="S462" s="277"/>
      <c r="T462" s="277"/>
    </row>
    <row r="463" spans="2:20" x14ac:dyDescent="0.3">
      <c r="B463" s="271">
        <v>44068</v>
      </c>
      <c r="C463" s="273">
        <v>8218</v>
      </c>
      <c r="D463" s="273">
        <v>130.05000000000001</v>
      </c>
      <c r="E463" s="273">
        <v>2000.6</v>
      </c>
      <c r="F463" s="274">
        <v>14.75</v>
      </c>
      <c r="H463" s="271">
        <v>44068</v>
      </c>
      <c r="I463" s="277">
        <f t="shared" si="59"/>
        <v>1.1576880704583384E-2</v>
      </c>
      <c r="J463" s="277">
        <f t="shared" si="60"/>
        <v>9.7049689440993781E-3</v>
      </c>
      <c r="K463" s="277">
        <f t="shared" si="61"/>
        <v>1.9595851489437512E-2</v>
      </c>
      <c r="L463" s="278">
        <f t="shared" si="62"/>
        <v>-3.3783783783784263E-3</v>
      </c>
      <c r="N463" s="271">
        <v>44068</v>
      </c>
      <c r="O463" s="277">
        <f t="shared" si="63"/>
        <v>8.3509779732833227E-3</v>
      </c>
      <c r="P463" s="277">
        <f t="shared" si="64"/>
        <v>1.0723302186704616E-2</v>
      </c>
      <c r="Q463" s="277">
        <f t="shared" si="65"/>
        <v>1.8308568426408423E-2</v>
      </c>
      <c r="R463" s="278">
        <f t="shared" si="66"/>
        <v>-3.2928887603812492E-4</v>
      </c>
      <c r="S463" s="277"/>
      <c r="T463" s="277"/>
    </row>
    <row r="464" spans="2:20" x14ac:dyDescent="0.3">
      <c r="B464" s="271">
        <v>44069</v>
      </c>
      <c r="C464" s="273">
        <v>8343.0499999999993</v>
      </c>
      <c r="D464" s="273">
        <v>128.94999999999999</v>
      </c>
      <c r="E464" s="273">
        <v>1971.4</v>
      </c>
      <c r="F464" s="274">
        <v>14.65</v>
      </c>
      <c r="H464" s="271">
        <v>44069</v>
      </c>
      <c r="I464" s="277">
        <f t="shared" si="59"/>
        <v>1.5216597712338679E-2</v>
      </c>
      <c r="J464" s="277">
        <f t="shared" si="60"/>
        <v>-8.4582852748944452E-3</v>
      </c>
      <c r="K464" s="277">
        <f t="shared" si="61"/>
        <v>-1.4595621313605828E-2</v>
      </c>
      <c r="L464" s="278">
        <f t="shared" si="62"/>
        <v>-6.7796610169491281E-3</v>
      </c>
      <c r="N464" s="271">
        <v>44069</v>
      </c>
      <c r="O464" s="277">
        <f t="shared" si="63"/>
        <v>1.1990694981038618E-2</v>
      </c>
      <c r="P464" s="277">
        <f t="shared" si="64"/>
        <v>-7.4399520322892074E-3</v>
      </c>
      <c r="Q464" s="277">
        <f t="shared" si="65"/>
        <v>-1.5882904376634917E-2</v>
      </c>
      <c r="R464" s="278">
        <f t="shared" si="66"/>
        <v>-3.7305715146088267E-3</v>
      </c>
      <c r="S464" s="277"/>
      <c r="T464" s="277"/>
    </row>
    <row r="465" spans="2:20" x14ac:dyDescent="0.3">
      <c r="B465" s="271">
        <v>44070</v>
      </c>
      <c r="C465" s="273">
        <v>8614.2000000000007</v>
      </c>
      <c r="D465" s="273">
        <v>127.85</v>
      </c>
      <c r="E465" s="273">
        <v>1982.5</v>
      </c>
      <c r="F465" s="274">
        <v>14.7</v>
      </c>
      <c r="H465" s="271">
        <v>44070</v>
      </c>
      <c r="I465" s="277">
        <f t="shared" si="59"/>
        <v>3.2500104877712765E-2</v>
      </c>
      <c r="J465" s="277">
        <f t="shared" si="60"/>
        <v>-8.5304381543233384E-3</v>
      </c>
      <c r="K465" s="277">
        <f t="shared" si="61"/>
        <v>5.630516384295378E-3</v>
      </c>
      <c r="L465" s="278">
        <f t="shared" si="62"/>
        <v>3.4129692832763777E-3</v>
      </c>
      <c r="N465" s="271">
        <v>44070</v>
      </c>
      <c r="O465" s="277">
        <f t="shared" si="63"/>
        <v>2.9274202146412704E-2</v>
      </c>
      <c r="P465" s="277">
        <f t="shared" si="64"/>
        <v>-7.5121049117181007E-3</v>
      </c>
      <c r="Q465" s="277">
        <f t="shared" si="65"/>
        <v>4.3432333212662898E-3</v>
      </c>
      <c r="R465" s="278">
        <f t="shared" si="66"/>
        <v>6.462058785616679E-3</v>
      </c>
      <c r="S465" s="277"/>
      <c r="T465" s="277"/>
    </row>
    <row r="466" spans="2:20" x14ac:dyDescent="0.3">
      <c r="B466" s="271">
        <v>44071</v>
      </c>
      <c r="C466" s="273">
        <v>8313</v>
      </c>
      <c r="D466" s="273">
        <v>128.85</v>
      </c>
      <c r="E466" s="273">
        <v>1958.1</v>
      </c>
      <c r="F466" s="274">
        <v>15</v>
      </c>
      <c r="H466" s="271">
        <v>44071</v>
      </c>
      <c r="I466" s="277">
        <f t="shared" si="59"/>
        <v>-3.4965522044995555E-2</v>
      </c>
      <c r="J466" s="277">
        <f t="shared" si="60"/>
        <v>7.8216660148611658E-3</v>
      </c>
      <c r="K466" s="277">
        <f t="shared" si="61"/>
        <v>-1.2307692307692353E-2</v>
      </c>
      <c r="L466" s="278">
        <f t="shared" si="62"/>
        <v>2.0408163265306173E-2</v>
      </c>
      <c r="N466" s="271">
        <v>44071</v>
      </c>
      <c r="O466" s="277">
        <f t="shared" si="63"/>
        <v>-3.8191424776295613E-2</v>
      </c>
      <c r="P466" s="277">
        <f t="shared" si="64"/>
        <v>8.8399992574664035E-3</v>
      </c>
      <c r="Q466" s="277">
        <f t="shared" si="65"/>
        <v>-1.3594975370721442E-2</v>
      </c>
      <c r="R466" s="278">
        <f t="shared" si="66"/>
        <v>2.3457252767646476E-2</v>
      </c>
      <c r="S466" s="277"/>
      <c r="T466" s="277"/>
    </row>
    <row r="467" spans="2:20" x14ac:dyDescent="0.3">
      <c r="B467" s="271">
        <v>44074</v>
      </c>
      <c r="C467" s="273">
        <v>8094.95</v>
      </c>
      <c r="D467" s="273">
        <v>128.65</v>
      </c>
      <c r="E467" s="273">
        <v>1899.1</v>
      </c>
      <c r="F467" s="274">
        <v>14.35</v>
      </c>
      <c r="H467" s="271">
        <v>44074</v>
      </c>
      <c r="I467" s="277">
        <f t="shared" si="59"/>
        <v>-2.6230001202935185E-2</v>
      </c>
      <c r="J467" s="277">
        <f t="shared" si="60"/>
        <v>-1.5521924718664233E-3</v>
      </c>
      <c r="K467" s="277">
        <f t="shared" si="61"/>
        <v>-3.0131249680813033E-2</v>
      </c>
      <c r="L467" s="278">
        <f t="shared" si="62"/>
        <v>-4.3333333333333356E-2</v>
      </c>
      <c r="N467" s="271">
        <v>44074</v>
      </c>
      <c r="O467" s="277">
        <f t="shared" si="63"/>
        <v>-2.9455903934235247E-2</v>
      </c>
      <c r="P467" s="277">
        <f t="shared" si="64"/>
        <v>-5.3385922926118537E-4</v>
      </c>
      <c r="Q467" s="277">
        <f t="shared" si="65"/>
        <v>-3.1418532743842119E-2</v>
      </c>
      <c r="R467" s="278">
        <f t="shared" si="66"/>
        <v>-4.0284243830993056E-2</v>
      </c>
      <c r="S467" s="277"/>
      <c r="T467" s="277"/>
    </row>
    <row r="468" spans="2:20" x14ac:dyDescent="0.3">
      <c r="B468" s="271">
        <v>44075</v>
      </c>
      <c r="C468" s="273">
        <v>8295.2000000000007</v>
      </c>
      <c r="D468" s="273">
        <v>132</v>
      </c>
      <c r="E468" s="273">
        <v>1979.3</v>
      </c>
      <c r="F468" s="274">
        <v>14.65</v>
      </c>
      <c r="H468" s="271">
        <v>44075</v>
      </c>
      <c r="I468" s="277">
        <f t="shared" si="59"/>
        <v>2.4737645075016017E-2</v>
      </c>
      <c r="J468" s="277">
        <f t="shared" si="60"/>
        <v>2.603964244073062E-2</v>
      </c>
      <c r="K468" s="277">
        <f t="shared" si="61"/>
        <v>4.2230530251171634E-2</v>
      </c>
      <c r="L468" s="278">
        <f t="shared" si="62"/>
        <v>2.0905923344947785E-2</v>
      </c>
      <c r="N468" s="271">
        <v>44075</v>
      </c>
      <c r="O468" s="277">
        <f t="shared" si="63"/>
        <v>2.1511742343715955E-2</v>
      </c>
      <c r="P468" s="277">
        <f t="shared" si="64"/>
        <v>2.7057975683335858E-2</v>
      </c>
      <c r="Q468" s="277">
        <f t="shared" si="65"/>
        <v>4.0943247188142545E-2</v>
      </c>
      <c r="R468" s="278">
        <f t="shared" si="66"/>
        <v>2.3955012847288088E-2</v>
      </c>
      <c r="S468" s="277"/>
      <c r="T468" s="277"/>
    </row>
    <row r="469" spans="2:20" x14ac:dyDescent="0.3">
      <c r="B469" s="271">
        <v>44076</v>
      </c>
      <c r="C469" s="273">
        <v>8317.2999999999993</v>
      </c>
      <c r="D469" s="273">
        <v>131.1</v>
      </c>
      <c r="E469" s="273">
        <v>1943.95</v>
      </c>
      <c r="F469" s="274">
        <v>14.4</v>
      </c>
      <c r="H469" s="271">
        <v>44076</v>
      </c>
      <c r="I469" s="277">
        <f t="shared" si="59"/>
        <v>2.6641913395696959E-3</v>
      </c>
      <c r="J469" s="277">
        <f t="shared" si="60"/>
        <v>-6.8181818181818612E-3</v>
      </c>
      <c r="K469" s="277">
        <f t="shared" si="61"/>
        <v>-1.7859849441721774E-2</v>
      </c>
      <c r="L469" s="278">
        <f t="shared" si="62"/>
        <v>-1.7064846416382253E-2</v>
      </c>
      <c r="N469" s="271">
        <v>44076</v>
      </c>
      <c r="O469" s="277">
        <f t="shared" si="63"/>
        <v>-5.6171139173036549E-4</v>
      </c>
      <c r="P469" s="277">
        <f t="shared" si="64"/>
        <v>-5.7998485755766235E-3</v>
      </c>
      <c r="Q469" s="277">
        <f t="shared" si="65"/>
        <v>-1.9147132504750863E-2</v>
      </c>
      <c r="R469" s="278">
        <f t="shared" si="66"/>
        <v>-1.4015756914041952E-2</v>
      </c>
      <c r="S469" s="277"/>
      <c r="T469" s="277"/>
    </row>
    <row r="470" spans="2:20" x14ac:dyDescent="0.3">
      <c r="B470" s="271">
        <v>44077</v>
      </c>
      <c r="C470" s="273">
        <v>8419.35</v>
      </c>
      <c r="D470" s="273">
        <v>128.5</v>
      </c>
      <c r="E470" s="273">
        <v>1978</v>
      </c>
      <c r="F470" s="274">
        <v>14.6</v>
      </c>
      <c r="H470" s="271">
        <v>44077</v>
      </c>
      <c r="I470" s="277">
        <f t="shared" si="59"/>
        <v>1.2269606723335829E-2</v>
      </c>
      <c r="J470" s="277">
        <f t="shared" si="60"/>
        <v>-1.9832189168573565E-2</v>
      </c>
      <c r="K470" s="277">
        <f t="shared" si="61"/>
        <v>1.7515882610149414E-2</v>
      </c>
      <c r="L470" s="278">
        <f t="shared" si="62"/>
        <v>1.388888888888884E-2</v>
      </c>
      <c r="N470" s="271">
        <v>44077</v>
      </c>
      <c r="O470" s="277">
        <f t="shared" si="63"/>
        <v>9.0437039920357679E-3</v>
      </c>
      <c r="P470" s="277">
        <f t="shared" si="64"/>
        <v>-1.8813855925968327E-2</v>
      </c>
      <c r="Q470" s="277">
        <f t="shared" si="65"/>
        <v>1.6228599547120325E-2</v>
      </c>
      <c r="R470" s="278">
        <f t="shared" si="66"/>
        <v>1.6937978391229142E-2</v>
      </c>
      <c r="S470" s="277"/>
      <c r="T470" s="277"/>
    </row>
    <row r="471" spans="2:20" x14ac:dyDescent="0.3">
      <c r="B471" s="271">
        <v>44078</v>
      </c>
      <c r="C471" s="273">
        <v>8586.5</v>
      </c>
      <c r="D471" s="273">
        <v>125.95</v>
      </c>
      <c r="E471" s="273">
        <v>1956.35</v>
      </c>
      <c r="F471" s="274">
        <v>14.25</v>
      </c>
      <c r="H471" s="271">
        <v>44078</v>
      </c>
      <c r="I471" s="277">
        <f t="shared" si="59"/>
        <v>1.9853076543913679E-2</v>
      </c>
      <c r="J471" s="277">
        <f t="shared" si="60"/>
        <v>-1.9844357976653675E-2</v>
      </c>
      <c r="K471" s="277">
        <f t="shared" si="61"/>
        <v>-1.0945399393326638E-2</v>
      </c>
      <c r="L471" s="278">
        <f t="shared" si="62"/>
        <v>-2.3972602739726005E-2</v>
      </c>
      <c r="N471" s="271">
        <v>44078</v>
      </c>
      <c r="O471" s="277">
        <f t="shared" si="63"/>
        <v>1.6627173812613617E-2</v>
      </c>
      <c r="P471" s="277">
        <f t="shared" si="64"/>
        <v>-1.8826024734048437E-2</v>
      </c>
      <c r="Q471" s="277">
        <f t="shared" si="65"/>
        <v>-1.2232682456355727E-2</v>
      </c>
      <c r="R471" s="278">
        <f t="shared" si="66"/>
        <v>-2.0923513237385703E-2</v>
      </c>
      <c r="S471" s="277"/>
      <c r="T471" s="277"/>
    </row>
    <row r="472" spans="2:20" x14ac:dyDescent="0.3">
      <c r="B472" s="271">
        <v>44081</v>
      </c>
      <c r="C472" s="273">
        <v>8920.1</v>
      </c>
      <c r="D472" s="273">
        <v>127.9</v>
      </c>
      <c r="E472" s="273">
        <v>1982.1</v>
      </c>
      <c r="F472" s="274">
        <v>14.1</v>
      </c>
      <c r="H472" s="271">
        <v>44081</v>
      </c>
      <c r="I472" s="277">
        <f t="shared" si="59"/>
        <v>3.885168578582663E-2</v>
      </c>
      <c r="J472" s="277">
        <f t="shared" si="60"/>
        <v>1.5482334259626859E-2</v>
      </c>
      <c r="K472" s="277">
        <f t="shared" si="61"/>
        <v>1.3162266465611982E-2</v>
      </c>
      <c r="L472" s="278">
        <f t="shared" si="62"/>
        <v>-1.052631578947371E-2</v>
      </c>
      <c r="N472" s="271">
        <v>44081</v>
      </c>
      <c r="O472" s="277">
        <f t="shared" si="63"/>
        <v>3.5625783054526572E-2</v>
      </c>
      <c r="P472" s="277">
        <f t="shared" si="64"/>
        <v>1.6500667502232096E-2</v>
      </c>
      <c r="Q472" s="277">
        <f t="shared" si="65"/>
        <v>1.1874983402582893E-2</v>
      </c>
      <c r="R472" s="278">
        <f t="shared" si="66"/>
        <v>-7.4772262871334091E-3</v>
      </c>
      <c r="S472" s="277"/>
      <c r="T472" s="277"/>
    </row>
    <row r="473" spans="2:20" x14ac:dyDescent="0.3">
      <c r="B473" s="271">
        <v>44082</v>
      </c>
      <c r="C473" s="273">
        <v>9604.7000000000007</v>
      </c>
      <c r="D473" s="273">
        <v>125.55</v>
      </c>
      <c r="E473" s="273">
        <v>1960.35</v>
      </c>
      <c r="F473" s="274">
        <v>13.95</v>
      </c>
      <c r="H473" s="271">
        <v>44082</v>
      </c>
      <c r="I473" s="277">
        <f t="shared" si="59"/>
        <v>7.6748018519971789E-2</v>
      </c>
      <c r="J473" s="277">
        <f t="shared" si="60"/>
        <v>-1.837372947615331E-2</v>
      </c>
      <c r="K473" s="277">
        <f t="shared" si="61"/>
        <v>-1.0973210231572574E-2</v>
      </c>
      <c r="L473" s="278">
        <f t="shared" si="62"/>
        <v>-1.0638297872340451E-2</v>
      </c>
      <c r="N473" s="271">
        <v>44082</v>
      </c>
      <c r="O473" s="277">
        <f t="shared" si="63"/>
        <v>7.3522115788671724E-2</v>
      </c>
      <c r="P473" s="277">
        <f t="shared" si="64"/>
        <v>-1.7355396233548072E-2</v>
      </c>
      <c r="Q473" s="277">
        <f t="shared" si="65"/>
        <v>-1.2260493294601663E-2</v>
      </c>
      <c r="R473" s="278">
        <f t="shared" si="66"/>
        <v>-7.5892083700001504E-3</v>
      </c>
      <c r="S473" s="277"/>
      <c r="T473" s="277"/>
    </row>
    <row r="474" spans="2:20" x14ac:dyDescent="0.3">
      <c r="B474" s="271">
        <v>44083</v>
      </c>
      <c r="C474" s="273">
        <v>9291.7999999999993</v>
      </c>
      <c r="D474" s="273">
        <v>127.95</v>
      </c>
      <c r="E474" s="273">
        <v>1979.05</v>
      </c>
      <c r="F474" s="274">
        <v>13.65</v>
      </c>
      <c r="H474" s="271">
        <v>44083</v>
      </c>
      <c r="I474" s="277">
        <f t="shared" si="59"/>
        <v>-3.257780045186226E-2</v>
      </c>
      <c r="J474" s="277">
        <f t="shared" si="60"/>
        <v>1.9115890083632067E-2</v>
      </c>
      <c r="K474" s="277">
        <f t="shared" si="61"/>
        <v>9.5391129135103669E-3</v>
      </c>
      <c r="L474" s="278">
        <f t="shared" si="62"/>
        <v>-2.1505376344085947E-2</v>
      </c>
      <c r="N474" s="271">
        <v>44083</v>
      </c>
      <c r="O474" s="277">
        <f t="shared" si="63"/>
        <v>-3.5803703183162325E-2</v>
      </c>
      <c r="P474" s="277">
        <f t="shared" si="64"/>
        <v>2.0134223326237304E-2</v>
      </c>
      <c r="Q474" s="277">
        <f t="shared" si="65"/>
        <v>8.2518298504812779E-3</v>
      </c>
      <c r="R474" s="278">
        <f t="shared" si="66"/>
        <v>-1.8456286841745644E-2</v>
      </c>
      <c r="S474" s="277"/>
      <c r="T474" s="277"/>
    </row>
    <row r="475" spans="2:20" x14ac:dyDescent="0.3">
      <c r="B475" s="271">
        <v>44084</v>
      </c>
      <c r="C475" s="273">
        <v>9429.2000000000007</v>
      </c>
      <c r="D475" s="273">
        <v>130.44999999999999</v>
      </c>
      <c r="E475" s="273">
        <v>2056.5500000000002</v>
      </c>
      <c r="F475" s="274">
        <v>13.9</v>
      </c>
      <c r="H475" s="271">
        <v>44084</v>
      </c>
      <c r="I475" s="277">
        <f t="shared" si="59"/>
        <v>1.4787231752728371E-2</v>
      </c>
      <c r="J475" s="277">
        <f t="shared" si="60"/>
        <v>1.9538882375927987E-2</v>
      </c>
      <c r="K475" s="277">
        <f t="shared" si="61"/>
        <v>3.9160203127763436E-2</v>
      </c>
      <c r="L475" s="278">
        <f t="shared" si="62"/>
        <v>1.8315018315018316E-2</v>
      </c>
      <c r="N475" s="271">
        <v>44084</v>
      </c>
      <c r="O475" s="277">
        <f t="shared" si="63"/>
        <v>1.1561329021428309E-2</v>
      </c>
      <c r="P475" s="277">
        <f t="shared" si="64"/>
        <v>2.0557215618533225E-2</v>
      </c>
      <c r="Q475" s="277">
        <f t="shared" si="65"/>
        <v>3.7872920064734347E-2</v>
      </c>
      <c r="R475" s="278">
        <f t="shared" si="66"/>
        <v>2.1364107817358619E-2</v>
      </c>
      <c r="S475" s="277"/>
      <c r="T475" s="277"/>
    </row>
    <row r="476" spans="2:20" x14ac:dyDescent="0.3">
      <c r="B476" s="271">
        <v>44085</v>
      </c>
      <c r="C476" s="273">
        <v>9240</v>
      </c>
      <c r="D476" s="273">
        <v>131.9</v>
      </c>
      <c r="E476" s="273">
        <v>2035.95</v>
      </c>
      <c r="F476" s="274">
        <v>14.55</v>
      </c>
      <c r="H476" s="271">
        <v>44085</v>
      </c>
      <c r="I476" s="277">
        <f t="shared" si="59"/>
        <v>-2.0065328978068203E-2</v>
      </c>
      <c r="J476" s="277">
        <f t="shared" si="60"/>
        <v>1.1115369873514889E-2</v>
      </c>
      <c r="K476" s="277">
        <f t="shared" si="61"/>
        <v>-1.0016775667987714E-2</v>
      </c>
      <c r="L476" s="278">
        <f t="shared" si="62"/>
        <v>4.6762589928057575E-2</v>
      </c>
      <c r="N476" s="271">
        <v>44085</v>
      </c>
      <c r="O476" s="277">
        <f t="shared" si="63"/>
        <v>-2.3291231709368265E-2</v>
      </c>
      <c r="P476" s="277">
        <f t="shared" si="64"/>
        <v>1.2133703116120127E-2</v>
      </c>
      <c r="Q476" s="277">
        <f t="shared" si="65"/>
        <v>-1.1304058731016803E-2</v>
      </c>
      <c r="R476" s="278">
        <f t="shared" si="66"/>
        <v>4.9811679430397875E-2</v>
      </c>
      <c r="S476" s="277"/>
      <c r="T476" s="277"/>
    </row>
    <row r="477" spans="2:20" x14ac:dyDescent="0.3">
      <c r="B477" s="271">
        <v>44088</v>
      </c>
      <c r="C477" s="273">
        <v>9822.9</v>
      </c>
      <c r="D477" s="273">
        <v>129.65</v>
      </c>
      <c r="E477" s="273">
        <v>2031.2</v>
      </c>
      <c r="F477" s="274">
        <v>14.75</v>
      </c>
      <c r="H477" s="271">
        <v>44088</v>
      </c>
      <c r="I477" s="277">
        <f t="shared" si="59"/>
        <v>6.3084415584415549E-2</v>
      </c>
      <c r="J477" s="277">
        <f t="shared" si="60"/>
        <v>-1.7058377558756634E-2</v>
      </c>
      <c r="K477" s="277">
        <f t="shared" si="61"/>
        <v>-2.3330631891745868E-3</v>
      </c>
      <c r="L477" s="278">
        <f t="shared" si="62"/>
        <v>1.3745704467353903E-2</v>
      </c>
      <c r="N477" s="271">
        <v>44088</v>
      </c>
      <c r="O477" s="277">
        <f t="shared" si="63"/>
        <v>5.9858512853115484E-2</v>
      </c>
      <c r="P477" s="277">
        <f t="shared" si="64"/>
        <v>-1.6040044316151397E-2</v>
      </c>
      <c r="Q477" s="277">
        <f t="shared" si="65"/>
        <v>-3.6203462522036755E-3</v>
      </c>
      <c r="R477" s="278">
        <f t="shared" si="66"/>
        <v>1.6794793969694206E-2</v>
      </c>
      <c r="S477" s="277"/>
      <c r="T477" s="277"/>
    </row>
    <row r="478" spans="2:20" x14ac:dyDescent="0.3">
      <c r="B478" s="271">
        <v>44089</v>
      </c>
      <c r="C478" s="273">
        <v>10005.15</v>
      </c>
      <c r="D478" s="273">
        <v>131.55000000000001</v>
      </c>
      <c r="E478" s="273">
        <v>2017.55</v>
      </c>
      <c r="F478" s="274">
        <v>14.55</v>
      </c>
      <c r="H478" s="271">
        <v>44089</v>
      </c>
      <c r="I478" s="277">
        <f t="shared" si="59"/>
        <v>1.8553583972146719E-2</v>
      </c>
      <c r="J478" s="277">
        <f t="shared" si="60"/>
        <v>1.4654839953721601E-2</v>
      </c>
      <c r="K478" s="277">
        <f t="shared" si="61"/>
        <v>-6.7201654194565235E-3</v>
      </c>
      <c r="L478" s="278">
        <f t="shared" si="62"/>
        <v>-1.3559322033898256E-2</v>
      </c>
      <c r="N478" s="271">
        <v>44089</v>
      </c>
      <c r="O478" s="277">
        <f t="shared" si="63"/>
        <v>1.5327681240846658E-2</v>
      </c>
      <c r="P478" s="277">
        <f t="shared" si="64"/>
        <v>1.5673173196326839E-2</v>
      </c>
      <c r="Q478" s="277">
        <f t="shared" si="65"/>
        <v>-8.0074484824856126E-3</v>
      </c>
      <c r="R478" s="278">
        <f t="shared" si="66"/>
        <v>-1.0510232531557955E-2</v>
      </c>
      <c r="S478" s="277"/>
      <c r="T478" s="277"/>
    </row>
    <row r="479" spans="2:20" x14ac:dyDescent="0.3">
      <c r="B479" s="271">
        <v>44090</v>
      </c>
      <c r="C479" s="273">
        <v>9986.2000000000007</v>
      </c>
      <c r="D479" s="273">
        <v>134.30000000000001</v>
      </c>
      <c r="E479" s="273">
        <v>2012.1</v>
      </c>
      <c r="F479" s="274">
        <v>14.25</v>
      </c>
      <c r="H479" s="271">
        <v>44090</v>
      </c>
      <c r="I479" s="277">
        <f t="shared" si="59"/>
        <v>-1.8940245773425594E-3</v>
      </c>
      <c r="J479" s="277">
        <f t="shared" si="60"/>
        <v>2.0904599011782592E-2</v>
      </c>
      <c r="K479" s="277">
        <f t="shared" si="61"/>
        <v>-2.7012961264900725E-3</v>
      </c>
      <c r="L479" s="278">
        <f t="shared" si="62"/>
        <v>-2.0618556701030976E-2</v>
      </c>
      <c r="N479" s="271">
        <v>44090</v>
      </c>
      <c r="O479" s="277">
        <f t="shared" si="63"/>
        <v>-5.1199273086426208E-3</v>
      </c>
      <c r="P479" s="277">
        <f t="shared" si="64"/>
        <v>2.1922932254387829E-2</v>
      </c>
      <c r="Q479" s="277">
        <f t="shared" si="65"/>
        <v>-3.9885791895191616E-3</v>
      </c>
      <c r="R479" s="278">
        <f t="shared" si="66"/>
        <v>-1.7569467198690673E-2</v>
      </c>
      <c r="S479" s="277"/>
      <c r="T479" s="277"/>
    </row>
    <row r="480" spans="2:20" x14ac:dyDescent="0.3">
      <c r="B480" s="271">
        <v>44091</v>
      </c>
      <c r="C480" s="273">
        <v>9742.7000000000007</v>
      </c>
      <c r="D480" s="273">
        <v>134.30000000000001</v>
      </c>
      <c r="E480" s="273">
        <v>2007.95</v>
      </c>
      <c r="F480" s="274">
        <v>14.1</v>
      </c>
      <c r="H480" s="271">
        <v>44091</v>
      </c>
      <c r="I480" s="277">
        <f t="shared" si="59"/>
        <v>-2.4383649436221986E-2</v>
      </c>
      <c r="J480" s="277">
        <f t="shared" si="60"/>
        <v>0</v>
      </c>
      <c r="K480" s="277">
        <f t="shared" si="61"/>
        <v>-2.0625217434520472E-3</v>
      </c>
      <c r="L480" s="278">
        <f t="shared" si="62"/>
        <v>-1.052631578947371E-2</v>
      </c>
      <c r="N480" s="271">
        <v>44091</v>
      </c>
      <c r="O480" s="277">
        <f t="shared" si="63"/>
        <v>-2.7609552167522047E-2</v>
      </c>
      <c r="P480" s="277">
        <f t="shared" si="64"/>
        <v>1.0183332426052379E-3</v>
      </c>
      <c r="Q480" s="277">
        <f t="shared" si="65"/>
        <v>-3.3498048064811358E-3</v>
      </c>
      <c r="R480" s="278">
        <f t="shared" si="66"/>
        <v>-7.4772262871334091E-3</v>
      </c>
      <c r="S480" s="277"/>
      <c r="T480" s="277"/>
    </row>
    <row r="481" spans="2:20" x14ac:dyDescent="0.3">
      <c r="B481" s="271">
        <v>44092</v>
      </c>
      <c r="C481" s="273">
        <v>9400.5499999999993</v>
      </c>
      <c r="D481" s="273">
        <v>130.94999999999999</v>
      </c>
      <c r="E481" s="273">
        <v>2028.4</v>
      </c>
      <c r="F481" s="274">
        <v>14</v>
      </c>
      <c r="H481" s="271">
        <v>44092</v>
      </c>
      <c r="I481" s="277">
        <f t="shared" si="59"/>
        <v>-3.5118601619674367E-2</v>
      </c>
      <c r="J481" s="277">
        <f t="shared" si="60"/>
        <v>-2.4944154877140898E-2</v>
      </c>
      <c r="K481" s="277">
        <f t="shared" si="61"/>
        <v>1.0184516546726783E-2</v>
      </c>
      <c r="L481" s="278">
        <f t="shared" si="62"/>
        <v>-7.0921985815602584E-3</v>
      </c>
      <c r="N481" s="271">
        <v>44092</v>
      </c>
      <c r="O481" s="277">
        <f t="shared" si="63"/>
        <v>-3.8344504350974432E-2</v>
      </c>
      <c r="P481" s="277">
        <f t="shared" si="64"/>
        <v>-2.392582163453566E-2</v>
      </c>
      <c r="Q481" s="277">
        <f t="shared" si="65"/>
        <v>8.8972334836976939E-3</v>
      </c>
      <c r="R481" s="278">
        <f t="shared" si="66"/>
        <v>-4.0431090792199566E-3</v>
      </c>
      <c r="S481" s="277"/>
      <c r="T481" s="277"/>
    </row>
    <row r="482" spans="2:20" x14ac:dyDescent="0.3">
      <c r="B482" s="271">
        <v>44095</v>
      </c>
      <c r="C482" s="273">
        <v>8900.9</v>
      </c>
      <c r="D482" s="273">
        <v>128.94999999999999</v>
      </c>
      <c r="E482" s="273">
        <v>1972.55</v>
      </c>
      <c r="F482" s="274">
        <v>13.55</v>
      </c>
      <c r="H482" s="271">
        <v>44095</v>
      </c>
      <c r="I482" s="277">
        <f t="shared" si="59"/>
        <v>-5.3151145411704598E-2</v>
      </c>
      <c r="J482" s="277">
        <f t="shared" si="60"/>
        <v>-1.5273004963726614E-2</v>
      </c>
      <c r="K482" s="277">
        <f t="shared" si="61"/>
        <v>-2.7534016959179716E-2</v>
      </c>
      <c r="L482" s="278">
        <f t="shared" si="62"/>
        <v>-3.2142857142857091E-2</v>
      </c>
      <c r="N482" s="271">
        <v>44095</v>
      </c>
      <c r="O482" s="277">
        <f t="shared" si="63"/>
        <v>-5.6377048143004663E-2</v>
      </c>
      <c r="P482" s="277">
        <f t="shared" si="64"/>
        <v>-1.4254671721121376E-2</v>
      </c>
      <c r="Q482" s="277">
        <f t="shared" si="65"/>
        <v>-2.8821300022208805E-2</v>
      </c>
      <c r="R482" s="278">
        <f t="shared" si="66"/>
        <v>-2.9093767640516788E-2</v>
      </c>
      <c r="S482" s="277"/>
      <c r="T482" s="277"/>
    </row>
    <row r="483" spans="2:20" x14ac:dyDescent="0.3">
      <c r="B483" s="271">
        <v>44096</v>
      </c>
      <c r="C483" s="273">
        <v>8552.6</v>
      </c>
      <c r="D483" s="273">
        <v>127.15</v>
      </c>
      <c r="E483" s="273">
        <v>1937.5</v>
      </c>
      <c r="F483" s="274">
        <v>13.2</v>
      </c>
      <c r="H483" s="271">
        <v>44096</v>
      </c>
      <c r="I483" s="277">
        <f t="shared" si="59"/>
        <v>-3.9130874405958867E-2</v>
      </c>
      <c r="J483" s="277">
        <f t="shared" si="60"/>
        <v>-1.3958898797983583E-2</v>
      </c>
      <c r="K483" s="277">
        <f t="shared" si="61"/>
        <v>-1.776887784847023E-2</v>
      </c>
      <c r="L483" s="278">
        <f t="shared" si="62"/>
        <v>-2.583025830258313E-2</v>
      </c>
      <c r="N483" s="271">
        <v>44096</v>
      </c>
      <c r="O483" s="277">
        <f t="shared" si="63"/>
        <v>-4.2356777137258925E-2</v>
      </c>
      <c r="P483" s="277">
        <f t="shared" si="64"/>
        <v>-1.2940565555378345E-2</v>
      </c>
      <c r="Q483" s="277">
        <f t="shared" si="65"/>
        <v>-1.905616091149932E-2</v>
      </c>
      <c r="R483" s="278">
        <f t="shared" si="66"/>
        <v>-2.2781168800242828E-2</v>
      </c>
      <c r="S483" s="277"/>
      <c r="T483" s="277"/>
    </row>
    <row r="484" spans="2:20" x14ac:dyDescent="0.3">
      <c r="B484" s="271">
        <v>44097</v>
      </c>
      <c r="C484" s="273">
        <v>8785.4500000000007</v>
      </c>
      <c r="D484" s="273">
        <v>130</v>
      </c>
      <c r="E484" s="273">
        <v>1946.55</v>
      </c>
      <c r="F484" s="274">
        <v>13.15</v>
      </c>
      <c r="H484" s="271">
        <v>44097</v>
      </c>
      <c r="I484" s="277">
        <f t="shared" si="59"/>
        <v>2.7225638986974762E-2</v>
      </c>
      <c r="J484" s="277">
        <f t="shared" si="60"/>
        <v>2.2414471097129331E-2</v>
      </c>
      <c r="K484" s="277">
        <f t="shared" si="61"/>
        <v>4.6709677419354608E-3</v>
      </c>
      <c r="L484" s="278">
        <f t="shared" si="62"/>
        <v>-3.7878787878787073E-3</v>
      </c>
      <c r="N484" s="271">
        <v>44097</v>
      </c>
      <c r="O484" s="277">
        <f t="shared" si="63"/>
        <v>2.3999736255674701E-2</v>
      </c>
      <c r="P484" s="277">
        <f t="shared" si="64"/>
        <v>2.3432804339734568E-2</v>
      </c>
      <c r="Q484" s="277">
        <f t="shared" si="65"/>
        <v>3.3836846789063722E-3</v>
      </c>
      <c r="R484" s="278">
        <f t="shared" si="66"/>
        <v>-7.3878928553840597E-4</v>
      </c>
      <c r="S484" s="277"/>
      <c r="T484" s="277"/>
    </row>
    <row r="485" spans="2:20" x14ac:dyDescent="0.3">
      <c r="B485" s="271">
        <v>44098</v>
      </c>
      <c r="C485" s="273">
        <v>8430.1</v>
      </c>
      <c r="D485" s="273">
        <v>131.75</v>
      </c>
      <c r="E485" s="273">
        <v>1918.35</v>
      </c>
      <c r="F485" s="274">
        <v>12.95</v>
      </c>
      <c r="H485" s="271">
        <v>44098</v>
      </c>
      <c r="I485" s="277">
        <f t="shared" si="59"/>
        <v>-4.0447558178579396E-2</v>
      </c>
      <c r="J485" s="277">
        <f t="shared" si="60"/>
        <v>1.3461538461538462E-2</v>
      </c>
      <c r="K485" s="277">
        <f t="shared" si="61"/>
        <v>-1.4487169607767612E-2</v>
      </c>
      <c r="L485" s="278">
        <f t="shared" si="62"/>
        <v>-1.5209125475285253E-2</v>
      </c>
      <c r="N485" s="271">
        <v>44098</v>
      </c>
      <c r="O485" s="277">
        <f t="shared" si="63"/>
        <v>-4.3673460909879461E-2</v>
      </c>
      <c r="P485" s="277">
        <f t="shared" si="64"/>
        <v>1.44798717041437E-2</v>
      </c>
      <c r="Q485" s="277">
        <f t="shared" si="65"/>
        <v>-1.5774452670796701E-2</v>
      </c>
      <c r="R485" s="278">
        <f t="shared" si="66"/>
        <v>-1.2160035972944952E-2</v>
      </c>
      <c r="S485" s="277"/>
      <c r="T485" s="277"/>
    </row>
    <row r="486" spans="2:20" x14ac:dyDescent="0.3">
      <c r="B486" s="271">
        <v>44099</v>
      </c>
      <c r="C486" s="273">
        <v>8793.4</v>
      </c>
      <c r="D486" s="273">
        <v>137.05000000000001</v>
      </c>
      <c r="E486" s="273">
        <v>1925.6</v>
      </c>
      <c r="F486" s="274">
        <v>13.35</v>
      </c>
      <c r="H486" s="271">
        <v>44099</v>
      </c>
      <c r="I486" s="277">
        <f t="shared" si="59"/>
        <v>4.3095574192476872E-2</v>
      </c>
      <c r="J486" s="277">
        <f t="shared" si="60"/>
        <v>4.022770398481982E-2</v>
      </c>
      <c r="K486" s="277">
        <f t="shared" si="61"/>
        <v>3.779289493575208E-3</v>
      </c>
      <c r="L486" s="278">
        <f t="shared" si="62"/>
        <v>3.0888030888030917E-2</v>
      </c>
      <c r="N486" s="271">
        <v>44099</v>
      </c>
      <c r="O486" s="277">
        <f t="shared" si="63"/>
        <v>3.9869671461176814E-2</v>
      </c>
      <c r="P486" s="277">
        <f t="shared" si="64"/>
        <v>4.1246037227425057E-2</v>
      </c>
      <c r="Q486" s="277">
        <f t="shared" si="65"/>
        <v>2.4920064305461193E-3</v>
      </c>
      <c r="R486" s="278">
        <f t="shared" si="66"/>
        <v>3.3937120390371216E-2</v>
      </c>
      <c r="S486" s="277"/>
      <c r="T486" s="277"/>
    </row>
    <row r="487" spans="2:20" x14ac:dyDescent="0.3">
      <c r="B487" s="271">
        <v>44102</v>
      </c>
      <c r="C487" s="273">
        <v>9008.85</v>
      </c>
      <c r="D487" s="273">
        <v>139.1</v>
      </c>
      <c r="E487" s="273">
        <v>1945.6</v>
      </c>
      <c r="F487" s="274">
        <v>13.55</v>
      </c>
      <c r="H487" s="271">
        <v>44102</v>
      </c>
      <c r="I487" s="277">
        <f t="shared" si="59"/>
        <v>2.4501330543362152E-2</v>
      </c>
      <c r="J487" s="277">
        <f t="shared" si="60"/>
        <v>1.4958044509303048E-2</v>
      </c>
      <c r="K487" s="277">
        <f t="shared" si="61"/>
        <v>1.038637307852098E-2</v>
      </c>
      <c r="L487" s="278">
        <f t="shared" si="62"/>
        <v>1.498127340823978E-2</v>
      </c>
      <c r="N487" s="271">
        <v>44102</v>
      </c>
      <c r="O487" s="277">
        <f t="shared" si="63"/>
        <v>2.1275427812062091E-2</v>
      </c>
      <c r="P487" s="277">
        <f t="shared" si="64"/>
        <v>1.5976377751908286E-2</v>
      </c>
      <c r="Q487" s="277">
        <f t="shared" si="65"/>
        <v>9.0990900154918914E-3</v>
      </c>
      <c r="R487" s="278">
        <f t="shared" si="66"/>
        <v>1.8030362910580081E-2</v>
      </c>
      <c r="S487" s="277"/>
      <c r="T487" s="277"/>
    </row>
    <row r="488" spans="2:20" x14ac:dyDescent="0.3">
      <c r="B488" s="271">
        <v>44103</v>
      </c>
      <c r="C488" s="273">
        <v>9081.75</v>
      </c>
      <c r="D488" s="273">
        <v>139.94999999999999</v>
      </c>
      <c r="E488" s="273">
        <v>1959.95</v>
      </c>
      <c r="F488" s="274">
        <v>13.35</v>
      </c>
      <c r="H488" s="271">
        <v>44103</v>
      </c>
      <c r="I488" s="277">
        <f t="shared" si="59"/>
        <v>8.0920428245558132E-3</v>
      </c>
      <c r="J488" s="277">
        <f t="shared" si="60"/>
        <v>6.1107117181883131E-3</v>
      </c>
      <c r="K488" s="277">
        <f t="shared" si="61"/>
        <v>7.3756167763158603E-3</v>
      </c>
      <c r="L488" s="278">
        <f t="shared" si="62"/>
        <v>-1.4760147601476092E-2</v>
      </c>
      <c r="N488" s="271">
        <v>44103</v>
      </c>
      <c r="O488" s="277">
        <f t="shared" si="63"/>
        <v>4.8661400932557518E-3</v>
      </c>
      <c r="P488" s="277">
        <f t="shared" si="64"/>
        <v>7.1290449607935508E-3</v>
      </c>
      <c r="Q488" s="277">
        <f t="shared" si="65"/>
        <v>6.0883337132867713E-3</v>
      </c>
      <c r="R488" s="278">
        <f t="shared" si="66"/>
        <v>-1.1711058099135791E-2</v>
      </c>
      <c r="S488" s="277"/>
      <c r="T488" s="277"/>
    </row>
    <row r="489" spans="2:20" x14ac:dyDescent="0.3">
      <c r="B489" s="271">
        <v>44104</v>
      </c>
      <c r="C489" s="273">
        <v>8762.0499999999993</v>
      </c>
      <c r="D489" s="273">
        <v>136.9</v>
      </c>
      <c r="E489" s="273">
        <v>1986.4</v>
      </c>
      <c r="F489" s="274">
        <v>13.15</v>
      </c>
      <c r="H489" s="271">
        <v>44104</v>
      </c>
      <c r="I489" s="277">
        <f t="shared" si="59"/>
        <v>-3.5202466484983701E-2</v>
      </c>
      <c r="J489" s="277">
        <f t="shared" si="60"/>
        <v>-2.1793497677741931E-2</v>
      </c>
      <c r="K489" s="277">
        <f t="shared" si="61"/>
        <v>1.3495242225567002E-2</v>
      </c>
      <c r="L489" s="278">
        <f t="shared" si="62"/>
        <v>-1.4981273408239647E-2</v>
      </c>
      <c r="N489" s="271">
        <v>44104</v>
      </c>
      <c r="O489" s="277">
        <f t="shared" si="63"/>
        <v>-3.8428369216283759E-2</v>
      </c>
      <c r="P489" s="277">
        <f t="shared" si="64"/>
        <v>-2.0775164435136693E-2</v>
      </c>
      <c r="Q489" s="277">
        <f t="shared" si="65"/>
        <v>1.2207959162537913E-2</v>
      </c>
      <c r="R489" s="278">
        <f t="shared" si="66"/>
        <v>-1.1932183905899346E-2</v>
      </c>
      <c r="S489" s="277"/>
      <c r="T489" s="277"/>
    </row>
    <row r="490" spans="2:20" x14ac:dyDescent="0.3">
      <c r="B490" s="271">
        <v>44105</v>
      </c>
      <c r="C490" s="273">
        <v>8850.2000000000007</v>
      </c>
      <c r="D490" s="273">
        <v>137.44999999999999</v>
      </c>
      <c r="E490" s="273">
        <v>2040.45</v>
      </c>
      <c r="F490" s="274">
        <v>13.3</v>
      </c>
      <c r="H490" s="271">
        <v>44105</v>
      </c>
      <c r="I490" s="277">
        <f t="shared" si="59"/>
        <v>1.0060431063506995E-2</v>
      </c>
      <c r="J490" s="277">
        <f t="shared" si="60"/>
        <v>4.0175310445579471E-3</v>
      </c>
      <c r="K490" s="277">
        <f t="shared" si="61"/>
        <v>2.721002819170356E-2</v>
      </c>
      <c r="L490" s="278">
        <f t="shared" si="62"/>
        <v>1.1406844106463905E-2</v>
      </c>
      <c r="N490" s="271">
        <v>44105</v>
      </c>
      <c r="O490" s="277">
        <f t="shared" si="63"/>
        <v>6.8345283322069333E-3</v>
      </c>
      <c r="P490" s="277">
        <f t="shared" si="64"/>
        <v>5.0358642871631849E-3</v>
      </c>
      <c r="Q490" s="277">
        <f t="shared" si="65"/>
        <v>2.5922745128674471E-2</v>
      </c>
      <c r="R490" s="278">
        <f t="shared" si="66"/>
        <v>1.4455933608804206E-2</v>
      </c>
      <c r="S490" s="277"/>
      <c r="T490" s="277"/>
    </row>
    <row r="491" spans="2:20" x14ac:dyDescent="0.3">
      <c r="B491" s="271">
        <v>44109</v>
      </c>
      <c r="C491" s="273">
        <v>8840.4</v>
      </c>
      <c r="D491" s="273">
        <v>137.80000000000001</v>
      </c>
      <c r="E491" s="273">
        <v>2028</v>
      </c>
      <c r="F491" s="274">
        <v>13.35</v>
      </c>
      <c r="H491" s="271">
        <v>44109</v>
      </c>
      <c r="I491" s="277">
        <f t="shared" si="59"/>
        <v>-1.1073196085965391E-3</v>
      </c>
      <c r="J491" s="277">
        <f t="shared" si="60"/>
        <v>2.5463805020008931E-3</v>
      </c>
      <c r="K491" s="277">
        <f t="shared" si="61"/>
        <v>-6.1015952363449458E-3</v>
      </c>
      <c r="L491" s="278">
        <f t="shared" si="62"/>
        <v>3.7593984962405211E-3</v>
      </c>
      <c r="N491" s="271">
        <v>44109</v>
      </c>
      <c r="O491" s="277">
        <f t="shared" si="63"/>
        <v>-4.3332223398966007E-3</v>
      </c>
      <c r="P491" s="277">
        <f t="shared" si="64"/>
        <v>3.5647137446061308E-3</v>
      </c>
      <c r="Q491" s="277">
        <f t="shared" si="65"/>
        <v>-7.388878299374034E-3</v>
      </c>
      <c r="R491" s="278">
        <f t="shared" si="66"/>
        <v>6.8084879985808224E-3</v>
      </c>
      <c r="S491" s="277"/>
      <c r="T491" s="277"/>
    </row>
    <row r="492" spans="2:20" x14ac:dyDescent="0.3">
      <c r="B492" s="271">
        <v>44110</v>
      </c>
      <c r="C492" s="273">
        <v>8719.7000000000007</v>
      </c>
      <c r="D492" s="273">
        <v>137.9</v>
      </c>
      <c r="E492" s="273">
        <v>2090</v>
      </c>
      <c r="F492" s="274">
        <v>13.3</v>
      </c>
      <c r="H492" s="271">
        <v>44110</v>
      </c>
      <c r="I492" s="277">
        <f t="shared" si="59"/>
        <v>-1.3653228360707537E-2</v>
      </c>
      <c r="J492" s="277">
        <f t="shared" si="60"/>
        <v>7.2568940493464664E-4</v>
      </c>
      <c r="K492" s="277">
        <f t="shared" si="61"/>
        <v>3.0571992110453649E-2</v>
      </c>
      <c r="L492" s="278">
        <f t="shared" si="62"/>
        <v>-3.7453183520598453E-3</v>
      </c>
      <c r="N492" s="271">
        <v>44110</v>
      </c>
      <c r="O492" s="277">
        <f t="shared" si="63"/>
        <v>-1.6879131092007598E-2</v>
      </c>
      <c r="P492" s="277">
        <f t="shared" si="64"/>
        <v>1.7440226475398846E-3</v>
      </c>
      <c r="Q492" s="277">
        <f t="shared" si="65"/>
        <v>2.928470904742456E-2</v>
      </c>
      <c r="R492" s="278">
        <f t="shared" si="66"/>
        <v>-6.9622884971954398E-4</v>
      </c>
      <c r="S492" s="277"/>
      <c r="T492" s="277"/>
    </row>
    <row r="493" spans="2:20" x14ac:dyDescent="0.3">
      <c r="B493" s="271">
        <v>44111</v>
      </c>
      <c r="C493" s="273">
        <v>8716</v>
      </c>
      <c r="D493" s="273">
        <v>123.35</v>
      </c>
      <c r="E493" s="273">
        <v>2105</v>
      </c>
      <c r="F493" s="274">
        <v>13.15</v>
      </c>
      <c r="H493" s="271">
        <v>44111</v>
      </c>
      <c r="I493" s="277">
        <f t="shared" si="59"/>
        <v>-4.243265249952094E-4</v>
      </c>
      <c r="J493" s="277">
        <f t="shared" si="60"/>
        <v>-0.10551124002900661</v>
      </c>
      <c r="K493" s="277">
        <f t="shared" si="61"/>
        <v>7.1770334928229667E-3</v>
      </c>
      <c r="L493" s="278">
        <f t="shared" si="62"/>
        <v>-1.127819548872183E-2</v>
      </c>
      <c r="N493" s="271">
        <v>44111</v>
      </c>
      <c r="O493" s="277">
        <f t="shared" si="63"/>
        <v>-3.6502292562952707E-3</v>
      </c>
      <c r="P493" s="277">
        <f t="shared" si="64"/>
        <v>-0.10449290678640137</v>
      </c>
      <c r="Q493" s="277">
        <f t="shared" si="65"/>
        <v>5.8897504297938785E-3</v>
      </c>
      <c r="R493" s="278">
        <f t="shared" si="66"/>
        <v>-8.229105986381529E-3</v>
      </c>
      <c r="S493" s="277"/>
      <c r="T493" s="277"/>
    </row>
    <row r="494" spans="2:20" x14ac:dyDescent="0.3">
      <c r="B494" s="271">
        <v>44112</v>
      </c>
      <c r="C494" s="273">
        <v>8444.15</v>
      </c>
      <c r="D494" s="273">
        <v>117.9</v>
      </c>
      <c r="E494" s="273">
        <v>2088.65</v>
      </c>
      <c r="F494" s="274">
        <v>13.1</v>
      </c>
      <c r="H494" s="271">
        <v>44112</v>
      </c>
      <c r="I494" s="277">
        <f t="shared" si="59"/>
        <v>-3.1189765947682465E-2</v>
      </c>
      <c r="J494" s="277">
        <f t="shared" si="60"/>
        <v>-4.4183218483988561E-2</v>
      </c>
      <c r="K494" s="277">
        <f t="shared" si="61"/>
        <v>-7.7672209026127832E-3</v>
      </c>
      <c r="L494" s="278">
        <f t="shared" si="62"/>
        <v>-3.8022813688213465E-3</v>
      </c>
      <c r="N494" s="271">
        <v>44112</v>
      </c>
      <c r="O494" s="277">
        <f t="shared" si="63"/>
        <v>-3.4415668678982526E-2</v>
      </c>
      <c r="P494" s="277">
        <f t="shared" si="64"/>
        <v>-4.3164885241383323E-2</v>
      </c>
      <c r="Q494" s="277">
        <f t="shared" si="65"/>
        <v>-9.0545039656418722E-3</v>
      </c>
      <c r="R494" s="278">
        <f t="shared" si="66"/>
        <v>-7.5319186648104518E-4</v>
      </c>
      <c r="S494" s="277"/>
      <c r="T494" s="277"/>
    </row>
    <row r="495" spans="2:20" x14ac:dyDescent="0.3">
      <c r="B495" s="271">
        <v>44113</v>
      </c>
      <c r="C495" s="273">
        <v>8490.35</v>
      </c>
      <c r="D495" s="273">
        <v>121.85</v>
      </c>
      <c r="E495" s="273">
        <v>2050.6</v>
      </c>
      <c r="F495" s="274">
        <v>13.15</v>
      </c>
      <c r="H495" s="271">
        <v>44113</v>
      </c>
      <c r="I495" s="277">
        <f t="shared" si="59"/>
        <v>5.4712434051977675E-3</v>
      </c>
      <c r="J495" s="277">
        <f t="shared" si="60"/>
        <v>3.3502968617472338E-2</v>
      </c>
      <c r="K495" s="277">
        <f t="shared" si="61"/>
        <v>-1.8217508917243282E-2</v>
      </c>
      <c r="L495" s="278">
        <f t="shared" si="62"/>
        <v>3.8167938931298255E-3</v>
      </c>
      <c r="N495" s="271">
        <v>44113</v>
      </c>
      <c r="O495" s="277">
        <f t="shared" si="63"/>
        <v>2.2453406738977061E-3</v>
      </c>
      <c r="P495" s="277">
        <f t="shared" si="64"/>
        <v>3.4521301860077576E-2</v>
      </c>
      <c r="Q495" s="277">
        <f t="shared" si="65"/>
        <v>-1.9504791980272371E-2</v>
      </c>
      <c r="R495" s="278">
        <f t="shared" si="66"/>
        <v>6.8658833954701268E-3</v>
      </c>
      <c r="S495" s="277"/>
      <c r="T495" s="277"/>
    </row>
    <row r="496" spans="2:20" x14ac:dyDescent="0.3">
      <c r="B496" s="271">
        <v>44116</v>
      </c>
      <c r="C496" s="273">
        <v>8453.65</v>
      </c>
      <c r="D496" s="273">
        <v>96.95</v>
      </c>
      <c r="E496" s="273">
        <v>2077.85</v>
      </c>
      <c r="F496" s="274">
        <v>13</v>
      </c>
      <c r="H496" s="271">
        <v>44116</v>
      </c>
      <c r="I496" s="277">
        <f t="shared" si="59"/>
        <v>-4.3225544294405683E-3</v>
      </c>
      <c r="J496" s="277">
        <f t="shared" si="60"/>
        <v>-0.2043496101764464</v>
      </c>
      <c r="K496" s="277">
        <f t="shared" si="61"/>
        <v>1.328879352384668E-2</v>
      </c>
      <c r="L496" s="278">
        <f t="shared" si="62"/>
        <v>-1.1406844106463905E-2</v>
      </c>
      <c r="N496" s="271">
        <v>44116</v>
      </c>
      <c r="O496" s="277">
        <f t="shared" si="63"/>
        <v>-7.5484571607406297E-3</v>
      </c>
      <c r="P496" s="277">
        <f t="shared" si="64"/>
        <v>-0.20333127693384115</v>
      </c>
      <c r="Q496" s="277">
        <f t="shared" si="65"/>
        <v>1.2001510460817591E-2</v>
      </c>
      <c r="R496" s="278">
        <f t="shared" si="66"/>
        <v>-8.3577546041236038E-3</v>
      </c>
      <c r="S496" s="277"/>
      <c r="T496" s="277"/>
    </row>
    <row r="497" spans="2:20" ht="15" thickBot="1" x14ac:dyDescent="0.35">
      <c r="B497" s="272">
        <v>44117</v>
      </c>
      <c r="C497" s="275">
        <v>9020.15</v>
      </c>
      <c r="D497" s="275">
        <v>99.65</v>
      </c>
      <c r="E497" s="275">
        <v>2064.65</v>
      </c>
      <c r="F497" s="276">
        <v>12.95</v>
      </c>
      <c r="H497" s="272">
        <v>44117</v>
      </c>
      <c r="I497" s="279">
        <f t="shared" si="59"/>
        <v>6.701247390180573E-2</v>
      </c>
      <c r="J497" s="279">
        <f t="shared" si="60"/>
        <v>2.7849406910778779E-2</v>
      </c>
      <c r="K497" s="279">
        <f t="shared" si="61"/>
        <v>-6.3527203599874002E-3</v>
      </c>
      <c r="L497" s="280">
        <f t="shared" si="62"/>
        <v>-3.846153846153901E-3</v>
      </c>
      <c r="N497" s="272">
        <v>44117</v>
      </c>
      <c r="O497" s="279">
        <f t="shared" si="63"/>
        <v>6.3786571170505665E-2</v>
      </c>
      <c r="P497" s="279">
        <f t="shared" si="64"/>
        <v>2.8867740153384017E-2</v>
      </c>
      <c r="Q497" s="279">
        <f t="shared" si="65"/>
        <v>-7.6400034230164893E-3</v>
      </c>
      <c r="R497" s="280">
        <f t="shared" si="66"/>
        <v>-7.9706434381359966E-4</v>
      </c>
      <c r="S497" s="277"/>
      <c r="T497" s="277"/>
    </row>
    <row r="499" spans="2:20" x14ac:dyDescent="0.3">
      <c r="H499" s="48" t="s">
        <v>169</v>
      </c>
      <c r="I499" s="281">
        <f>AVERAGE(I9:I497)</f>
        <v>3.2259027313000614E-3</v>
      </c>
      <c r="J499" s="281">
        <f t="shared" ref="J499:L499" si="67">AVERAGE(J9:J497)</f>
        <v>-1.0183332426052379E-3</v>
      </c>
      <c r="K499" s="281">
        <f t="shared" si="67"/>
        <v>1.2872830630290886E-3</v>
      </c>
      <c r="L499" s="281">
        <f t="shared" si="67"/>
        <v>-3.0490895023403014E-3</v>
      </c>
    </row>
  </sheetData>
  <mergeCells count="3">
    <mergeCell ref="H5:L5"/>
    <mergeCell ref="N5:R5"/>
    <mergeCell ref="V5:Z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AAD7-9037-4FC0-8E02-61377255321B}">
  <dimension ref="A2:N41"/>
  <sheetViews>
    <sheetView zoomScale="137" zoomScaleNormal="137" workbookViewId="0">
      <selection activeCell="J39" sqref="J39"/>
    </sheetView>
  </sheetViews>
  <sheetFormatPr defaultRowHeight="14.4" x14ac:dyDescent="0.3"/>
  <cols>
    <col min="1" max="1" width="3.33203125" bestFit="1" customWidth="1"/>
  </cols>
  <sheetData>
    <row r="2" spans="1:13" x14ac:dyDescent="0.3">
      <c r="A2" s="42" t="s">
        <v>191</v>
      </c>
      <c r="B2" t="s">
        <v>348</v>
      </c>
    </row>
    <row r="4" spans="1:13" x14ac:dyDescent="0.3">
      <c r="B4" t="s">
        <v>349</v>
      </c>
    </row>
    <row r="6" spans="1:13" x14ac:dyDescent="0.3">
      <c r="B6" t="s">
        <v>350</v>
      </c>
    </row>
    <row r="7" spans="1:13" x14ac:dyDescent="0.3">
      <c r="B7" t="s">
        <v>351</v>
      </c>
    </row>
    <row r="9" spans="1:13" x14ac:dyDescent="0.3">
      <c r="B9" t="s">
        <v>264</v>
      </c>
    </row>
    <row r="11" spans="1:13" ht="15" thickBot="1" x14ac:dyDescent="0.35"/>
    <row r="12" spans="1:13" x14ac:dyDescent="0.3">
      <c r="D12" s="32" t="s">
        <v>345</v>
      </c>
      <c r="E12" s="33" t="s">
        <v>117</v>
      </c>
      <c r="F12" s="33" t="s">
        <v>206</v>
      </c>
      <c r="G12" s="35" t="s">
        <v>204</v>
      </c>
      <c r="J12" s="32" t="s">
        <v>345</v>
      </c>
      <c r="K12" s="33" t="s">
        <v>117</v>
      </c>
      <c r="L12" s="33" t="s">
        <v>206</v>
      </c>
      <c r="M12" s="35" t="s">
        <v>204</v>
      </c>
    </row>
    <row r="13" spans="1:13" x14ac:dyDescent="0.3">
      <c r="D13" s="85" t="s">
        <v>265</v>
      </c>
      <c r="E13" s="44">
        <v>0.2</v>
      </c>
      <c r="F13" s="44">
        <v>0.32</v>
      </c>
      <c r="G13" s="37">
        <v>0.1</v>
      </c>
      <c r="J13" s="85" t="s">
        <v>265</v>
      </c>
      <c r="K13" s="44">
        <v>0.2</v>
      </c>
      <c r="L13" s="44">
        <v>0.32</v>
      </c>
      <c r="M13" s="37">
        <v>0.45572916666666746</v>
      </c>
    </row>
    <row r="14" spans="1:13" x14ac:dyDescent="0.3">
      <c r="D14" s="85" t="s">
        <v>266</v>
      </c>
      <c r="E14" s="44">
        <v>0.06</v>
      </c>
      <c r="F14" s="44">
        <v>0</v>
      </c>
      <c r="G14" s="37">
        <f>1-G13</f>
        <v>0.9</v>
      </c>
      <c r="J14" s="85" t="s">
        <v>266</v>
      </c>
      <c r="K14" s="44">
        <v>0.06</v>
      </c>
      <c r="L14" s="44">
        <v>0</v>
      </c>
      <c r="M14" s="196">
        <v>0.54427083333333248</v>
      </c>
    </row>
    <row r="15" spans="1:13" x14ac:dyDescent="0.3">
      <c r="D15" s="85"/>
      <c r="G15" s="37"/>
      <c r="J15" s="85"/>
      <c r="M15" s="37">
        <f>M13+M14</f>
        <v>1</v>
      </c>
    </row>
    <row r="16" spans="1:13" x14ac:dyDescent="0.3">
      <c r="D16" s="85"/>
      <c r="G16" s="37"/>
      <c r="J16" s="85"/>
      <c r="M16" s="37"/>
    </row>
    <row r="17" spans="1:14" x14ac:dyDescent="0.3">
      <c r="D17" s="85"/>
      <c r="E17" t="s">
        <v>268</v>
      </c>
      <c r="G17" s="194">
        <f>SUMPRODUCT(G13:G14,E13:E14)</f>
        <v>7.400000000000001E-2</v>
      </c>
      <c r="J17" s="85"/>
      <c r="K17" t="s">
        <v>268</v>
      </c>
      <c r="M17" s="194">
        <f>SUMPRODUCT(M13:M14,K13:K14)</f>
        <v>0.12380208333333345</v>
      </c>
    </row>
    <row r="18" spans="1:14" x14ac:dyDescent="0.3">
      <c r="D18" s="85"/>
      <c r="G18" s="37"/>
      <c r="J18" s="85"/>
      <c r="M18" s="37"/>
    </row>
    <row r="19" spans="1:14" x14ac:dyDescent="0.3">
      <c r="D19" s="85"/>
      <c r="E19" t="s">
        <v>293</v>
      </c>
      <c r="G19" s="194">
        <f>G13*F13</f>
        <v>3.2000000000000001E-2</v>
      </c>
      <c r="J19" s="85"/>
      <c r="K19" t="s">
        <v>293</v>
      </c>
      <c r="M19" s="194">
        <f>M13*L13</f>
        <v>0.14583333333333359</v>
      </c>
    </row>
    <row r="20" spans="1:14" x14ac:dyDescent="0.3">
      <c r="D20" s="85"/>
      <c r="G20" s="37"/>
      <c r="J20" s="85"/>
      <c r="M20" s="37"/>
    </row>
    <row r="21" spans="1:14" ht="15" thickBot="1" x14ac:dyDescent="0.35">
      <c r="D21" s="60"/>
      <c r="E21" s="39" t="s">
        <v>346</v>
      </c>
      <c r="F21" s="39"/>
      <c r="G21" s="235">
        <f>G17-1/2*3*G19^2</f>
        <v>7.2464000000000015E-2</v>
      </c>
      <c r="J21" s="60"/>
      <c r="K21" s="39" t="s">
        <v>346</v>
      </c>
      <c r="L21" s="39"/>
      <c r="M21" s="235">
        <f>M17-1/2*3*M19^2</f>
        <v>9.1901041666666669E-2</v>
      </c>
    </row>
    <row r="24" spans="1:14" x14ac:dyDescent="0.3">
      <c r="E24" t="s">
        <v>347</v>
      </c>
      <c r="F24" t="s">
        <v>8</v>
      </c>
      <c r="G24" s="291">
        <f>E13-E14</f>
        <v>0.14000000000000001</v>
      </c>
      <c r="H24" t="s">
        <v>8</v>
      </c>
      <c r="I24">
        <f>G24/G25</f>
        <v>0.45572916666666669</v>
      </c>
    </row>
    <row r="25" spans="1:14" x14ac:dyDescent="0.3">
      <c r="G25">
        <f>3*F13^2</f>
        <v>0.30720000000000003</v>
      </c>
    </row>
    <row r="27" spans="1:14" x14ac:dyDescent="0.3">
      <c r="A27" s="42" t="s">
        <v>211</v>
      </c>
      <c r="E27" t="s">
        <v>205</v>
      </c>
      <c r="F27" t="s">
        <v>206</v>
      </c>
      <c r="G27" t="s">
        <v>204</v>
      </c>
      <c r="L27" t="s">
        <v>205</v>
      </c>
      <c r="M27" t="s">
        <v>206</v>
      </c>
      <c r="N27" t="s">
        <v>204</v>
      </c>
    </row>
    <row r="28" spans="1:14" x14ac:dyDescent="0.3">
      <c r="D28" t="s">
        <v>201</v>
      </c>
      <c r="E28" s="44">
        <v>0.27</v>
      </c>
      <c r="F28" s="44">
        <v>0.18</v>
      </c>
      <c r="G28">
        <v>0.25</v>
      </c>
      <c r="K28" t="s">
        <v>201</v>
      </c>
      <c r="L28" s="44">
        <v>0.27</v>
      </c>
      <c r="M28" s="44">
        <v>0.18</v>
      </c>
      <c r="N28">
        <v>0.13898916971125541</v>
      </c>
    </row>
    <row r="29" spans="1:14" x14ac:dyDescent="0.3">
      <c r="D29" t="s">
        <v>202</v>
      </c>
      <c r="E29" s="44">
        <v>0.09</v>
      </c>
      <c r="F29" s="44">
        <v>0.06</v>
      </c>
      <c r="G29" s="47">
        <f>1-G28</f>
        <v>0.75</v>
      </c>
      <c r="K29" t="s">
        <v>202</v>
      </c>
      <c r="L29" s="44">
        <v>0.09</v>
      </c>
      <c r="M29" s="44">
        <v>0.06</v>
      </c>
      <c r="N29" s="47">
        <v>0.86101083028874448</v>
      </c>
    </row>
    <row r="30" spans="1:14" x14ac:dyDescent="0.3">
      <c r="E30" s="44"/>
      <c r="F30" s="44"/>
      <c r="G30" s="47">
        <f>G28+G29</f>
        <v>1</v>
      </c>
      <c r="L30" s="44"/>
      <c r="M30" s="44"/>
      <c r="N30" s="47">
        <f>N28+N29</f>
        <v>0.99999999999999989</v>
      </c>
    </row>
    <row r="32" spans="1:14" x14ac:dyDescent="0.3">
      <c r="F32" t="s">
        <v>152</v>
      </c>
      <c r="G32">
        <v>-0.18</v>
      </c>
      <c r="M32" t="s">
        <v>152</v>
      </c>
      <c r="N32">
        <v>-0.18</v>
      </c>
    </row>
    <row r="34" spans="1:14" x14ac:dyDescent="0.3">
      <c r="E34" t="s">
        <v>293</v>
      </c>
      <c r="G34" s="84">
        <f>SQRT(G28^2*F28^2+G29^2*F29^2+2*G28*G29*F28*F29*G32)</f>
        <v>5.7628118136895633E-2</v>
      </c>
      <c r="L34" t="s">
        <v>293</v>
      </c>
      <c r="N34" s="84">
        <f>SQRT(N28^2*M28^2+N29^2*M29^2+2*N28*N29*M28*M29*N32)</f>
        <v>5.3192518678112047E-2</v>
      </c>
    </row>
    <row r="36" spans="1:14" x14ac:dyDescent="0.3">
      <c r="B36">
        <f>F28^2</f>
        <v>3.2399999999999998E-2</v>
      </c>
      <c r="E36" t="s">
        <v>352</v>
      </c>
      <c r="G36" s="47">
        <f>B36-B38</f>
        <v>3.4344E-2</v>
      </c>
      <c r="H36" t="s">
        <v>8</v>
      </c>
      <c r="I36">
        <f>G36/G37</f>
        <v>0.86101083032490977</v>
      </c>
    </row>
    <row r="37" spans="1:14" x14ac:dyDescent="0.3">
      <c r="B37">
        <f>F29^2</f>
        <v>3.5999999999999999E-3</v>
      </c>
      <c r="G37">
        <f>B36+B37-2*B38</f>
        <v>3.9888E-2</v>
      </c>
    </row>
    <row r="38" spans="1:14" x14ac:dyDescent="0.3">
      <c r="B38">
        <f>F28*F29*G32</f>
        <v>-1.9439999999999998E-3</v>
      </c>
    </row>
    <row r="41" spans="1:14" x14ac:dyDescent="0.3">
      <c r="A41" s="42" t="s">
        <v>230</v>
      </c>
      <c r="E41" s="84">
        <f>18%*SQRT(1/12)</f>
        <v>5.1961524227066312E-2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4DFF-035C-47BC-88A9-7DE260F85BB6}">
  <dimension ref="B1:AN494"/>
  <sheetViews>
    <sheetView zoomScale="137" zoomScaleNormal="137" workbookViewId="0">
      <selection activeCell="L4" sqref="L4"/>
    </sheetView>
  </sheetViews>
  <sheetFormatPr defaultRowHeight="14.4" x14ac:dyDescent="0.3"/>
  <cols>
    <col min="2" max="2" width="10" bestFit="1" customWidth="1"/>
    <col min="3" max="4" width="9" bestFit="1" customWidth="1"/>
    <col min="5" max="5" width="10.21875" bestFit="1" customWidth="1"/>
    <col min="6" max="8" width="9.21875" bestFit="1" customWidth="1"/>
    <col min="9" max="9" width="9" bestFit="1" customWidth="1"/>
    <col min="10" max="10" width="9.21875" bestFit="1" customWidth="1"/>
    <col min="13" max="13" width="11.5546875" bestFit="1" customWidth="1"/>
    <col min="22" max="22" width="11.5546875" bestFit="1" customWidth="1"/>
    <col min="32" max="32" width="12.21875" bestFit="1" customWidth="1"/>
    <col min="33" max="33" width="9.77734375" bestFit="1" customWidth="1"/>
    <col min="34" max="34" width="11.77734375" bestFit="1" customWidth="1"/>
    <col min="35" max="35" width="10.44140625" bestFit="1" customWidth="1"/>
    <col min="36" max="36" width="9.77734375" bestFit="1" customWidth="1"/>
    <col min="37" max="40" width="10.44140625" bestFit="1" customWidth="1"/>
  </cols>
  <sheetData>
    <row r="1" spans="2:40" ht="15" thickBot="1" x14ac:dyDescent="0.35">
      <c r="AG1">
        <f>1/8</f>
        <v>0.125</v>
      </c>
      <c r="AH1">
        <f t="shared" ref="AH1:AN1" si="0">1/8</f>
        <v>0.125</v>
      </c>
      <c r="AI1">
        <f t="shared" si="0"/>
        <v>0.125</v>
      </c>
      <c r="AJ1">
        <f t="shared" si="0"/>
        <v>0.125</v>
      </c>
      <c r="AK1">
        <f t="shared" si="0"/>
        <v>0.125</v>
      </c>
      <c r="AL1">
        <f t="shared" si="0"/>
        <v>0.125</v>
      </c>
      <c r="AM1">
        <f t="shared" si="0"/>
        <v>0.125</v>
      </c>
      <c r="AN1">
        <f t="shared" si="0"/>
        <v>0.125</v>
      </c>
    </row>
    <row r="2" spans="2:40" ht="15" thickBot="1" x14ac:dyDescent="0.35">
      <c r="B2" s="201" t="s">
        <v>329</v>
      </c>
      <c r="C2" s="269" t="s">
        <v>331</v>
      </c>
      <c r="D2" s="269" t="s">
        <v>353</v>
      </c>
      <c r="E2" s="269" t="s">
        <v>330</v>
      </c>
      <c r="F2" s="269" t="s">
        <v>354</v>
      </c>
      <c r="G2" s="269" t="s">
        <v>332</v>
      </c>
      <c r="H2" s="269" t="s">
        <v>355</v>
      </c>
      <c r="I2" s="269" t="s">
        <v>333</v>
      </c>
      <c r="J2" s="270" t="s">
        <v>356</v>
      </c>
      <c r="L2" s="296" t="s">
        <v>331</v>
      </c>
      <c r="M2" s="294" t="s">
        <v>353</v>
      </c>
      <c r="N2" s="294" t="s">
        <v>330</v>
      </c>
      <c r="O2" s="294" t="s">
        <v>354</v>
      </c>
      <c r="P2" s="294" t="s">
        <v>332</v>
      </c>
      <c r="Q2" s="294" t="s">
        <v>355</v>
      </c>
      <c r="R2" s="294" t="s">
        <v>333</v>
      </c>
      <c r="S2" s="295" t="s">
        <v>356</v>
      </c>
      <c r="U2" s="296" t="s">
        <v>331</v>
      </c>
      <c r="V2" s="294" t="s">
        <v>353</v>
      </c>
      <c r="W2" s="294" t="s">
        <v>330</v>
      </c>
      <c r="X2" s="294" t="s">
        <v>354</v>
      </c>
      <c r="Y2" s="294" t="s">
        <v>332</v>
      </c>
      <c r="Z2" s="294" t="s">
        <v>355</v>
      </c>
      <c r="AA2" s="294" t="s">
        <v>333</v>
      </c>
      <c r="AB2" s="295" t="s">
        <v>356</v>
      </c>
      <c r="AG2" s="308" t="s">
        <v>331</v>
      </c>
      <c r="AH2" s="308" t="s">
        <v>353</v>
      </c>
      <c r="AI2" s="308" t="s">
        <v>330</v>
      </c>
      <c r="AJ2" s="308" t="s">
        <v>354</v>
      </c>
      <c r="AK2" s="308" t="s">
        <v>332</v>
      </c>
      <c r="AL2" s="308" t="s">
        <v>355</v>
      </c>
      <c r="AM2" s="308" t="s">
        <v>333</v>
      </c>
      <c r="AN2" s="308" t="s">
        <v>356</v>
      </c>
    </row>
    <row r="3" spans="2:40" x14ac:dyDescent="0.3">
      <c r="B3" s="271">
        <v>44117</v>
      </c>
      <c r="C3" s="292">
        <v>99.65</v>
      </c>
      <c r="D3" s="292">
        <v>705.09997599999997</v>
      </c>
      <c r="E3" s="292">
        <v>9020.15</v>
      </c>
      <c r="F3" s="292">
        <v>1198.4499510000001</v>
      </c>
      <c r="G3" s="292">
        <v>2064.65</v>
      </c>
      <c r="H3" s="292">
        <v>2280.6999510000001</v>
      </c>
      <c r="I3" s="292">
        <v>12.95</v>
      </c>
      <c r="J3" s="197">
        <v>2138.1999510000001</v>
      </c>
      <c r="L3" s="297">
        <f>LN(C3/C4)</f>
        <v>2.7468664970143022E-2</v>
      </c>
      <c r="M3" s="298">
        <f t="shared" ref="M3:P3" si="1">LN(D3/D4)</f>
        <v>4.8751147201293775E-2</v>
      </c>
      <c r="N3" s="298">
        <f t="shared" si="1"/>
        <v>6.4862662880902477E-2</v>
      </c>
      <c r="O3" s="298">
        <f t="shared" si="1"/>
        <v>-1.2603353394162849E-2</v>
      </c>
      <c r="P3" s="298">
        <f t="shared" si="1"/>
        <v>-6.3729847562571636E-3</v>
      </c>
      <c r="Q3" s="298">
        <f>LN(H3/H4)</f>
        <v>1.9324336379850943E-2</v>
      </c>
      <c r="R3" s="298">
        <f t="shared" ref="R3" si="2">LN(I3/I4)</f>
        <v>-3.8535693159900777E-3</v>
      </c>
      <c r="S3" s="299">
        <f t="shared" ref="S3" si="3">LN(J3/J4)</f>
        <v>-9.3509333123789135E-5</v>
      </c>
      <c r="U3" s="303">
        <f>L3-L$494</f>
        <v>2.9027370390651553E-2</v>
      </c>
      <c r="V3" s="86">
        <f t="shared" ref="V3:AB3" si="4">M3-M$494</f>
        <v>4.2653418502833142E-2</v>
      </c>
      <c r="W3" s="86">
        <f t="shared" si="4"/>
        <v>6.2014159535836305E-2</v>
      </c>
      <c r="X3" s="86">
        <f t="shared" si="4"/>
        <v>-1.2974680906677359E-2</v>
      </c>
      <c r="Y3" s="86">
        <f t="shared" si="4"/>
        <v>-7.4819947479507921E-3</v>
      </c>
      <c r="Z3" s="86">
        <f t="shared" si="4"/>
        <v>1.7762543780673594E-2</v>
      </c>
      <c r="AA3" s="86">
        <f t="shared" si="4"/>
        <v>1.858351359553458E-3</v>
      </c>
      <c r="AB3" s="304">
        <f t="shared" si="4"/>
        <v>-7.0586720977335005E-4</v>
      </c>
      <c r="AE3">
        <f>1/8</f>
        <v>0.125</v>
      </c>
      <c r="AF3" s="42" t="s">
        <v>331</v>
      </c>
      <c r="AG3" s="309" cm="1">
        <f t="array" ref="AG3:AN10">MMULT(TRANSPOSE(U3:AB491),U3:AB491)/488</f>
        <v>1.1025617525789086E-3</v>
      </c>
      <c r="AH3" s="310">
        <v>3.1919983407721674E-4</v>
      </c>
      <c r="AI3" s="310">
        <v>2.6405465649714235E-4</v>
      </c>
      <c r="AJ3" s="310">
        <v>2.6626989253026283E-4</v>
      </c>
      <c r="AK3" s="310">
        <v>1.7767271426422142E-4</v>
      </c>
      <c r="AL3" s="310">
        <v>3.2044028903373181E-4</v>
      </c>
      <c r="AM3" s="310">
        <v>1.9415594055316175E-4</v>
      </c>
      <c r="AN3" s="311">
        <v>1.7020170837836327E-4</v>
      </c>
    </row>
    <row r="4" spans="2:40" x14ac:dyDescent="0.3">
      <c r="B4" s="271">
        <v>44116</v>
      </c>
      <c r="C4" s="292">
        <v>96.95</v>
      </c>
      <c r="D4" s="292">
        <v>671.54998799999998</v>
      </c>
      <c r="E4" s="292">
        <v>8453.65</v>
      </c>
      <c r="F4" s="292">
        <v>1213.650024</v>
      </c>
      <c r="G4" s="292">
        <v>2077.85</v>
      </c>
      <c r="H4" s="292">
        <v>2237.0500489999999</v>
      </c>
      <c r="I4" s="292">
        <v>13</v>
      </c>
      <c r="J4" s="197">
        <v>2138.3999020000001</v>
      </c>
      <c r="L4" s="297">
        <f t="shared" ref="L4:L67" si="5">LN(C4/C5)</f>
        <v>-0.22859539838255433</v>
      </c>
      <c r="M4" s="298">
        <f t="shared" ref="M4:M67" si="6">LN(D4/D5)</f>
        <v>-1.8296377594620109E-2</v>
      </c>
      <c r="N4" s="298">
        <f t="shared" ref="N4:N67" si="7">LN(E4/E5)</f>
        <v>-4.3319236769745516E-3</v>
      </c>
      <c r="O4" s="298">
        <f t="shared" ref="O4:O67" si="8">LN(F4/F5)</f>
        <v>-1.6263863236450959E-2</v>
      </c>
      <c r="P4" s="298">
        <f t="shared" ref="P4:P67" si="9">LN(G4/G5)</f>
        <v>1.3201272024663941E-2</v>
      </c>
      <c r="Q4" s="298">
        <f t="shared" ref="Q4:Q67" si="10">LN(H4/H5)</f>
        <v>1.6106022942548621E-3</v>
      </c>
      <c r="R4" s="298">
        <f t="shared" ref="R4:R67" si="11">LN(I4/I5)</f>
        <v>-1.1472401162236807E-2</v>
      </c>
      <c r="S4" s="299">
        <f t="shared" ref="S4:S67" si="12">LN(J4/J5)</f>
        <v>-5.843784401032674E-4</v>
      </c>
      <c r="U4" s="303">
        <f t="shared" ref="U4:U67" si="13">L4-L$494</f>
        <v>-0.22703669296204579</v>
      </c>
      <c r="V4" s="86">
        <f t="shared" ref="V4:V67" si="14">M4-M$494</f>
        <v>-2.4394106293080742E-2</v>
      </c>
      <c r="W4" s="86">
        <f t="shared" ref="W4:W67" si="15">N4-N$494</f>
        <v>-7.1804270220407213E-3</v>
      </c>
      <c r="X4" s="86">
        <f t="shared" ref="X4:X67" si="16">O4-O$494</f>
        <v>-1.6635190748965467E-2</v>
      </c>
      <c r="Y4" s="86">
        <f t="shared" ref="Y4:Y67" si="17">P4-P$494</f>
        <v>1.2092262032970312E-2</v>
      </c>
      <c r="Z4" s="86">
        <f t="shared" ref="Z4:Z67" si="18">Q4-Q$494</f>
        <v>4.8809695077511525E-5</v>
      </c>
      <c r="AA4" s="86">
        <f t="shared" ref="AA4:AA67" si="19">R4-R$494</f>
        <v>-5.7604804866932717E-3</v>
      </c>
      <c r="AB4" s="304">
        <f t="shared" ref="AB4:AB67" si="20">S4-S$494</f>
        <v>-1.1967363167528283E-3</v>
      </c>
      <c r="AE4">
        <f t="shared" ref="AE4:AE10" si="21">1/8</f>
        <v>0.125</v>
      </c>
      <c r="AF4" s="42" t="s">
        <v>353</v>
      </c>
      <c r="AG4" s="312">
        <v>3.1919983407721674E-4</v>
      </c>
      <c r="AH4" s="313">
        <v>1.247544686012768E-3</v>
      </c>
      <c r="AI4" s="313">
        <v>1.8861587106347547E-4</v>
      </c>
      <c r="AJ4" s="313">
        <v>8.7987499637750806E-5</v>
      </c>
      <c r="AK4" s="313">
        <v>1.4247065025851797E-4</v>
      </c>
      <c r="AL4" s="313">
        <v>1.8382892406440014E-4</v>
      </c>
      <c r="AM4" s="313">
        <v>4.3560713670897326E-4</v>
      </c>
      <c r="AN4" s="314">
        <v>1.0961604940795599E-4</v>
      </c>
    </row>
    <row r="5" spans="2:40" x14ac:dyDescent="0.3">
      <c r="B5" s="271">
        <v>44113</v>
      </c>
      <c r="C5" s="292">
        <v>121.85</v>
      </c>
      <c r="D5" s="292">
        <v>683.95001200000002</v>
      </c>
      <c r="E5" s="292">
        <v>8490.35</v>
      </c>
      <c r="F5" s="292">
        <v>1233.5500489999999</v>
      </c>
      <c r="G5" s="292">
        <v>2050.6</v>
      </c>
      <c r="H5" s="292">
        <v>2233.4499510000001</v>
      </c>
      <c r="I5" s="292">
        <v>13.15</v>
      </c>
      <c r="J5" s="197">
        <v>2139.6499020000001</v>
      </c>
      <c r="L5" s="297">
        <f t="shared" si="5"/>
        <v>3.2953972527889931E-2</v>
      </c>
      <c r="M5" s="298">
        <f t="shared" si="6"/>
        <v>-1.7680355750027223E-2</v>
      </c>
      <c r="N5" s="298">
        <f t="shared" si="7"/>
        <v>5.4563305229423523E-3</v>
      </c>
      <c r="O5" s="298">
        <f t="shared" si="8"/>
        <v>3.4431420506309235E-2</v>
      </c>
      <c r="P5" s="298">
        <f t="shared" si="9"/>
        <v>-1.8385491003904686E-2</v>
      </c>
      <c r="Q5" s="298">
        <f t="shared" si="10"/>
        <v>-2.5935351419383661E-3</v>
      </c>
      <c r="R5" s="298">
        <f t="shared" si="11"/>
        <v>3.8095284166676487E-3</v>
      </c>
      <c r="S5" s="299">
        <f t="shared" si="12"/>
        <v>-9.8363277190374257E-3</v>
      </c>
      <c r="U5" s="303">
        <f t="shared" si="13"/>
        <v>3.4512677948398462E-2</v>
      </c>
      <c r="V5" s="86">
        <f t="shared" si="14"/>
        <v>-2.3778084448487856E-2</v>
      </c>
      <c r="W5" s="86">
        <f t="shared" si="15"/>
        <v>2.607827177876183E-3</v>
      </c>
      <c r="X5" s="86">
        <f t="shared" si="16"/>
        <v>3.4060092993794727E-2</v>
      </c>
      <c r="Y5" s="86">
        <f t="shared" si="17"/>
        <v>-1.9494500995598314E-2</v>
      </c>
      <c r="Z5" s="86">
        <f t="shared" si="18"/>
        <v>-4.1553277411157169E-3</v>
      </c>
      <c r="AA5" s="86">
        <f t="shared" si="19"/>
        <v>9.5214490922111844E-3</v>
      </c>
      <c r="AB5" s="304">
        <f t="shared" si="20"/>
        <v>-1.0448685595686987E-2</v>
      </c>
      <c r="AE5">
        <f t="shared" si="21"/>
        <v>0.125</v>
      </c>
      <c r="AF5" s="42" t="s">
        <v>330</v>
      </c>
      <c r="AG5" s="312">
        <v>2.6405465649714235E-4</v>
      </c>
      <c r="AH5" s="313">
        <v>1.8861587106347547E-4</v>
      </c>
      <c r="AI5" s="313">
        <v>7.4034546457046717E-4</v>
      </c>
      <c r="AJ5" s="313">
        <v>1.4779325378450799E-4</v>
      </c>
      <c r="AK5" s="313">
        <v>1.6352652559718897E-4</v>
      </c>
      <c r="AL5" s="313">
        <v>1.8779325586732446E-4</v>
      </c>
      <c r="AM5" s="313">
        <v>-4.9352324429428861E-6</v>
      </c>
      <c r="AN5" s="314">
        <v>1.4430289073687864E-4</v>
      </c>
    </row>
    <row r="6" spans="2:40" x14ac:dyDescent="0.3">
      <c r="B6" s="271">
        <v>44112</v>
      </c>
      <c r="C6" s="292">
        <v>117.9</v>
      </c>
      <c r="D6" s="292">
        <v>696.15002400000003</v>
      </c>
      <c r="E6" s="292">
        <v>8444.15</v>
      </c>
      <c r="F6" s="292">
        <v>1191.8000489999999</v>
      </c>
      <c r="G6" s="292">
        <v>2088.65</v>
      </c>
      <c r="H6" s="292">
        <v>2239.25</v>
      </c>
      <c r="I6" s="292">
        <v>13.1</v>
      </c>
      <c r="J6" s="197">
        <v>2160.8000489999999</v>
      </c>
      <c r="L6" s="297">
        <f t="shared" si="5"/>
        <v>-4.518903543204035E-2</v>
      </c>
      <c r="M6" s="298">
        <f t="shared" si="6"/>
        <v>-4.5146287191812117E-3</v>
      </c>
      <c r="N6" s="298">
        <f t="shared" si="7"/>
        <v>-3.168652316123189E-2</v>
      </c>
      <c r="O6" s="298">
        <f t="shared" si="8"/>
        <v>2.5107028856464503E-2</v>
      </c>
      <c r="P6" s="298">
        <f t="shared" si="9"/>
        <v>-7.7975428765863341E-3</v>
      </c>
      <c r="Q6" s="298">
        <f t="shared" si="10"/>
        <v>-8.1170179358358019E-3</v>
      </c>
      <c r="R6" s="298">
        <f t="shared" si="11"/>
        <v>-3.8095284166677302E-3</v>
      </c>
      <c r="S6" s="299">
        <f t="shared" si="12"/>
        <v>9.9764557865721325E-3</v>
      </c>
      <c r="U6" s="303">
        <f t="shared" si="13"/>
        <v>-4.3630330011531819E-2</v>
      </c>
      <c r="V6" s="86">
        <f t="shared" si="14"/>
        <v>-1.0612357417641846E-2</v>
      </c>
      <c r="W6" s="86">
        <f t="shared" si="15"/>
        <v>-3.4535026506298062E-2</v>
      </c>
      <c r="X6" s="86">
        <f t="shared" si="16"/>
        <v>2.4735701343949996E-2</v>
      </c>
      <c r="Y6" s="86">
        <f t="shared" si="17"/>
        <v>-8.9065528682799634E-3</v>
      </c>
      <c r="Z6" s="86">
        <f t="shared" si="18"/>
        <v>-9.6788105350131531E-3</v>
      </c>
      <c r="AA6" s="86">
        <f t="shared" si="19"/>
        <v>1.9023922588758055E-3</v>
      </c>
      <c r="AB6" s="304">
        <f t="shared" si="20"/>
        <v>9.3640979099225714E-3</v>
      </c>
      <c r="AE6">
        <f t="shared" si="21"/>
        <v>0.125</v>
      </c>
      <c r="AF6" s="42" t="s">
        <v>354</v>
      </c>
      <c r="AG6" s="312">
        <v>2.6626989253026283E-4</v>
      </c>
      <c r="AH6" s="313">
        <v>8.7987499637750806E-5</v>
      </c>
      <c r="AI6" s="313">
        <v>1.4779325378450799E-4</v>
      </c>
      <c r="AJ6" s="313">
        <v>3.9784066038632521E-4</v>
      </c>
      <c r="AK6" s="313">
        <v>1.689719326924389E-4</v>
      </c>
      <c r="AL6" s="313">
        <v>2.3560998179828952E-4</v>
      </c>
      <c r="AM6" s="313">
        <v>2.0573740643211893E-6</v>
      </c>
      <c r="AN6" s="314">
        <v>1.2851338318695268E-4</v>
      </c>
    </row>
    <row r="7" spans="2:40" x14ac:dyDescent="0.3">
      <c r="B7" s="271">
        <v>44111</v>
      </c>
      <c r="C7" s="292">
        <v>123.35</v>
      </c>
      <c r="D7" s="292">
        <v>699.29998799999998</v>
      </c>
      <c r="E7" s="292">
        <v>8716</v>
      </c>
      <c r="F7" s="292">
        <v>1162.25</v>
      </c>
      <c r="G7" s="292">
        <v>2105</v>
      </c>
      <c r="H7" s="292">
        <v>2257.5</v>
      </c>
      <c r="I7" s="292">
        <v>13.15</v>
      </c>
      <c r="J7" s="197">
        <v>2139.3500979999999</v>
      </c>
      <c r="L7" s="297">
        <f t="shared" si="5"/>
        <v>-0.11150294182389048</v>
      </c>
      <c r="M7" s="298">
        <f t="shared" si="6"/>
        <v>-5.1014454995875771E-2</v>
      </c>
      <c r="N7" s="298">
        <f t="shared" si="7"/>
        <v>-4.2441657697034709E-4</v>
      </c>
      <c r="O7" s="298">
        <f t="shared" si="8"/>
        <v>1.573950084098337E-2</v>
      </c>
      <c r="P7" s="298">
        <f t="shared" si="9"/>
        <v>7.1514011576250865E-3</v>
      </c>
      <c r="Q7" s="298">
        <f t="shared" si="10"/>
        <v>2.1107087941118669E-2</v>
      </c>
      <c r="R7" s="298">
        <f t="shared" si="11"/>
        <v>-1.1342276603934495E-2</v>
      </c>
      <c r="S7" s="299">
        <f t="shared" si="12"/>
        <v>1.1021882802366049E-2</v>
      </c>
      <c r="U7" s="303">
        <f t="shared" si="13"/>
        <v>-0.10994423640338195</v>
      </c>
      <c r="V7" s="86">
        <f t="shared" si="14"/>
        <v>-5.7112183694336405E-2</v>
      </c>
      <c r="W7" s="86">
        <f t="shared" si="15"/>
        <v>-3.2729199220365166E-3</v>
      </c>
      <c r="X7" s="86">
        <f t="shared" si="16"/>
        <v>1.536817332846886E-2</v>
      </c>
      <c r="Y7" s="86">
        <f t="shared" si="17"/>
        <v>6.0423911659314572E-3</v>
      </c>
      <c r="Z7" s="86">
        <f t="shared" si="18"/>
        <v>1.954529534194132E-2</v>
      </c>
      <c r="AA7" s="86">
        <f t="shared" si="19"/>
        <v>-5.6303559283909588E-3</v>
      </c>
      <c r="AB7" s="304">
        <f t="shared" si="20"/>
        <v>1.0409524925716488E-2</v>
      </c>
      <c r="AE7">
        <f t="shared" si="21"/>
        <v>0.125</v>
      </c>
      <c r="AF7" s="42" t="s">
        <v>332</v>
      </c>
      <c r="AG7" s="312">
        <v>1.7767271426422142E-4</v>
      </c>
      <c r="AH7" s="313">
        <v>1.4247065025851797E-4</v>
      </c>
      <c r="AI7" s="313">
        <v>1.6352652559718897E-4</v>
      </c>
      <c r="AJ7" s="313">
        <v>1.689719326924389E-4</v>
      </c>
      <c r="AK7" s="313">
        <v>3.5703439208497988E-4</v>
      </c>
      <c r="AL7" s="313">
        <v>2.0353136297491725E-4</v>
      </c>
      <c r="AM7" s="313">
        <v>-6.1792710302409822E-6</v>
      </c>
      <c r="AN7" s="314">
        <v>1.8733673495449022E-4</v>
      </c>
    </row>
    <row r="8" spans="2:40" x14ac:dyDescent="0.3">
      <c r="B8" s="271">
        <v>44110</v>
      </c>
      <c r="C8" s="292">
        <v>137.9</v>
      </c>
      <c r="D8" s="292">
        <v>735.90002400000003</v>
      </c>
      <c r="E8" s="292">
        <v>8719.7000000000007</v>
      </c>
      <c r="F8" s="292">
        <v>1144.099976</v>
      </c>
      <c r="G8" s="292">
        <v>2090</v>
      </c>
      <c r="H8" s="292">
        <v>2210.3500979999999</v>
      </c>
      <c r="I8" s="292">
        <v>13.3</v>
      </c>
      <c r="J8" s="197">
        <v>2115.8999020000001</v>
      </c>
      <c r="L8" s="297">
        <f t="shared" si="5"/>
        <v>7.2542621969780405E-4</v>
      </c>
      <c r="M8" s="298">
        <f t="shared" si="6"/>
        <v>-1.8245347642667036E-2</v>
      </c>
      <c r="N8" s="298">
        <f t="shared" si="7"/>
        <v>-1.3747290835287425E-2</v>
      </c>
      <c r="O8" s="298">
        <f t="shared" si="8"/>
        <v>2.6347027001004979E-2</v>
      </c>
      <c r="P8" s="298">
        <f t="shared" si="9"/>
        <v>3.0113980247782949E-2</v>
      </c>
      <c r="Q8" s="298">
        <f t="shared" si="10"/>
        <v>-8.3655496823581866E-4</v>
      </c>
      <c r="R8" s="298">
        <f t="shared" si="11"/>
        <v>-3.7523496185503527E-3</v>
      </c>
      <c r="S8" s="299">
        <f t="shared" si="12"/>
        <v>2.2947303301019332E-3</v>
      </c>
      <c r="U8" s="303">
        <f t="shared" si="13"/>
        <v>2.2841316402063341E-3</v>
      </c>
      <c r="V8" s="86">
        <f t="shared" si="14"/>
        <v>-2.4343076341127669E-2</v>
      </c>
      <c r="W8" s="86">
        <f t="shared" si="15"/>
        <v>-1.6595794180353594E-2</v>
      </c>
      <c r="X8" s="86">
        <f t="shared" si="16"/>
        <v>2.5975699488490472E-2</v>
      </c>
      <c r="Y8" s="86">
        <f t="shared" si="17"/>
        <v>2.9004970256089321E-2</v>
      </c>
      <c r="Z8" s="86">
        <f t="shared" si="18"/>
        <v>-2.3983475674131693E-3</v>
      </c>
      <c r="AA8" s="86">
        <f t="shared" si="19"/>
        <v>1.959571056993183E-3</v>
      </c>
      <c r="AB8" s="304">
        <f t="shared" si="20"/>
        <v>1.6823724534523723E-3</v>
      </c>
      <c r="AE8">
        <f t="shared" si="21"/>
        <v>0.125</v>
      </c>
      <c r="AF8" s="42" t="s">
        <v>355</v>
      </c>
      <c r="AG8" s="312">
        <v>3.2044028903373181E-4</v>
      </c>
      <c r="AH8" s="313">
        <v>1.8382892406440014E-4</v>
      </c>
      <c r="AI8" s="313">
        <v>1.8779325586732446E-4</v>
      </c>
      <c r="AJ8" s="313">
        <v>2.3560998179828952E-4</v>
      </c>
      <c r="AK8" s="313">
        <v>2.0353136297491725E-4</v>
      </c>
      <c r="AL8" s="313">
        <v>5.5994912985219813E-4</v>
      </c>
      <c r="AM8" s="313">
        <v>-5.3844195609815592E-5</v>
      </c>
      <c r="AN8" s="314">
        <v>1.7346512938907365E-4</v>
      </c>
    </row>
    <row r="9" spans="2:40" x14ac:dyDescent="0.3">
      <c r="B9" s="271">
        <v>44109</v>
      </c>
      <c r="C9" s="292">
        <v>137.80000000000001</v>
      </c>
      <c r="D9" s="292">
        <v>749.45001200000002</v>
      </c>
      <c r="E9" s="292">
        <v>8840.4</v>
      </c>
      <c r="F9" s="292">
        <v>1114.349976</v>
      </c>
      <c r="G9" s="292">
        <v>2028</v>
      </c>
      <c r="H9" s="292">
        <v>2212.1999510000001</v>
      </c>
      <c r="I9" s="292">
        <v>13.35</v>
      </c>
      <c r="J9" s="197">
        <v>2111.0500489999999</v>
      </c>
      <c r="L9" s="297">
        <f t="shared" si="5"/>
        <v>2.543143968303704E-3</v>
      </c>
      <c r="M9" s="298">
        <f t="shared" si="6"/>
        <v>3.1406073308051616E-3</v>
      </c>
      <c r="N9" s="298">
        <f t="shared" si="7"/>
        <v>-1.1079331399130052E-3</v>
      </c>
      <c r="O9" s="298">
        <f t="shared" si="8"/>
        <v>6.6628124242478241E-3</v>
      </c>
      <c r="P9" s="298">
        <f t="shared" si="9"/>
        <v>-6.120286036474902E-3</v>
      </c>
      <c r="Q9" s="298">
        <f t="shared" si="10"/>
        <v>-5.8817955207833171E-3</v>
      </c>
      <c r="R9" s="298">
        <f t="shared" si="11"/>
        <v>3.7523496185503718E-3</v>
      </c>
      <c r="S9" s="299">
        <f t="shared" si="12"/>
        <v>7.6319238799136538E-3</v>
      </c>
      <c r="U9" s="303">
        <f t="shared" si="13"/>
        <v>4.1018493888122344E-3</v>
      </c>
      <c r="V9" s="86">
        <f t="shared" si="14"/>
        <v>-2.9571213676554725E-3</v>
      </c>
      <c r="W9" s="86">
        <f t="shared" si="15"/>
        <v>-3.9564364849791747E-3</v>
      </c>
      <c r="X9" s="86">
        <f t="shared" si="16"/>
        <v>6.2914849117333147E-3</v>
      </c>
      <c r="Y9" s="86">
        <f t="shared" si="17"/>
        <v>-7.2292960281685314E-3</v>
      </c>
      <c r="Z9" s="86">
        <f t="shared" si="18"/>
        <v>-7.4435881199606674E-3</v>
      </c>
      <c r="AA9" s="86">
        <f t="shared" si="19"/>
        <v>9.4642702940939075E-3</v>
      </c>
      <c r="AB9" s="304">
        <f t="shared" si="20"/>
        <v>7.0195660032640926E-3</v>
      </c>
      <c r="AE9">
        <f t="shared" si="21"/>
        <v>0.125</v>
      </c>
      <c r="AF9" s="42" t="s">
        <v>333</v>
      </c>
      <c r="AG9" s="312">
        <v>1.9415594055316175E-4</v>
      </c>
      <c r="AH9" s="313">
        <v>4.3560713670897326E-4</v>
      </c>
      <c r="AI9" s="313">
        <v>-4.9352324429428861E-6</v>
      </c>
      <c r="AJ9" s="313">
        <v>2.0573740643211893E-6</v>
      </c>
      <c r="AK9" s="313">
        <v>-6.1792710302409822E-6</v>
      </c>
      <c r="AL9" s="313">
        <v>-5.3844195609815592E-5</v>
      </c>
      <c r="AM9" s="313">
        <v>5.496122538573611E-3</v>
      </c>
      <c r="AN9" s="314">
        <v>-4.7582014634908238E-6</v>
      </c>
    </row>
    <row r="10" spans="2:40" ht="15" thickBot="1" x14ac:dyDescent="0.35">
      <c r="B10" s="271">
        <v>44105</v>
      </c>
      <c r="C10" s="292">
        <v>137.44999999999999</v>
      </c>
      <c r="D10" s="292">
        <v>747.09997599999997</v>
      </c>
      <c r="E10" s="292">
        <v>8850.2000000000007</v>
      </c>
      <c r="F10" s="292">
        <v>1106.9499510000001</v>
      </c>
      <c r="G10" s="292">
        <v>2040.45</v>
      </c>
      <c r="H10" s="292">
        <v>2225.25</v>
      </c>
      <c r="I10" s="292">
        <v>13.3</v>
      </c>
      <c r="J10" s="197">
        <v>2095</v>
      </c>
      <c r="L10" s="297">
        <f t="shared" si="5"/>
        <v>4.009482316851486E-3</v>
      </c>
      <c r="M10" s="298">
        <f t="shared" si="6"/>
        <v>1.2797373153118902E-2</v>
      </c>
      <c r="N10" s="298">
        <f t="shared" si="7"/>
        <v>1.0010161799406935E-2</v>
      </c>
      <c r="O10" s="298">
        <f t="shared" si="8"/>
        <v>2.5944559652397517E-2</v>
      </c>
      <c r="P10" s="298">
        <f t="shared" si="9"/>
        <v>2.6846416553591861E-2</v>
      </c>
      <c r="Q10" s="298">
        <f t="shared" si="10"/>
        <v>-4.0811330301771696E-3</v>
      </c>
      <c r="R10" s="298">
        <f t="shared" si="11"/>
        <v>1.134227660393451E-2</v>
      </c>
      <c r="S10" s="299">
        <f t="shared" si="12"/>
        <v>1.2850714285945881E-2</v>
      </c>
      <c r="U10" s="303">
        <f t="shared" si="13"/>
        <v>5.5681877373600164E-3</v>
      </c>
      <c r="V10" s="86">
        <f t="shared" si="14"/>
        <v>6.6996444546582679E-3</v>
      </c>
      <c r="W10" s="86">
        <f t="shared" si="15"/>
        <v>7.161658454340766E-3</v>
      </c>
      <c r="X10" s="86">
        <f t="shared" si="16"/>
        <v>2.5573232139883009E-2</v>
      </c>
      <c r="Y10" s="86">
        <f t="shared" si="17"/>
        <v>2.5737406561898234E-2</v>
      </c>
      <c r="Z10" s="86">
        <f t="shared" si="18"/>
        <v>-5.6429256293545199E-3</v>
      </c>
      <c r="AA10" s="86">
        <f t="shared" si="19"/>
        <v>1.7054197279478045E-2</v>
      </c>
      <c r="AB10" s="304">
        <f t="shared" si="20"/>
        <v>1.223835640929632E-2</v>
      </c>
      <c r="AE10">
        <f t="shared" si="21"/>
        <v>0.125</v>
      </c>
      <c r="AF10" s="42" t="s">
        <v>356</v>
      </c>
      <c r="AG10" s="315">
        <v>1.7020170837836327E-4</v>
      </c>
      <c r="AH10" s="316">
        <v>1.0961604940795599E-4</v>
      </c>
      <c r="AI10" s="316">
        <v>1.4430289073687864E-4</v>
      </c>
      <c r="AJ10" s="316">
        <v>1.2851338318695268E-4</v>
      </c>
      <c r="AK10" s="316">
        <v>1.8733673495449022E-4</v>
      </c>
      <c r="AL10" s="316">
        <v>1.7346512938907365E-4</v>
      </c>
      <c r="AM10" s="316">
        <v>-4.7582014634908238E-6</v>
      </c>
      <c r="AN10" s="317">
        <v>3.0326312180356069E-4</v>
      </c>
    </row>
    <row r="11" spans="2:40" x14ac:dyDescent="0.3">
      <c r="B11" s="271">
        <v>44104</v>
      </c>
      <c r="C11" s="292">
        <v>136.9</v>
      </c>
      <c r="D11" s="292">
        <v>737.59997599999997</v>
      </c>
      <c r="E11" s="292">
        <v>8762.0499999999993</v>
      </c>
      <c r="F11" s="292">
        <v>1078.599976</v>
      </c>
      <c r="G11" s="292">
        <v>1986.4</v>
      </c>
      <c r="H11" s="292">
        <v>2234.3500979999999</v>
      </c>
      <c r="I11" s="292">
        <v>13.15</v>
      </c>
      <c r="J11" s="197">
        <v>2068.25</v>
      </c>
      <c r="L11" s="297">
        <f t="shared" si="5"/>
        <v>-2.2034483667059235E-2</v>
      </c>
      <c r="M11" s="298">
        <f t="shared" si="6"/>
        <v>3.2378664758097198E-2</v>
      </c>
      <c r="N11" s="298">
        <f t="shared" si="7"/>
        <v>-3.5837009485311065E-2</v>
      </c>
      <c r="O11" s="298">
        <f t="shared" si="8"/>
        <v>1.4992156021714859E-2</v>
      </c>
      <c r="P11" s="298">
        <f t="shared" si="9"/>
        <v>1.3404992498866357E-2</v>
      </c>
      <c r="Q11" s="298">
        <f t="shared" si="10"/>
        <v>-4.7774125998419556E-3</v>
      </c>
      <c r="R11" s="298">
        <f t="shared" si="11"/>
        <v>-1.5094626222484904E-2</v>
      </c>
      <c r="S11" s="299">
        <f t="shared" si="12"/>
        <v>1.7091956597485997E-2</v>
      </c>
      <c r="U11" s="303">
        <f t="shared" si="13"/>
        <v>-2.0475778246550703E-2</v>
      </c>
      <c r="V11" s="86">
        <f t="shared" si="14"/>
        <v>2.6280936059636564E-2</v>
      </c>
      <c r="W11" s="86">
        <f t="shared" si="15"/>
        <v>-3.8685512830377237E-2</v>
      </c>
      <c r="X11" s="86">
        <f t="shared" si="16"/>
        <v>1.4620828509200349E-2</v>
      </c>
      <c r="Y11" s="86">
        <f t="shared" si="17"/>
        <v>1.2295982507172728E-2</v>
      </c>
      <c r="Z11" s="86">
        <f t="shared" si="18"/>
        <v>-6.3392051990193059E-3</v>
      </c>
      <c r="AA11" s="86">
        <f t="shared" si="19"/>
        <v>-9.3827055469413688E-3</v>
      </c>
      <c r="AB11" s="304">
        <f t="shared" si="20"/>
        <v>1.6479598720836437E-2</v>
      </c>
    </row>
    <row r="12" spans="2:40" x14ac:dyDescent="0.3">
      <c r="B12" s="271">
        <v>44103</v>
      </c>
      <c r="C12" s="292">
        <v>139.94999999999999</v>
      </c>
      <c r="D12" s="292">
        <v>714.09997599999997</v>
      </c>
      <c r="E12" s="292">
        <v>9081.75</v>
      </c>
      <c r="F12" s="292">
        <v>1062.5500489999999</v>
      </c>
      <c r="G12" s="292">
        <v>1959.95</v>
      </c>
      <c r="H12" s="292">
        <v>2245.0500489999999</v>
      </c>
      <c r="I12" s="292">
        <v>13.35</v>
      </c>
      <c r="J12" s="197">
        <v>2033.1999510000001</v>
      </c>
      <c r="L12" s="297">
        <f t="shared" si="5"/>
        <v>6.0921170320651676E-3</v>
      </c>
      <c r="M12" s="298">
        <f t="shared" si="6"/>
        <v>4.8783164053661267E-2</v>
      </c>
      <c r="N12" s="298">
        <f t="shared" si="7"/>
        <v>8.0594778064085101E-3</v>
      </c>
      <c r="O12" s="298">
        <f t="shared" si="8"/>
        <v>7.8895866899835881E-3</v>
      </c>
      <c r="P12" s="298">
        <f t="shared" si="9"/>
        <v>7.3485499232427594E-3</v>
      </c>
      <c r="Q12" s="298">
        <f t="shared" si="10"/>
        <v>1.2911236080642433E-2</v>
      </c>
      <c r="R12" s="298">
        <f t="shared" si="11"/>
        <v>-1.4870162479451506E-2</v>
      </c>
      <c r="S12" s="299">
        <f t="shared" si="12"/>
        <v>-1.4695784066741975E-2</v>
      </c>
      <c r="U12" s="303">
        <f t="shared" si="13"/>
        <v>7.650822452573698E-3</v>
      </c>
      <c r="V12" s="86">
        <f t="shared" si="14"/>
        <v>4.2685435355200634E-2</v>
      </c>
      <c r="W12" s="86">
        <f t="shared" si="15"/>
        <v>5.2109744613423412E-3</v>
      </c>
      <c r="X12" s="86">
        <f t="shared" si="16"/>
        <v>7.5182591774690787E-3</v>
      </c>
      <c r="Y12" s="86">
        <f t="shared" si="17"/>
        <v>6.23953993154913E-3</v>
      </c>
      <c r="Z12" s="86">
        <f t="shared" si="18"/>
        <v>1.1349443481465082E-2</v>
      </c>
      <c r="AA12" s="86">
        <f t="shared" si="19"/>
        <v>-9.158241803907969E-3</v>
      </c>
      <c r="AB12" s="304">
        <f t="shared" si="20"/>
        <v>-1.5308141943391536E-2</v>
      </c>
      <c r="AF12" s="42" t="s">
        <v>340</v>
      </c>
      <c r="AG12">
        <f>SUMPRODUCT($AE$3:$AE$10,AG3:AG10)</f>
        <v>3.5181959848912611E-4</v>
      </c>
      <c r="AH12">
        <f t="shared" ref="AH12:AN12" si="22">SUMPRODUCT($AE$3:$AE$10,AH3:AH10)</f>
        <v>3.3935883140388226E-4</v>
      </c>
      <c r="AI12">
        <f t="shared" si="22"/>
        <v>2.2893708570925525E-4</v>
      </c>
      <c r="AJ12">
        <f t="shared" si="22"/>
        <v>1.7938049726010612E-4</v>
      </c>
      <c r="AK12">
        <f t="shared" si="22"/>
        <v>1.7429563022456422E-4</v>
      </c>
      <c r="AL12">
        <f t="shared" si="22"/>
        <v>2.2634673467126492E-4</v>
      </c>
      <c r="AM12">
        <f t="shared" si="22"/>
        <v>7.5727826116919717E-4</v>
      </c>
      <c r="AN12">
        <f t="shared" si="22"/>
        <v>1.5149260204922304E-4</v>
      </c>
    </row>
    <row r="13" spans="2:40" x14ac:dyDescent="0.3">
      <c r="B13" s="271">
        <v>44102</v>
      </c>
      <c r="C13" s="292">
        <v>139.1</v>
      </c>
      <c r="D13" s="292">
        <v>680.09997599999997</v>
      </c>
      <c r="E13" s="292">
        <v>9008.85</v>
      </c>
      <c r="F13" s="292">
        <v>1054.1999510000001</v>
      </c>
      <c r="G13" s="292">
        <v>1945.6</v>
      </c>
      <c r="H13" s="292">
        <v>2216.25</v>
      </c>
      <c r="I13" s="292">
        <v>13.55</v>
      </c>
      <c r="J13" s="197">
        <v>2063.3000489999999</v>
      </c>
      <c r="L13" s="297">
        <f t="shared" si="5"/>
        <v>1.4847276180602413E-2</v>
      </c>
      <c r="M13" s="298">
        <f t="shared" si="6"/>
        <v>4.8734991450444798E-2</v>
      </c>
      <c r="N13" s="298">
        <f t="shared" si="7"/>
        <v>2.4205987420583247E-2</v>
      </c>
      <c r="O13" s="298">
        <f t="shared" si="8"/>
        <v>9.7226494977777616E-3</v>
      </c>
      <c r="P13" s="298">
        <f t="shared" si="9"/>
        <v>1.0332805302985667E-2</v>
      </c>
      <c r="Q13" s="298">
        <f t="shared" si="10"/>
        <v>6.5868114248208752E-3</v>
      </c>
      <c r="R13" s="298">
        <f t="shared" si="11"/>
        <v>1.4870162479451407E-2</v>
      </c>
      <c r="S13" s="299">
        <f t="shared" si="12"/>
        <v>-7.6044156217740305E-3</v>
      </c>
      <c r="U13" s="303">
        <f t="shared" si="13"/>
        <v>1.6405981601110942E-2</v>
      </c>
      <c r="V13" s="86">
        <f t="shared" si="14"/>
        <v>4.2637262751984165E-2</v>
      </c>
      <c r="W13" s="86">
        <f t="shared" si="15"/>
        <v>2.1357484075517078E-2</v>
      </c>
      <c r="X13" s="86">
        <f t="shared" si="16"/>
        <v>9.3513219852632522E-3</v>
      </c>
      <c r="Y13" s="86">
        <f t="shared" si="17"/>
        <v>9.2237953112920372E-3</v>
      </c>
      <c r="Z13" s="86">
        <f t="shared" si="18"/>
        <v>5.0250188256435249E-3</v>
      </c>
      <c r="AA13" s="86">
        <f t="shared" si="19"/>
        <v>2.0582083154994942E-2</v>
      </c>
      <c r="AB13" s="304">
        <f t="shared" si="20"/>
        <v>-8.2167734984235907E-3</v>
      </c>
    </row>
    <row r="14" spans="2:40" x14ac:dyDescent="0.3">
      <c r="B14" s="271">
        <v>44099</v>
      </c>
      <c r="C14" s="292">
        <v>137.05000000000001</v>
      </c>
      <c r="D14" s="292">
        <v>647.75</v>
      </c>
      <c r="E14" s="292">
        <v>8793.4</v>
      </c>
      <c r="F14" s="292">
        <v>1044</v>
      </c>
      <c r="G14" s="292">
        <v>1925.6</v>
      </c>
      <c r="H14" s="292">
        <v>2201.6999510000001</v>
      </c>
      <c r="I14" s="292">
        <v>13.35</v>
      </c>
      <c r="J14" s="197">
        <v>2079.0500489999999</v>
      </c>
      <c r="L14" s="297">
        <f t="shared" si="5"/>
        <v>3.9439635327323141E-2</v>
      </c>
      <c r="M14" s="298">
        <f t="shared" si="6"/>
        <v>4.8716816647154028E-2</v>
      </c>
      <c r="N14" s="298">
        <f t="shared" si="7"/>
        <v>4.2192805753846013E-2</v>
      </c>
      <c r="O14" s="298">
        <f t="shared" si="8"/>
        <v>1.3112389800569712E-2</v>
      </c>
      <c r="P14" s="298">
        <f t="shared" si="9"/>
        <v>3.7721659214235794E-3</v>
      </c>
      <c r="Q14" s="298">
        <f t="shared" si="10"/>
        <v>9.3546053763888908E-3</v>
      </c>
      <c r="R14" s="298">
        <f t="shared" si="11"/>
        <v>3.0420596700711719E-2</v>
      </c>
      <c r="S14" s="299">
        <f t="shared" si="12"/>
        <v>8.768349135900886E-3</v>
      </c>
      <c r="U14" s="303">
        <f t="shared" si="13"/>
        <v>4.0998340747831673E-2</v>
      </c>
      <c r="V14" s="86">
        <f t="shared" si="14"/>
        <v>4.2619087948693395E-2</v>
      </c>
      <c r="W14" s="86">
        <f t="shared" si="15"/>
        <v>3.9344302408779841E-2</v>
      </c>
      <c r="X14" s="86">
        <f t="shared" si="16"/>
        <v>1.2741062288055202E-2</v>
      </c>
      <c r="Y14" s="86">
        <f t="shared" si="17"/>
        <v>2.6631559297299505E-3</v>
      </c>
      <c r="Z14" s="86">
        <f t="shared" si="18"/>
        <v>7.7928127772115404E-3</v>
      </c>
      <c r="AA14" s="86">
        <f t="shared" si="19"/>
        <v>3.6132517376255252E-2</v>
      </c>
      <c r="AB14" s="304">
        <f t="shared" si="20"/>
        <v>8.1559912592513249E-3</v>
      </c>
      <c r="AL14" t="s">
        <v>342</v>
      </c>
      <c r="AN14">
        <f>SUMPRODUCT(AG1:AN1,AG12:AN12)</f>
        <v>3.011136551220774E-4</v>
      </c>
    </row>
    <row r="15" spans="2:40" x14ac:dyDescent="0.3">
      <c r="B15" s="271">
        <v>44098</v>
      </c>
      <c r="C15" s="292">
        <v>131.75</v>
      </c>
      <c r="D15" s="292">
        <v>616.95001200000002</v>
      </c>
      <c r="E15" s="292">
        <v>8430.1</v>
      </c>
      <c r="F15" s="292">
        <v>1030.400024</v>
      </c>
      <c r="G15" s="292">
        <v>1918.35</v>
      </c>
      <c r="H15" s="292">
        <v>2181.1999510000001</v>
      </c>
      <c r="I15" s="292">
        <v>12.95</v>
      </c>
      <c r="J15" s="197">
        <v>2060.8999020000001</v>
      </c>
      <c r="L15" s="297">
        <f t="shared" si="5"/>
        <v>1.3371736965889241E-2</v>
      </c>
      <c r="M15" s="298">
        <f t="shared" si="6"/>
        <v>4.7635975187593493E-2</v>
      </c>
      <c r="N15" s="298">
        <f t="shared" si="7"/>
        <v>-4.1288309664284026E-2</v>
      </c>
      <c r="O15" s="298">
        <f t="shared" si="8"/>
        <v>-1.6220581185129864E-2</v>
      </c>
      <c r="P15" s="298">
        <f t="shared" si="9"/>
        <v>-1.4593133303910551E-2</v>
      </c>
      <c r="Q15" s="298">
        <f t="shared" si="10"/>
        <v>-2.2485125893404706E-2</v>
      </c>
      <c r="R15" s="298">
        <f t="shared" si="11"/>
        <v>-1.5325970478226933E-2</v>
      </c>
      <c r="S15" s="299">
        <f t="shared" si="12"/>
        <v>4.0597865868759984E-3</v>
      </c>
      <c r="U15" s="303">
        <f t="shared" si="13"/>
        <v>1.493044238639777E-2</v>
      </c>
      <c r="V15" s="86">
        <f t="shared" si="14"/>
        <v>4.153824648913286E-2</v>
      </c>
      <c r="W15" s="86">
        <f t="shared" si="15"/>
        <v>-4.4136813009350198E-2</v>
      </c>
      <c r="X15" s="86">
        <f t="shared" si="16"/>
        <v>-1.6591908697644372E-2</v>
      </c>
      <c r="Y15" s="86">
        <f t="shared" si="17"/>
        <v>-1.5702143295604178E-2</v>
      </c>
      <c r="Z15" s="86">
        <f t="shared" si="18"/>
        <v>-2.4046918492582055E-2</v>
      </c>
      <c r="AA15" s="86">
        <f t="shared" si="19"/>
        <v>-9.6140498026833984E-3</v>
      </c>
      <c r="AB15" s="304">
        <f t="shared" si="20"/>
        <v>3.4474287102264373E-3</v>
      </c>
    </row>
    <row r="16" spans="2:40" x14ac:dyDescent="0.3">
      <c r="B16" s="271">
        <v>44097</v>
      </c>
      <c r="C16" s="292">
        <v>130</v>
      </c>
      <c r="D16" s="292">
        <v>588.25</v>
      </c>
      <c r="E16" s="292">
        <v>8785.4500000000007</v>
      </c>
      <c r="F16" s="292">
        <v>1047.25</v>
      </c>
      <c r="G16" s="292">
        <v>1946.55</v>
      </c>
      <c r="H16" s="292">
        <v>2230.8000489999999</v>
      </c>
      <c r="I16" s="292">
        <v>13.15</v>
      </c>
      <c r="J16" s="197">
        <v>2052.5500489999999</v>
      </c>
      <c r="L16" s="297">
        <f t="shared" si="5"/>
        <v>2.2166958587453645E-2</v>
      </c>
      <c r="M16" s="298">
        <f t="shared" si="6"/>
        <v>-5.1276314047890258E-2</v>
      </c>
      <c r="N16" s="298">
        <f t="shared" si="7"/>
        <v>2.6861613715051646E-2</v>
      </c>
      <c r="O16" s="298">
        <f t="shared" si="8"/>
        <v>1.137983217989591E-2</v>
      </c>
      <c r="P16" s="298">
        <f t="shared" si="9"/>
        <v>4.6600926238471053E-3</v>
      </c>
      <c r="Q16" s="298">
        <f t="shared" si="10"/>
        <v>8.8475896400451795E-3</v>
      </c>
      <c r="R16" s="298">
        <f t="shared" si="11"/>
        <v>-3.7950709685514979E-3</v>
      </c>
      <c r="S16" s="299">
        <f t="shared" si="12"/>
        <v>1.2624727660749959E-2</v>
      </c>
      <c r="U16" s="303">
        <f t="shared" si="13"/>
        <v>2.3725664007962177E-2</v>
      </c>
      <c r="V16" s="86">
        <f t="shared" si="14"/>
        <v>-5.7374042746350891E-2</v>
      </c>
      <c r="W16" s="86">
        <f t="shared" si="15"/>
        <v>2.4013110369985477E-2</v>
      </c>
      <c r="X16" s="86">
        <f t="shared" si="16"/>
        <v>1.1008504667381401E-2</v>
      </c>
      <c r="Y16" s="86">
        <f t="shared" si="17"/>
        <v>3.5510826321534764E-3</v>
      </c>
      <c r="Z16" s="86">
        <f t="shared" si="18"/>
        <v>7.2857970408678292E-3</v>
      </c>
      <c r="AA16" s="86">
        <f t="shared" si="19"/>
        <v>1.9168497069920378E-3</v>
      </c>
      <c r="AB16" s="304">
        <f t="shared" si="20"/>
        <v>1.2012369784100398E-2</v>
      </c>
      <c r="AK16" t="s">
        <v>358</v>
      </c>
      <c r="AL16" t="s">
        <v>293</v>
      </c>
      <c r="AN16" s="70">
        <f>SQRT(AN14)*SQRT(252)</f>
        <v>0.27546440984410947</v>
      </c>
    </row>
    <row r="17" spans="2:40" x14ac:dyDescent="0.3">
      <c r="B17" s="271">
        <v>44096</v>
      </c>
      <c r="C17" s="292">
        <v>127.15</v>
      </c>
      <c r="D17" s="292">
        <v>619.20001200000002</v>
      </c>
      <c r="E17" s="292">
        <v>8552.6</v>
      </c>
      <c r="F17" s="292">
        <v>1035.400024</v>
      </c>
      <c r="G17" s="292">
        <v>1937.5</v>
      </c>
      <c r="H17" s="292">
        <v>2211.1499020000001</v>
      </c>
      <c r="I17" s="292">
        <v>13.2</v>
      </c>
      <c r="J17" s="197">
        <v>2026.8000489999999</v>
      </c>
      <c r="L17" s="297">
        <f t="shared" si="5"/>
        <v>-1.4057240459225047E-2</v>
      </c>
      <c r="M17" s="298">
        <f t="shared" si="6"/>
        <v>-5.1232711158248928E-2</v>
      </c>
      <c r="N17" s="298">
        <f t="shared" si="7"/>
        <v>-3.9917064932110745E-2</v>
      </c>
      <c r="O17" s="298">
        <f t="shared" si="8"/>
        <v>-1.3335473214414388E-2</v>
      </c>
      <c r="P17" s="298">
        <f t="shared" si="9"/>
        <v>-1.7928639713717182E-2</v>
      </c>
      <c r="Q17" s="298">
        <f t="shared" si="10"/>
        <v>-2.0014187647768158E-2</v>
      </c>
      <c r="R17" s="298">
        <f t="shared" si="11"/>
        <v>-2.6169717733384834E-2</v>
      </c>
      <c r="S17" s="299">
        <f t="shared" si="12"/>
        <v>-5.4125998079284834E-3</v>
      </c>
      <c r="U17" s="303">
        <f t="shared" si="13"/>
        <v>-1.2498535038716518E-2</v>
      </c>
      <c r="V17" s="86">
        <f t="shared" si="14"/>
        <v>-5.7330439856709561E-2</v>
      </c>
      <c r="W17" s="86">
        <f t="shared" si="15"/>
        <v>-4.2765568277176917E-2</v>
      </c>
      <c r="X17" s="86">
        <f t="shared" si="16"/>
        <v>-1.3706800726928897E-2</v>
      </c>
      <c r="Y17" s="86">
        <f t="shared" si="17"/>
        <v>-1.903764970541081E-2</v>
      </c>
      <c r="Z17" s="86">
        <f t="shared" si="18"/>
        <v>-2.1575980246945507E-2</v>
      </c>
      <c r="AA17" s="86">
        <f t="shared" si="19"/>
        <v>-2.0457797057841298E-2</v>
      </c>
      <c r="AB17" s="304">
        <f t="shared" si="20"/>
        <v>-6.0249576845780445E-3</v>
      </c>
    </row>
    <row r="18" spans="2:40" x14ac:dyDescent="0.3">
      <c r="B18" s="271">
        <v>44095</v>
      </c>
      <c r="C18" s="292">
        <v>128.94999999999999</v>
      </c>
      <c r="D18" s="292">
        <v>651.75</v>
      </c>
      <c r="E18" s="292">
        <v>8900.9</v>
      </c>
      <c r="F18" s="292">
        <v>1049.3000489999999</v>
      </c>
      <c r="G18" s="292">
        <v>1972.55</v>
      </c>
      <c r="H18" s="292">
        <v>2255.8500979999999</v>
      </c>
      <c r="I18" s="292">
        <v>13.55</v>
      </c>
      <c r="J18" s="197">
        <v>2037.8000489999999</v>
      </c>
      <c r="L18" s="297">
        <f t="shared" si="5"/>
        <v>-1.5390838626367139E-2</v>
      </c>
      <c r="M18" s="298">
        <f t="shared" si="6"/>
        <v>-2.1027800635694704E-2</v>
      </c>
      <c r="N18" s="298">
        <f t="shared" si="7"/>
        <v>-5.4615802981621789E-2</v>
      </c>
      <c r="O18" s="298">
        <f t="shared" si="8"/>
        <v>-7.5952132212793429E-3</v>
      </c>
      <c r="P18" s="298">
        <f t="shared" si="9"/>
        <v>-2.792018297964478E-2</v>
      </c>
      <c r="Q18" s="298">
        <f t="shared" si="10"/>
        <v>-2.185741122255121E-2</v>
      </c>
      <c r="R18" s="298">
        <f t="shared" si="11"/>
        <v>-3.2670782289548707E-2</v>
      </c>
      <c r="S18" s="299">
        <f t="shared" si="12"/>
        <v>-2.94472634698646E-2</v>
      </c>
      <c r="U18" s="303">
        <f t="shared" si="13"/>
        <v>-1.383213320585861E-2</v>
      </c>
      <c r="V18" s="86">
        <f t="shared" si="14"/>
        <v>-2.7125529334155338E-2</v>
      </c>
      <c r="W18" s="86">
        <f t="shared" si="15"/>
        <v>-5.7464306326687961E-2</v>
      </c>
      <c r="X18" s="86">
        <f t="shared" si="16"/>
        <v>-7.9665407337938515E-3</v>
      </c>
      <c r="Y18" s="86">
        <f t="shared" si="17"/>
        <v>-2.9029192971338408E-2</v>
      </c>
      <c r="Z18" s="86">
        <f t="shared" si="18"/>
        <v>-2.341920382172856E-2</v>
      </c>
      <c r="AA18" s="86">
        <f t="shared" si="19"/>
        <v>-2.695886161400517E-2</v>
      </c>
      <c r="AB18" s="304">
        <f t="shared" si="20"/>
        <v>-3.0059621346514159E-2</v>
      </c>
      <c r="AL18" t="s">
        <v>268</v>
      </c>
      <c r="AN18" s="70">
        <f>SUMPRODUCT(AG1:AN1,L494:S494)*252</f>
        <v>0.16789795871655833</v>
      </c>
    </row>
    <row r="19" spans="2:40" x14ac:dyDescent="0.3">
      <c r="B19" s="271">
        <v>44092</v>
      </c>
      <c r="C19" s="292">
        <v>130.94999999999999</v>
      </c>
      <c r="D19" s="292">
        <v>665.59997599999997</v>
      </c>
      <c r="E19" s="292">
        <v>9400.5499999999993</v>
      </c>
      <c r="F19" s="292">
        <v>1057.3000489999999</v>
      </c>
      <c r="G19" s="292">
        <v>2028.4</v>
      </c>
      <c r="H19" s="292">
        <v>2305.6999510000001</v>
      </c>
      <c r="I19" s="292">
        <v>14</v>
      </c>
      <c r="J19" s="197">
        <v>2098.6999510000001</v>
      </c>
      <c r="L19" s="297">
        <f t="shared" si="5"/>
        <v>-2.5260532575471117E-2</v>
      </c>
      <c r="M19" s="298">
        <f t="shared" si="6"/>
        <v>-1.7263096128178194E-3</v>
      </c>
      <c r="N19" s="298">
        <f t="shared" si="7"/>
        <v>-3.5750088429195533E-2</v>
      </c>
      <c r="O19" s="298">
        <f t="shared" si="8"/>
        <v>-2.4570273979603565E-2</v>
      </c>
      <c r="P19" s="298">
        <f t="shared" si="9"/>
        <v>1.013300381767056E-2</v>
      </c>
      <c r="Q19" s="298">
        <f t="shared" si="10"/>
        <v>3.0187997923558367E-3</v>
      </c>
      <c r="R19" s="298">
        <f t="shared" si="11"/>
        <v>-7.1174677688639896E-3</v>
      </c>
      <c r="S19" s="299">
        <f t="shared" si="12"/>
        <v>-1.3958446927890429E-2</v>
      </c>
      <c r="U19" s="303">
        <f t="shared" si="13"/>
        <v>-2.3701827154962586E-2</v>
      </c>
      <c r="V19" s="86">
        <f t="shared" si="14"/>
        <v>-7.8240383112784528E-3</v>
      </c>
      <c r="W19" s="86">
        <f t="shared" si="15"/>
        <v>-3.8598591774261705E-2</v>
      </c>
      <c r="X19" s="86">
        <f t="shared" si="16"/>
        <v>-2.4941601492118073E-2</v>
      </c>
      <c r="Y19" s="86">
        <f t="shared" si="17"/>
        <v>9.0239938259769302E-3</v>
      </c>
      <c r="Z19" s="86">
        <f t="shared" si="18"/>
        <v>1.4570071931784862E-3</v>
      </c>
      <c r="AA19" s="86">
        <f t="shared" si="19"/>
        <v>-1.4055470933204538E-3</v>
      </c>
      <c r="AB19" s="304">
        <f t="shared" si="20"/>
        <v>-1.457080480453999E-2</v>
      </c>
    </row>
    <row r="20" spans="2:40" x14ac:dyDescent="0.3">
      <c r="B20" s="271">
        <v>44091</v>
      </c>
      <c r="C20" s="292">
        <v>134.30000000000001</v>
      </c>
      <c r="D20" s="292">
        <v>666.75</v>
      </c>
      <c r="E20" s="292">
        <v>9742.7000000000007</v>
      </c>
      <c r="F20" s="292">
        <v>1083.599976</v>
      </c>
      <c r="G20" s="292">
        <v>2007.95</v>
      </c>
      <c r="H20" s="292">
        <v>2298.75</v>
      </c>
      <c r="I20" s="292">
        <v>14.1</v>
      </c>
      <c r="J20" s="197">
        <v>2128.1999510000001</v>
      </c>
      <c r="L20" s="297">
        <f t="shared" si="5"/>
        <v>0</v>
      </c>
      <c r="M20" s="298">
        <f t="shared" si="6"/>
        <v>-1.3111993080540299E-2</v>
      </c>
      <c r="N20" s="298">
        <f t="shared" si="7"/>
        <v>-2.4685853285343159E-2</v>
      </c>
      <c r="O20" s="298">
        <f t="shared" si="8"/>
        <v>-9.2319388028667751E-3</v>
      </c>
      <c r="P20" s="298">
        <f t="shared" si="9"/>
        <v>-2.0646516706077527E-3</v>
      </c>
      <c r="Q20" s="298">
        <f t="shared" si="10"/>
        <v>-1.1160996062271248E-2</v>
      </c>
      <c r="R20" s="298">
        <f t="shared" si="11"/>
        <v>-1.0582109330536972E-2</v>
      </c>
      <c r="S20" s="299">
        <f t="shared" si="12"/>
        <v>-7.1634780545527174E-3</v>
      </c>
      <c r="U20" s="303">
        <f t="shared" si="13"/>
        <v>1.5587054205085302E-3</v>
      </c>
      <c r="V20" s="86">
        <f t="shared" si="14"/>
        <v>-1.9209721779000932E-2</v>
      </c>
      <c r="W20" s="86">
        <f t="shared" si="15"/>
        <v>-2.7534356630409328E-2</v>
      </c>
      <c r="X20" s="86">
        <f t="shared" si="16"/>
        <v>-9.6032663153812845E-3</v>
      </c>
      <c r="Y20" s="86">
        <f t="shared" si="17"/>
        <v>-3.1736616623013816E-3</v>
      </c>
      <c r="Z20" s="86">
        <f t="shared" si="18"/>
        <v>-1.27227886614486E-2</v>
      </c>
      <c r="AA20" s="86">
        <f t="shared" si="19"/>
        <v>-4.8701886549934363E-3</v>
      </c>
      <c r="AB20" s="304">
        <f t="shared" si="20"/>
        <v>-7.7758359312022785E-3</v>
      </c>
    </row>
    <row r="21" spans="2:40" x14ac:dyDescent="0.3">
      <c r="B21" s="271">
        <v>44090</v>
      </c>
      <c r="C21" s="292">
        <v>134.30000000000001</v>
      </c>
      <c r="D21" s="292">
        <v>675.54998799999998</v>
      </c>
      <c r="E21" s="292">
        <v>9986.2000000000007</v>
      </c>
      <c r="F21" s="292">
        <v>1093.650024</v>
      </c>
      <c r="G21" s="292">
        <v>2012.1</v>
      </c>
      <c r="H21" s="292">
        <v>2324.5500489999999</v>
      </c>
      <c r="I21" s="292">
        <v>14.25</v>
      </c>
      <c r="J21" s="197">
        <v>2143.5</v>
      </c>
      <c r="L21" s="297">
        <f t="shared" si="5"/>
        <v>2.0689096042890213E-2</v>
      </c>
      <c r="M21" s="298">
        <f t="shared" si="6"/>
        <v>7.056144082698077E-3</v>
      </c>
      <c r="N21" s="298">
        <f t="shared" si="7"/>
        <v>-1.8958205099442879E-3</v>
      </c>
      <c r="O21" s="298">
        <f t="shared" si="8"/>
        <v>2.1394918835674907E-2</v>
      </c>
      <c r="P21" s="298">
        <f t="shared" si="9"/>
        <v>-2.704951210665241E-3</v>
      </c>
      <c r="Q21" s="298">
        <f t="shared" si="10"/>
        <v>2.4550776080219574E-3</v>
      </c>
      <c r="R21" s="298">
        <f t="shared" si="11"/>
        <v>-2.0834086902842025E-2</v>
      </c>
      <c r="S21" s="299">
        <f t="shared" si="12"/>
        <v>8.9270847743100779E-3</v>
      </c>
      <c r="U21" s="303">
        <f t="shared" si="13"/>
        <v>2.2247801463398744E-2</v>
      </c>
      <c r="V21" s="86">
        <f t="shared" si="14"/>
        <v>9.5841538423744287E-4</v>
      </c>
      <c r="W21" s="86">
        <f t="shared" si="15"/>
        <v>-4.7443238550104573E-3</v>
      </c>
      <c r="X21" s="86">
        <f t="shared" si="16"/>
        <v>2.1023591323160399E-2</v>
      </c>
      <c r="Y21" s="86">
        <f t="shared" si="17"/>
        <v>-3.8139612023588699E-3</v>
      </c>
      <c r="Z21" s="86">
        <f t="shared" si="18"/>
        <v>8.9328500884460686E-4</v>
      </c>
      <c r="AA21" s="86">
        <f t="shared" si="19"/>
        <v>-1.5122166227298488E-2</v>
      </c>
      <c r="AB21" s="304">
        <f t="shared" si="20"/>
        <v>8.3147268976605168E-3</v>
      </c>
    </row>
    <row r="22" spans="2:40" x14ac:dyDescent="0.3">
      <c r="B22" s="271">
        <v>44089</v>
      </c>
      <c r="C22" s="292">
        <v>131.55000000000001</v>
      </c>
      <c r="D22" s="292">
        <v>670.79998799999998</v>
      </c>
      <c r="E22" s="292">
        <v>10005.15</v>
      </c>
      <c r="F22" s="292">
        <v>1070.5</v>
      </c>
      <c r="G22" s="292">
        <v>2017.55</v>
      </c>
      <c r="H22" s="292">
        <v>2318.8500979999999</v>
      </c>
      <c r="I22" s="292">
        <v>14.55</v>
      </c>
      <c r="J22" s="197">
        <v>2124.4499510000001</v>
      </c>
      <c r="L22" s="297">
        <f t="shared" si="5"/>
        <v>1.4548495501628419E-2</v>
      </c>
      <c r="M22" s="298">
        <f t="shared" si="6"/>
        <v>4.8723026887104892E-2</v>
      </c>
      <c r="N22" s="298">
        <f t="shared" si="7"/>
        <v>1.8383565975495824E-2</v>
      </c>
      <c r="O22" s="298">
        <f t="shared" si="8"/>
        <v>1.1792802023429137E-2</v>
      </c>
      <c r="P22" s="298">
        <f t="shared" si="9"/>
        <v>-6.7428474060022611E-3</v>
      </c>
      <c r="Q22" s="298">
        <f t="shared" si="10"/>
        <v>7.054189671741519E-3</v>
      </c>
      <c r="R22" s="298">
        <f t="shared" si="11"/>
        <v>-1.3652089168327207E-2</v>
      </c>
      <c r="S22" s="299">
        <f t="shared" si="12"/>
        <v>4.4725151039580723E-4</v>
      </c>
      <c r="U22" s="303">
        <f t="shared" si="13"/>
        <v>1.6107200922136949E-2</v>
      </c>
      <c r="V22" s="86">
        <f t="shared" si="14"/>
        <v>4.2625298188644259E-2</v>
      </c>
      <c r="W22" s="86">
        <f t="shared" si="15"/>
        <v>1.5535062630429655E-2</v>
      </c>
      <c r="X22" s="86">
        <f t="shared" si="16"/>
        <v>1.1421474510914627E-2</v>
      </c>
      <c r="Y22" s="86">
        <f t="shared" si="17"/>
        <v>-7.8518573976958904E-3</v>
      </c>
      <c r="Z22" s="86">
        <f t="shared" si="18"/>
        <v>5.4923970725641686E-3</v>
      </c>
      <c r="AA22" s="86">
        <f t="shared" si="19"/>
        <v>-7.9401684927836724E-3</v>
      </c>
      <c r="AB22" s="304">
        <f t="shared" si="20"/>
        <v>-1.6510636625375366E-4</v>
      </c>
    </row>
    <row r="23" spans="2:40" x14ac:dyDescent="0.3">
      <c r="B23" s="271">
        <v>44088</v>
      </c>
      <c r="C23" s="292">
        <v>129.65</v>
      </c>
      <c r="D23" s="292">
        <v>638.90002400000003</v>
      </c>
      <c r="E23" s="292">
        <v>9822.9</v>
      </c>
      <c r="F23" s="292">
        <v>1057.9499510000001</v>
      </c>
      <c r="G23" s="292">
        <v>2031.2</v>
      </c>
      <c r="H23" s="292">
        <v>2302.5500489999999</v>
      </c>
      <c r="I23" s="292">
        <v>14.75</v>
      </c>
      <c r="J23" s="197">
        <v>2123.5</v>
      </c>
      <c r="L23" s="297">
        <f t="shared" si="5"/>
        <v>-1.7205547738595499E-2</v>
      </c>
      <c r="M23" s="298">
        <f t="shared" si="6"/>
        <v>4.8504555885727565E-2</v>
      </c>
      <c r="N23" s="298">
        <f t="shared" si="7"/>
        <v>6.1174508797969637E-2</v>
      </c>
      <c r="O23" s="298">
        <f t="shared" si="8"/>
        <v>-1.9377254460338909E-2</v>
      </c>
      <c r="P23" s="298">
        <f t="shared" si="9"/>
        <v>-2.3357890216151307E-3</v>
      </c>
      <c r="Q23" s="298">
        <f t="shared" si="10"/>
        <v>-7.4421955322502391E-3</v>
      </c>
      <c r="R23" s="298">
        <f t="shared" si="11"/>
        <v>1.3652089168327263E-2</v>
      </c>
      <c r="S23" s="299">
        <f t="shared" si="12"/>
        <v>-1.6695268407069055E-2</v>
      </c>
      <c r="U23" s="303">
        <f t="shared" si="13"/>
        <v>-1.5646842318086968E-2</v>
      </c>
      <c r="V23" s="86">
        <f t="shared" si="14"/>
        <v>4.2406827187266932E-2</v>
      </c>
      <c r="W23" s="86">
        <f t="shared" si="15"/>
        <v>5.8326005452903465E-2</v>
      </c>
      <c r="X23" s="86">
        <f t="shared" si="16"/>
        <v>-1.9748581972853417E-2</v>
      </c>
      <c r="Y23" s="86">
        <f t="shared" si="17"/>
        <v>-3.4447990133087596E-3</v>
      </c>
      <c r="Z23" s="86">
        <f t="shared" si="18"/>
        <v>-9.0039881314275903E-3</v>
      </c>
      <c r="AA23" s="86">
        <f t="shared" si="19"/>
        <v>1.9364009843870798E-2</v>
      </c>
      <c r="AB23" s="304">
        <f t="shared" si="20"/>
        <v>-1.7307626283718614E-2</v>
      </c>
    </row>
    <row r="24" spans="2:40" x14ac:dyDescent="0.3">
      <c r="B24" s="271">
        <v>44085</v>
      </c>
      <c r="C24" s="292">
        <v>131.9</v>
      </c>
      <c r="D24" s="292">
        <v>608.65002400000003</v>
      </c>
      <c r="E24" s="292">
        <v>9240</v>
      </c>
      <c r="F24" s="292">
        <v>1078.650024</v>
      </c>
      <c r="G24" s="292">
        <v>2035.95</v>
      </c>
      <c r="H24" s="292">
        <v>2319.75</v>
      </c>
      <c r="I24" s="292">
        <v>14.55</v>
      </c>
      <c r="J24" s="197">
        <v>2159.25</v>
      </c>
      <c r="L24" s="297">
        <f t="shared" si="5"/>
        <v>1.105404814053163E-2</v>
      </c>
      <c r="M24" s="298">
        <f t="shared" si="6"/>
        <v>4.864645315149229E-2</v>
      </c>
      <c r="N24" s="298">
        <f t="shared" si="7"/>
        <v>-2.0269371762062758E-2</v>
      </c>
      <c r="O24" s="298">
        <f t="shared" si="8"/>
        <v>-1.0971919582669801E-2</v>
      </c>
      <c r="P24" s="298">
        <f t="shared" si="9"/>
        <v>-1.0067281116251145E-2</v>
      </c>
      <c r="Q24" s="298">
        <f t="shared" si="10"/>
        <v>2.4817924796667668E-3</v>
      </c>
      <c r="R24" s="298">
        <f t="shared" si="11"/>
        <v>4.5702153480855379E-2</v>
      </c>
      <c r="S24" s="299">
        <f t="shared" si="12"/>
        <v>1.180969367811789E-2</v>
      </c>
      <c r="U24" s="303">
        <f t="shared" si="13"/>
        <v>1.261275356104016E-2</v>
      </c>
      <c r="V24" s="86">
        <f t="shared" si="14"/>
        <v>4.2548724453031657E-2</v>
      </c>
      <c r="W24" s="86">
        <f t="shared" si="15"/>
        <v>-2.3117875107128927E-2</v>
      </c>
      <c r="X24" s="86">
        <f t="shared" si="16"/>
        <v>-1.1343247095184311E-2</v>
      </c>
      <c r="Y24" s="86">
        <f t="shared" si="17"/>
        <v>-1.1176291107944774E-2</v>
      </c>
      <c r="Z24" s="86">
        <f t="shared" si="18"/>
        <v>9.1999988048941631E-4</v>
      </c>
      <c r="AA24" s="86">
        <f t="shared" si="19"/>
        <v>5.1414074156398912E-2</v>
      </c>
      <c r="AB24" s="304">
        <f t="shared" si="20"/>
        <v>1.1197335801468328E-2</v>
      </c>
    </row>
    <row r="25" spans="2:40" x14ac:dyDescent="0.3">
      <c r="B25" s="271">
        <v>44084</v>
      </c>
      <c r="C25" s="292">
        <v>130.44999999999999</v>
      </c>
      <c r="D25" s="292">
        <v>579.75</v>
      </c>
      <c r="E25" s="292">
        <v>9429.2000000000007</v>
      </c>
      <c r="F25" s="292">
        <v>1090.5500489999999</v>
      </c>
      <c r="G25" s="292">
        <v>2056.5500000000002</v>
      </c>
      <c r="H25" s="292">
        <v>2314</v>
      </c>
      <c r="I25" s="292">
        <v>13.9</v>
      </c>
      <c r="J25" s="197">
        <v>2133.8999020000001</v>
      </c>
      <c r="L25" s="297">
        <f t="shared" si="5"/>
        <v>1.9350448976939463E-2</v>
      </c>
      <c r="M25" s="298">
        <f t="shared" si="6"/>
        <v>-1.7610282598856941E-2</v>
      </c>
      <c r="N25" s="298">
        <f t="shared" si="7"/>
        <v>1.4678966630654832E-2</v>
      </c>
      <c r="O25" s="298">
        <f t="shared" si="8"/>
        <v>-5.4410878086258762E-3</v>
      </c>
      <c r="P25" s="298">
        <f t="shared" si="9"/>
        <v>3.8412889959433379E-2</v>
      </c>
      <c r="Q25" s="298">
        <f t="shared" si="10"/>
        <v>6.8244556964538627E-2</v>
      </c>
      <c r="R25" s="298">
        <f t="shared" si="11"/>
        <v>1.8149318505677269E-2</v>
      </c>
      <c r="S25" s="299">
        <f t="shared" si="12"/>
        <v>7.7348528305816629E-4</v>
      </c>
      <c r="U25" s="303">
        <f t="shared" si="13"/>
        <v>2.0909154397447994E-2</v>
      </c>
      <c r="V25" s="86">
        <f t="shared" si="14"/>
        <v>-2.3708011297317574E-2</v>
      </c>
      <c r="W25" s="86">
        <f t="shared" si="15"/>
        <v>1.1830463285588663E-2</v>
      </c>
      <c r="X25" s="86">
        <f t="shared" si="16"/>
        <v>-5.8124153211403856E-3</v>
      </c>
      <c r="Y25" s="86">
        <f t="shared" si="17"/>
        <v>3.7303879967739748E-2</v>
      </c>
      <c r="Z25" s="86">
        <f t="shared" si="18"/>
        <v>6.6682764365361274E-2</v>
      </c>
      <c r="AA25" s="86">
        <f t="shared" si="19"/>
        <v>2.3861239181220805E-2</v>
      </c>
      <c r="AB25" s="304">
        <f t="shared" si="20"/>
        <v>1.611274064086054E-4</v>
      </c>
    </row>
    <row r="26" spans="2:40" x14ac:dyDescent="0.3">
      <c r="B26" s="271">
        <v>44083</v>
      </c>
      <c r="C26" s="292">
        <v>127.95</v>
      </c>
      <c r="D26" s="292">
        <v>590.04998799999998</v>
      </c>
      <c r="E26" s="292">
        <v>9291.7999999999993</v>
      </c>
      <c r="F26" s="292">
        <v>1096.5</v>
      </c>
      <c r="G26" s="292">
        <v>1979.05</v>
      </c>
      <c r="H26" s="292">
        <v>2161.3500979999999</v>
      </c>
      <c r="I26" s="292">
        <v>13.65</v>
      </c>
      <c r="J26" s="197">
        <v>2132.25</v>
      </c>
      <c r="L26" s="297">
        <f t="shared" si="5"/>
        <v>1.8935477002203903E-2</v>
      </c>
      <c r="M26" s="298">
        <f t="shared" si="6"/>
        <v>4.4443996232806433E-2</v>
      </c>
      <c r="N26" s="298">
        <f t="shared" si="7"/>
        <v>-3.3120271215305024E-2</v>
      </c>
      <c r="O26" s="298">
        <f t="shared" si="8"/>
        <v>-1.4441457305299513E-2</v>
      </c>
      <c r="P26" s="298">
        <f t="shared" si="9"/>
        <v>9.4939028577468287E-3</v>
      </c>
      <c r="Q26" s="298">
        <f t="shared" si="10"/>
        <v>2.5420430756901976E-2</v>
      </c>
      <c r="R26" s="298">
        <f t="shared" si="11"/>
        <v>-2.1739986636405764E-2</v>
      </c>
      <c r="S26" s="299">
        <f t="shared" si="12"/>
        <v>-4.6789183500093008E-3</v>
      </c>
      <c r="U26" s="303">
        <f t="shared" si="13"/>
        <v>2.0494182422712434E-2</v>
      </c>
      <c r="V26" s="86">
        <f t="shared" si="14"/>
        <v>3.83462675343458E-2</v>
      </c>
      <c r="W26" s="86">
        <f t="shared" si="15"/>
        <v>-3.5968774560371196E-2</v>
      </c>
      <c r="X26" s="86">
        <f t="shared" si="16"/>
        <v>-1.4812784817814022E-2</v>
      </c>
      <c r="Y26" s="86">
        <f t="shared" si="17"/>
        <v>8.3848928660531993E-3</v>
      </c>
      <c r="Z26" s="86">
        <f t="shared" si="18"/>
        <v>2.3858638157724626E-2</v>
      </c>
      <c r="AA26" s="86">
        <f t="shared" si="19"/>
        <v>-1.6028065960862228E-2</v>
      </c>
      <c r="AB26" s="304">
        <f t="shared" si="20"/>
        <v>-5.291276226658862E-3</v>
      </c>
    </row>
    <row r="27" spans="2:40" x14ac:dyDescent="0.3">
      <c r="B27" s="271">
        <v>44082</v>
      </c>
      <c r="C27" s="292">
        <v>125.55</v>
      </c>
      <c r="D27" s="292">
        <v>564.40002400000003</v>
      </c>
      <c r="E27" s="292">
        <v>9604.7000000000007</v>
      </c>
      <c r="F27" s="292">
        <v>1112.4499510000001</v>
      </c>
      <c r="G27" s="292">
        <v>1960.35</v>
      </c>
      <c r="H27" s="292">
        <v>2107.1000979999999</v>
      </c>
      <c r="I27" s="292">
        <v>13.95</v>
      </c>
      <c r="J27" s="197">
        <v>2142.25</v>
      </c>
      <c r="L27" s="297">
        <f t="shared" si="5"/>
        <v>-1.8544622981203088E-2</v>
      </c>
      <c r="M27" s="298">
        <f t="shared" si="6"/>
        <v>2.0224488892851691E-2</v>
      </c>
      <c r="N27" s="298">
        <f t="shared" si="7"/>
        <v>7.3945404708896115E-2</v>
      </c>
      <c r="O27" s="298">
        <f t="shared" si="8"/>
        <v>1.7543818287603541E-3</v>
      </c>
      <c r="P27" s="298">
        <f t="shared" si="9"/>
        <v>-1.1033859992795117E-2</v>
      </c>
      <c r="Q27" s="298">
        <f t="shared" si="10"/>
        <v>1.1671566829044336E-2</v>
      </c>
      <c r="R27" s="298">
        <f t="shared" si="11"/>
        <v>-1.069528911674803E-2</v>
      </c>
      <c r="S27" s="299">
        <f t="shared" si="12"/>
        <v>-9.4545682780309715E-3</v>
      </c>
      <c r="U27" s="303">
        <f t="shared" si="13"/>
        <v>-1.6985917560694556E-2</v>
      </c>
      <c r="V27" s="86">
        <f t="shared" si="14"/>
        <v>1.4126760194391057E-2</v>
      </c>
      <c r="W27" s="86">
        <f t="shared" si="15"/>
        <v>7.1096901363829942E-2</v>
      </c>
      <c r="X27" s="86">
        <f t="shared" si="16"/>
        <v>1.3830543162458449E-3</v>
      </c>
      <c r="Y27" s="86">
        <f t="shared" si="17"/>
        <v>-1.2142869984488746E-2</v>
      </c>
      <c r="Z27" s="86">
        <f t="shared" si="18"/>
        <v>1.0109774229866985E-2</v>
      </c>
      <c r="AA27" s="86">
        <f t="shared" si="19"/>
        <v>-4.9833684412044941E-3</v>
      </c>
      <c r="AB27" s="304">
        <f t="shared" si="20"/>
        <v>-1.0066926154680533E-2</v>
      </c>
    </row>
    <row r="28" spans="2:40" x14ac:dyDescent="0.3">
      <c r="B28" s="271">
        <v>44081</v>
      </c>
      <c r="C28" s="292">
        <v>127.9</v>
      </c>
      <c r="D28" s="292">
        <v>553.09997599999997</v>
      </c>
      <c r="E28" s="292">
        <v>8920.1</v>
      </c>
      <c r="F28" s="292">
        <v>1110.5</v>
      </c>
      <c r="G28" s="292">
        <v>1982.1</v>
      </c>
      <c r="H28" s="292">
        <v>2082.6499020000001</v>
      </c>
      <c r="I28" s="292">
        <v>14.1</v>
      </c>
      <c r="J28" s="197">
        <v>2162.6000979999999</v>
      </c>
      <c r="L28" s="297">
        <f t="shared" si="5"/>
        <v>1.5363705786177833E-2</v>
      </c>
      <c r="M28" s="298">
        <f t="shared" si="6"/>
        <v>1.8889964850438378E-2</v>
      </c>
      <c r="N28" s="298">
        <f t="shared" si="7"/>
        <v>3.8115954849629978E-2</v>
      </c>
      <c r="O28" s="298">
        <f t="shared" si="8"/>
        <v>-7.8931693380996041E-3</v>
      </c>
      <c r="P28" s="298">
        <f t="shared" si="9"/>
        <v>1.3076396511114889E-2</v>
      </c>
      <c r="Q28" s="298">
        <f t="shared" si="10"/>
        <v>2.5961706580460908E-3</v>
      </c>
      <c r="R28" s="298">
        <f t="shared" si="11"/>
        <v>-1.0582109330536972E-2</v>
      </c>
      <c r="S28" s="299">
        <f t="shared" si="12"/>
        <v>1.7704210041843419E-2</v>
      </c>
      <c r="U28" s="303">
        <f t="shared" si="13"/>
        <v>1.6922411206686364E-2</v>
      </c>
      <c r="V28" s="86">
        <f t="shared" si="14"/>
        <v>1.2792236151977745E-2</v>
      </c>
      <c r="W28" s="86">
        <f t="shared" si="15"/>
        <v>3.5267451504563806E-2</v>
      </c>
      <c r="X28" s="86">
        <f t="shared" si="16"/>
        <v>-8.2644968506141135E-3</v>
      </c>
      <c r="Y28" s="86">
        <f t="shared" si="17"/>
        <v>1.1967386519421259E-2</v>
      </c>
      <c r="Z28" s="86">
        <f t="shared" si="18"/>
        <v>1.0343780588687403E-3</v>
      </c>
      <c r="AA28" s="86">
        <f t="shared" si="19"/>
        <v>-4.8701886549934363E-3</v>
      </c>
      <c r="AB28" s="304">
        <f t="shared" si="20"/>
        <v>1.709185216519386E-2</v>
      </c>
    </row>
    <row r="29" spans="2:40" x14ac:dyDescent="0.3">
      <c r="B29" s="271">
        <v>44078</v>
      </c>
      <c r="C29" s="292">
        <v>125.95</v>
      </c>
      <c r="D29" s="292">
        <v>542.75</v>
      </c>
      <c r="E29" s="292">
        <v>8586.5</v>
      </c>
      <c r="F29" s="292">
        <v>1119.3000489999999</v>
      </c>
      <c r="G29" s="292">
        <v>1956.35</v>
      </c>
      <c r="H29" s="292">
        <v>2077.25</v>
      </c>
      <c r="I29" s="292">
        <v>14.25</v>
      </c>
      <c r="J29" s="197">
        <v>2124.6499020000001</v>
      </c>
      <c r="L29" s="297">
        <f t="shared" si="5"/>
        <v>-2.004390153665522E-2</v>
      </c>
      <c r="M29" s="298">
        <f t="shared" si="6"/>
        <v>-5.1265635967289329E-2</v>
      </c>
      <c r="N29" s="298">
        <f t="shared" si="7"/>
        <v>1.9658574317041405E-2</v>
      </c>
      <c r="O29" s="298">
        <f t="shared" si="8"/>
        <v>-1.0310263426734929E-2</v>
      </c>
      <c r="P29" s="298">
        <f t="shared" si="9"/>
        <v>-1.1005740989822698E-2</v>
      </c>
      <c r="Q29" s="298">
        <f t="shared" si="10"/>
        <v>-1.6637856044322778E-2</v>
      </c>
      <c r="R29" s="298">
        <f t="shared" si="11"/>
        <v>-2.4264621999631208E-2</v>
      </c>
      <c r="S29" s="299">
        <f t="shared" si="12"/>
        <v>-6.8014712528798819E-3</v>
      </c>
      <c r="U29" s="303">
        <f t="shared" si="13"/>
        <v>-1.8485196116146688E-2</v>
      </c>
      <c r="V29" s="86">
        <f t="shared" si="14"/>
        <v>-5.7363364665749962E-2</v>
      </c>
      <c r="W29" s="86">
        <f t="shared" si="15"/>
        <v>1.6810070971975236E-2</v>
      </c>
      <c r="X29" s="86">
        <f t="shared" si="16"/>
        <v>-1.0681590939249438E-2</v>
      </c>
      <c r="Y29" s="86">
        <f t="shared" si="17"/>
        <v>-1.2114750981516327E-2</v>
      </c>
      <c r="Z29" s="86">
        <f t="shared" si="18"/>
        <v>-1.8199648643500127E-2</v>
      </c>
      <c r="AA29" s="86">
        <f t="shared" si="19"/>
        <v>-1.8552701324087671E-2</v>
      </c>
      <c r="AB29" s="304">
        <f t="shared" si="20"/>
        <v>-7.413829129529443E-3</v>
      </c>
    </row>
    <row r="30" spans="2:40" x14ac:dyDescent="0.3">
      <c r="B30" s="271">
        <v>44077</v>
      </c>
      <c r="C30" s="292">
        <v>128.5</v>
      </c>
      <c r="D30" s="292">
        <v>571.29998799999998</v>
      </c>
      <c r="E30" s="292">
        <v>8419.35</v>
      </c>
      <c r="F30" s="292">
        <v>1130.900024</v>
      </c>
      <c r="G30" s="292">
        <v>1978</v>
      </c>
      <c r="H30" s="292">
        <v>2112.1000979999999</v>
      </c>
      <c r="I30" s="292">
        <v>14.6</v>
      </c>
      <c r="J30" s="197">
        <v>2139.1499020000001</v>
      </c>
      <c r="L30" s="297">
        <f t="shared" si="5"/>
        <v>-2.0031486434379603E-2</v>
      </c>
      <c r="M30" s="298">
        <f t="shared" si="6"/>
        <v>4.8781435343350631E-2</v>
      </c>
      <c r="N30" s="298">
        <f t="shared" si="7"/>
        <v>1.2194945190150869E-2</v>
      </c>
      <c r="O30" s="298">
        <f t="shared" si="8"/>
        <v>-2.8696957342937909E-3</v>
      </c>
      <c r="P30" s="298">
        <f t="shared" si="9"/>
        <v>1.736424765765112E-2</v>
      </c>
      <c r="Q30" s="298">
        <f t="shared" si="10"/>
        <v>-7.5937693940654532E-3</v>
      </c>
      <c r="R30" s="298">
        <f t="shared" si="11"/>
        <v>1.3793322132335769E-2</v>
      </c>
      <c r="S30" s="299">
        <f t="shared" si="12"/>
        <v>-1.1680061664552869E-3</v>
      </c>
      <c r="U30" s="303">
        <f t="shared" si="13"/>
        <v>-1.8472781013871072E-2</v>
      </c>
      <c r="V30" s="86">
        <f t="shared" si="14"/>
        <v>4.2683706644889997E-2</v>
      </c>
      <c r="W30" s="86">
        <f t="shared" si="15"/>
        <v>9.3464418450847006E-3</v>
      </c>
      <c r="X30" s="86">
        <f t="shared" si="16"/>
        <v>-3.2410232468083004E-3</v>
      </c>
      <c r="Y30" s="86">
        <f t="shared" si="17"/>
        <v>1.6255237665957493E-2</v>
      </c>
      <c r="Z30" s="86">
        <f t="shared" si="18"/>
        <v>-9.1555619932428035E-3</v>
      </c>
      <c r="AA30" s="86">
        <f t="shared" si="19"/>
        <v>1.9505242807879304E-2</v>
      </c>
      <c r="AB30" s="304">
        <f t="shared" si="20"/>
        <v>-1.7803640431048478E-3</v>
      </c>
    </row>
    <row r="31" spans="2:40" x14ac:dyDescent="0.3">
      <c r="B31" s="271">
        <v>44076</v>
      </c>
      <c r="C31" s="292">
        <v>131.1</v>
      </c>
      <c r="D31" s="292">
        <v>544.09997599999997</v>
      </c>
      <c r="E31" s="292">
        <v>8317.2999999999993</v>
      </c>
      <c r="F31" s="292">
        <v>1134.150024</v>
      </c>
      <c r="G31" s="292">
        <v>1943.95</v>
      </c>
      <c r="H31" s="292">
        <v>2128.1999510000001</v>
      </c>
      <c r="I31" s="292">
        <v>14.4</v>
      </c>
      <c r="J31" s="197">
        <v>2141.6499020000001</v>
      </c>
      <c r="L31" s="297">
        <f t="shared" si="5"/>
        <v>-6.8415318167167121E-3</v>
      </c>
      <c r="M31" s="298">
        <f t="shared" si="6"/>
        <v>9.5282579742897264E-2</v>
      </c>
      <c r="N31" s="298">
        <f t="shared" si="7"/>
        <v>2.660648672656171E-3</v>
      </c>
      <c r="O31" s="298">
        <f t="shared" si="8"/>
        <v>6.0580563164355063E-3</v>
      </c>
      <c r="P31" s="298">
        <f t="shared" si="9"/>
        <v>-1.8021261301683186E-2</v>
      </c>
      <c r="Q31" s="298">
        <f t="shared" si="10"/>
        <v>1.9429118909369252E-2</v>
      </c>
      <c r="R31" s="298">
        <f t="shared" si="11"/>
        <v>-1.7212128881121409E-2</v>
      </c>
      <c r="S31" s="299">
        <f t="shared" si="12"/>
        <v>-9.2952594119895555E-3</v>
      </c>
      <c r="U31" s="303">
        <f t="shared" si="13"/>
        <v>-5.2828263962081817E-3</v>
      </c>
      <c r="V31" s="86">
        <f t="shared" si="14"/>
        <v>8.918485104443663E-2</v>
      </c>
      <c r="W31" s="86">
        <f t="shared" si="15"/>
        <v>-1.8785467240999823E-4</v>
      </c>
      <c r="X31" s="86">
        <f t="shared" si="16"/>
        <v>5.6867288039209969E-3</v>
      </c>
      <c r="Y31" s="86">
        <f t="shared" si="17"/>
        <v>-1.9130271293376813E-2</v>
      </c>
      <c r="Z31" s="86">
        <f t="shared" si="18"/>
        <v>1.7867326310191903E-2</v>
      </c>
      <c r="AA31" s="86">
        <f t="shared" si="19"/>
        <v>-1.1500208205577872E-2</v>
      </c>
      <c r="AB31" s="304">
        <f t="shared" si="20"/>
        <v>-9.9076172886391166E-3</v>
      </c>
    </row>
    <row r="32" spans="2:40" x14ac:dyDescent="0.3">
      <c r="B32" s="271">
        <v>44075</v>
      </c>
      <c r="C32" s="292">
        <v>132</v>
      </c>
      <c r="D32" s="292">
        <v>494.64999399999999</v>
      </c>
      <c r="E32" s="292">
        <v>8295.2000000000007</v>
      </c>
      <c r="F32" s="292">
        <v>1127.3000489999999</v>
      </c>
      <c r="G32" s="292">
        <v>1979.3</v>
      </c>
      <c r="H32" s="292">
        <v>2087.25</v>
      </c>
      <c r="I32" s="292">
        <v>14.65</v>
      </c>
      <c r="J32" s="197">
        <v>2161.6499020000001</v>
      </c>
      <c r="L32" s="297">
        <f t="shared" si="5"/>
        <v>2.5706383858617555E-2</v>
      </c>
      <c r="M32" s="298">
        <f t="shared" si="6"/>
        <v>8.8510332875919903E-2</v>
      </c>
      <c r="N32" s="298">
        <f t="shared" si="7"/>
        <v>2.4436623803663141E-2</v>
      </c>
      <c r="O32" s="298">
        <f t="shared" si="8"/>
        <v>1.0209011719982335E-2</v>
      </c>
      <c r="P32" s="298">
        <f t="shared" si="9"/>
        <v>4.1363157106490078E-2</v>
      </c>
      <c r="Q32" s="298">
        <f t="shared" si="10"/>
        <v>3.1430580833408275E-3</v>
      </c>
      <c r="R32" s="298">
        <f t="shared" si="11"/>
        <v>2.0690393257446246E-2</v>
      </c>
      <c r="S32" s="299">
        <f t="shared" si="12"/>
        <v>2.0706420568065483E-2</v>
      </c>
      <c r="U32" s="303">
        <f t="shared" si="13"/>
        <v>2.7265089279126086E-2</v>
      </c>
      <c r="V32" s="86">
        <f t="shared" si="14"/>
        <v>8.241260417745927E-2</v>
      </c>
      <c r="W32" s="86">
        <f t="shared" si="15"/>
        <v>2.1588120458596972E-2</v>
      </c>
      <c r="X32" s="86">
        <f t="shared" si="16"/>
        <v>9.8376842074678252E-3</v>
      </c>
      <c r="Y32" s="86">
        <f t="shared" si="17"/>
        <v>4.0254147114796447E-2</v>
      </c>
      <c r="Z32" s="86">
        <f t="shared" si="18"/>
        <v>1.581265484163477E-3</v>
      </c>
      <c r="AA32" s="86">
        <f t="shared" si="19"/>
        <v>2.6402313932989783E-2</v>
      </c>
      <c r="AB32" s="304">
        <f t="shared" si="20"/>
        <v>2.0094062691415924E-2</v>
      </c>
    </row>
    <row r="33" spans="2:28" x14ac:dyDescent="0.3">
      <c r="B33" s="271">
        <v>44074</v>
      </c>
      <c r="C33" s="292">
        <v>128.65</v>
      </c>
      <c r="D33" s="292">
        <v>452.75</v>
      </c>
      <c r="E33" s="292">
        <v>8094.95</v>
      </c>
      <c r="F33" s="292">
        <v>1115.849976</v>
      </c>
      <c r="G33" s="292">
        <v>1899.1</v>
      </c>
      <c r="H33" s="292">
        <v>2080.6999510000001</v>
      </c>
      <c r="I33" s="292">
        <v>14.35</v>
      </c>
      <c r="J33" s="197">
        <v>2117.3500979999999</v>
      </c>
      <c r="L33" s="297">
        <f t="shared" si="5"/>
        <v>-1.5533983706208243E-3</v>
      </c>
      <c r="M33" s="298">
        <f t="shared" si="6"/>
        <v>-2.087390827348598E-2</v>
      </c>
      <c r="N33" s="298">
        <f t="shared" si="7"/>
        <v>-2.6580144090682684E-2</v>
      </c>
      <c r="O33" s="298">
        <f t="shared" si="8"/>
        <v>1.2105509712689666E-3</v>
      </c>
      <c r="P33" s="298">
        <f t="shared" si="9"/>
        <v>-3.0594525589082076E-2</v>
      </c>
      <c r="Q33" s="298">
        <f t="shared" si="10"/>
        <v>-1.6894001633243616E-2</v>
      </c>
      <c r="R33" s="298">
        <f t="shared" si="11"/>
        <v>-4.4300258896579951E-2</v>
      </c>
      <c r="S33" s="299">
        <f t="shared" si="12"/>
        <v>-1.6209031992292539E-2</v>
      </c>
      <c r="U33" s="303">
        <f t="shared" si="13"/>
        <v>5.3070498877059134E-6</v>
      </c>
      <c r="V33" s="86">
        <f t="shared" si="14"/>
        <v>-2.6971636971946614E-2</v>
      </c>
      <c r="W33" s="86">
        <f t="shared" si="15"/>
        <v>-2.9428647435748852E-2</v>
      </c>
      <c r="X33" s="86">
        <f t="shared" si="16"/>
        <v>8.3922345875445733E-4</v>
      </c>
      <c r="Y33" s="86">
        <f t="shared" si="17"/>
        <v>-3.1703535580775703E-2</v>
      </c>
      <c r="Z33" s="86">
        <f t="shared" si="18"/>
        <v>-1.8455794232420965E-2</v>
      </c>
      <c r="AA33" s="86">
        <f t="shared" si="19"/>
        <v>-3.8588338221036418E-2</v>
      </c>
      <c r="AB33" s="304">
        <f t="shared" si="20"/>
        <v>-1.6821389868942098E-2</v>
      </c>
    </row>
    <row r="34" spans="2:28" x14ac:dyDescent="0.3">
      <c r="B34" s="271">
        <v>44071</v>
      </c>
      <c r="C34" s="292">
        <v>128.85</v>
      </c>
      <c r="D34" s="292">
        <v>462.29998799999998</v>
      </c>
      <c r="E34" s="292">
        <v>8313</v>
      </c>
      <c r="F34" s="292">
        <v>1114.5</v>
      </c>
      <c r="G34" s="292">
        <v>1958.1</v>
      </c>
      <c r="H34" s="292">
        <v>2116.1499020000001</v>
      </c>
      <c r="I34" s="292">
        <v>15</v>
      </c>
      <c r="J34" s="197">
        <v>2151.9499510000001</v>
      </c>
      <c r="L34" s="297">
        <f t="shared" si="5"/>
        <v>7.7912353611783959E-3</v>
      </c>
      <c r="M34" s="298">
        <f t="shared" si="6"/>
        <v>6.6053810980689992E-2</v>
      </c>
      <c r="N34" s="298">
        <f t="shared" si="7"/>
        <v>-3.5591449830615247E-2</v>
      </c>
      <c r="O34" s="298">
        <f t="shared" si="8"/>
        <v>2.1557755819206128E-3</v>
      </c>
      <c r="P34" s="298">
        <f t="shared" si="9"/>
        <v>-1.2384059199721666E-2</v>
      </c>
      <c r="Q34" s="298">
        <f t="shared" si="10"/>
        <v>2.626039954729739E-3</v>
      </c>
      <c r="R34" s="298">
        <f t="shared" si="11"/>
        <v>2.0202707317519469E-2</v>
      </c>
      <c r="S34" s="299">
        <f t="shared" si="12"/>
        <v>-8.9286535143474049E-3</v>
      </c>
      <c r="U34" s="303">
        <f t="shared" si="13"/>
        <v>9.3499407816869263E-3</v>
      </c>
      <c r="V34" s="86">
        <f t="shared" si="14"/>
        <v>5.9956082282229359E-2</v>
      </c>
      <c r="W34" s="86">
        <f t="shared" si="15"/>
        <v>-3.843995317568142E-2</v>
      </c>
      <c r="X34" s="86">
        <f t="shared" si="16"/>
        <v>1.7844480694061034E-3</v>
      </c>
      <c r="Y34" s="86">
        <f t="shared" si="17"/>
        <v>-1.3493069191415295E-2</v>
      </c>
      <c r="Z34" s="86">
        <f t="shared" si="18"/>
        <v>1.0642473555523885E-3</v>
      </c>
      <c r="AA34" s="86">
        <f t="shared" si="19"/>
        <v>2.5914627993063006E-2</v>
      </c>
      <c r="AB34" s="304">
        <f t="shared" si="20"/>
        <v>-9.541011390996966E-3</v>
      </c>
    </row>
    <row r="35" spans="2:28" x14ac:dyDescent="0.3">
      <c r="B35" s="271">
        <v>44070</v>
      </c>
      <c r="C35" s="292">
        <v>127.85</v>
      </c>
      <c r="D35" s="292">
        <v>432.75</v>
      </c>
      <c r="E35" s="292">
        <v>8614.2000000000007</v>
      </c>
      <c r="F35" s="292">
        <v>1112.099976</v>
      </c>
      <c r="G35" s="292">
        <v>1982.5</v>
      </c>
      <c r="H35" s="292">
        <v>2110.6000979999999</v>
      </c>
      <c r="I35" s="292">
        <v>14.7</v>
      </c>
      <c r="J35" s="197">
        <v>2171.25</v>
      </c>
      <c r="L35" s="297">
        <f t="shared" si="5"/>
        <v>-8.5670305901580819E-3</v>
      </c>
      <c r="M35" s="298">
        <f t="shared" si="6"/>
        <v>1.1855104059692805E-2</v>
      </c>
      <c r="N35" s="298">
        <f t="shared" si="7"/>
        <v>3.198314742952281E-2</v>
      </c>
      <c r="O35" s="298">
        <f t="shared" si="8"/>
        <v>-5.6936561494866523E-3</v>
      </c>
      <c r="P35" s="298">
        <f t="shared" si="9"/>
        <v>5.6147242776643756E-3</v>
      </c>
      <c r="Q35" s="298">
        <f t="shared" si="10"/>
        <v>-1.2571059438603626E-2</v>
      </c>
      <c r="R35" s="298">
        <f t="shared" si="11"/>
        <v>3.4071583216141346E-3</v>
      </c>
      <c r="S35" s="299">
        <f t="shared" si="12"/>
        <v>-5.3054402049935714E-3</v>
      </c>
      <c r="U35" s="303">
        <f t="shared" si="13"/>
        <v>-7.0083251696495515E-3</v>
      </c>
      <c r="V35" s="86">
        <f t="shared" si="14"/>
        <v>5.7573753612321704E-3</v>
      </c>
      <c r="W35" s="86">
        <f t="shared" si="15"/>
        <v>2.9134644084456641E-2</v>
      </c>
      <c r="X35" s="86">
        <f t="shared" si="16"/>
        <v>-6.0649836620011617E-3</v>
      </c>
      <c r="Y35" s="86">
        <f t="shared" si="17"/>
        <v>4.5057142859707463E-3</v>
      </c>
      <c r="Z35" s="86">
        <f t="shared" si="18"/>
        <v>-1.4132852037780978E-2</v>
      </c>
      <c r="AA35" s="86">
        <f t="shared" si="19"/>
        <v>9.1190789971576699E-3</v>
      </c>
      <c r="AB35" s="304">
        <f t="shared" si="20"/>
        <v>-5.9177980816431325E-3</v>
      </c>
    </row>
    <row r="36" spans="2:28" x14ac:dyDescent="0.3">
      <c r="B36" s="271">
        <v>44069</v>
      </c>
      <c r="C36" s="292">
        <v>128.94999999999999</v>
      </c>
      <c r="D36" s="292">
        <v>427.64999399999999</v>
      </c>
      <c r="E36" s="292">
        <v>8343.0499999999993</v>
      </c>
      <c r="F36" s="292">
        <v>1118.4499510000001</v>
      </c>
      <c r="G36" s="292">
        <v>1971.4</v>
      </c>
      <c r="H36" s="292">
        <v>2137.3000489999999</v>
      </c>
      <c r="I36" s="292">
        <v>14.65</v>
      </c>
      <c r="J36" s="197">
        <v>2182.8000489999999</v>
      </c>
      <c r="L36" s="297">
        <f t="shared" si="5"/>
        <v>-8.4942595673069467E-3</v>
      </c>
      <c r="M36" s="298">
        <f t="shared" si="6"/>
        <v>6.9220244221616049E-3</v>
      </c>
      <c r="N36" s="298">
        <f t="shared" si="7"/>
        <v>1.5101986488825343E-2</v>
      </c>
      <c r="O36" s="298">
        <f t="shared" si="8"/>
        <v>-1.1169941109388604E-3</v>
      </c>
      <c r="P36" s="298">
        <f t="shared" si="9"/>
        <v>-1.4703185319741631E-2</v>
      </c>
      <c r="Q36" s="298">
        <f t="shared" si="10"/>
        <v>2.6166326278874764E-2</v>
      </c>
      <c r="R36" s="298">
        <f t="shared" si="11"/>
        <v>-6.8027473227525231E-3</v>
      </c>
      <c r="S36" s="299">
        <f t="shared" si="12"/>
        <v>1.6964862847382541E-3</v>
      </c>
      <c r="U36" s="303">
        <f t="shared" si="13"/>
        <v>-6.9355541467984163E-3</v>
      </c>
      <c r="V36" s="86">
        <f t="shared" si="14"/>
        <v>8.2429572370097074E-4</v>
      </c>
      <c r="W36" s="86">
        <f t="shared" si="15"/>
        <v>1.2253483143759174E-2</v>
      </c>
      <c r="X36" s="86">
        <f t="shared" si="16"/>
        <v>-1.4883216234533696E-3</v>
      </c>
      <c r="Y36" s="86">
        <f t="shared" si="17"/>
        <v>-1.5812195311435261E-2</v>
      </c>
      <c r="Z36" s="86">
        <f t="shared" si="18"/>
        <v>2.4604533679697414E-2</v>
      </c>
      <c r="AA36" s="86">
        <f t="shared" si="19"/>
        <v>-1.0908266472089874E-3</v>
      </c>
      <c r="AB36" s="304">
        <f t="shared" si="20"/>
        <v>1.0841284080886932E-3</v>
      </c>
    </row>
    <row r="37" spans="2:28" x14ac:dyDescent="0.3">
      <c r="B37" s="271">
        <v>44068</v>
      </c>
      <c r="C37" s="292">
        <v>130.05000000000001</v>
      </c>
      <c r="D37" s="292">
        <v>424.70001200000002</v>
      </c>
      <c r="E37" s="292">
        <v>8218</v>
      </c>
      <c r="F37" s="292">
        <v>1119.6999510000001</v>
      </c>
      <c r="G37" s="292">
        <v>2000.6</v>
      </c>
      <c r="H37" s="292">
        <v>2082.1000979999999</v>
      </c>
      <c r="I37" s="292">
        <v>14.75</v>
      </c>
      <c r="J37" s="197">
        <v>2179.1000979999999</v>
      </c>
      <c r="L37" s="297">
        <f t="shared" si="5"/>
        <v>9.6581782244072652E-3</v>
      </c>
      <c r="M37" s="298">
        <f t="shared" si="6"/>
        <v>2.5034087641469322E-2</v>
      </c>
      <c r="N37" s="298">
        <f t="shared" si="7"/>
        <v>1.1510381365662866E-2</v>
      </c>
      <c r="O37" s="298">
        <f t="shared" si="8"/>
        <v>2.3694228141266198E-3</v>
      </c>
      <c r="P37" s="298">
        <f t="shared" si="9"/>
        <v>1.9406324748734424E-2</v>
      </c>
      <c r="Q37" s="298">
        <f t="shared" si="10"/>
        <v>-6.5344376889551661E-3</v>
      </c>
      <c r="R37" s="298">
        <f t="shared" si="11"/>
        <v>-3.3840979842405684E-3</v>
      </c>
      <c r="S37" s="299">
        <f t="shared" si="12"/>
        <v>-6.9966234886902623E-3</v>
      </c>
      <c r="U37" s="303">
        <f t="shared" si="13"/>
        <v>1.1216883644915795E-2</v>
      </c>
      <c r="V37" s="86">
        <f t="shared" si="14"/>
        <v>1.8936358943008689E-2</v>
      </c>
      <c r="W37" s="86">
        <f t="shared" si="15"/>
        <v>8.6618780205966975E-3</v>
      </c>
      <c r="X37" s="86">
        <f t="shared" si="16"/>
        <v>1.9980953016121104E-3</v>
      </c>
      <c r="Y37" s="86">
        <f t="shared" si="17"/>
        <v>1.8297314757040797E-2</v>
      </c>
      <c r="Z37" s="86">
        <f t="shared" si="18"/>
        <v>-8.0962302881325172E-3</v>
      </c>
      <c r="AA37" s="86">
        <f t="shared" si="19"/>
        <v>2.3278226913029674E-3</v>
      </c>
      <c r="AB37" s="304">
        <f t="shared" si="20"/>
        <v>-7.6089813653398234E-3</v>
      </c>
    </row>
    <row r="38" spans="2:28" x14ac:dyDescent="0.3">
      <c r="B38" s="271">
        <v>44067</v>
      </c>
      <c r="C38" s="292">
        <v>128.80000000000001</v>
      </c>
      <c r="D38" s="292">
        <v>414.20001200000002</v>
      </c>
      <c r="E38" s="292">
        <v>8123.95</v>
      </c>
      <c r="F38" s="292">
        <v>1117.0500489999999</v>
      </c>
      <c r="G38" s="292">
        <v>1962.15</v>
      </c>
      <c r="H38" s="292">
        <v>2095.75</v>
      </c>
      <c r="I38" s="292">
        <v>14.8</v>
      </c>
      <c r="J38" s="197">
        <v>2194.3999020000001</v>
      </c>
      <c r="L38" s="297">
        <f t="shared" si="5"/>
        <v>-1.4643806959922881E-2</v>
      </c>
      <c r="M38" s="298">
        <f t="shared" si="6"/>
        <v>9.529816925391231E-2</v>
      </c>
      <c r="N38" s="298">
        <f t="shared" si="7"/>
        <v>5.5669534246348762E-3</v>
      </c>
      <c r="O38" s="298">
        <f t="shared" si="8"/>
        <v>2.851241764394917E-2</v>
      </c>
      <c r="P38" s="298">
        <f t="shared" si="9"/>
        <v>2.1172667118900708E-3</v>
      </c>
      <c r="Q38" s="298">
        <f t="shared" si="10"/>
        <v>6.6545159744929982E-3</v>
      </c>
      <c r="R38" s="298">
        <f t="shared" si="11"/>
        <v>-4.9433457855173724E-2</v>
      </c>
      <c r="S38" s="299">
        <f t="shared" si="12"/>
        <v>-3.4801509429016621E-3</v>
      </c>
      <c r="U38" s="303">
        <f t="shared" si="13"/>
        <v>-1.3085101539414352E-2</v>
      </c>
      <c r="V38" s="86">
        <f t="shared" si="14"/>
        <v>8.9200440555451677E-2</v>
      </c>
      <c r="W38" s="86">
        <f t="shared" si="15"/>
        <v>2.718450079568707E-3</v>
      </c>
      <c r="X38" s="86">
        <f t="shared" si="16"/>
        <v>2.8141090131434662E-2</v>
      </c>
      <c r="Y38" s="86">
        <f t="shared" si="17"/>
        <v>1.0082567201964419E-3</v>
      </c>
      <c r="Z38" s="86">
        <f t="shared" si="18"/>
        <v>5.0927233753156479E-3</v>
      </c>
      <c r="AA38" s="86">
        <f t="shared" si="19"/>
        <v>-4.372153717963019E-2</v>
      </c>
      <c r="AB38" s="304">
        <f t="shared" si="20"/>
        <v>-4.0925088195512228E-3</v>
      </c>
    </row>
    <row r="39" spans="2:28" x14ac:dyDescent="0.3">
      <c r="B39" s="271">
        <v>44064</v>
      </c>
      <c r="C39" s="292">
        <v>130.69999999999999</v>
      </c>
      <c r="D39" s="292">
        <v>376.54998799999998</v>
      </c>
      <c r="E39" s="292">
        <v>8078.85</v>
      </c>
      <c r="F39" s="292">
        <v>1085.650024</v>
      </c>
      <c r="G39" s="292">
        <v>1958</v>
      </c>
      <c r="H39" s="292">
        <v>2081.8500979999999</v>
      </c>
      <c r="I39" s="292">
        <v>15.55</v>
      </c>
      <c r="J39" s="197">
        <v>2202.0500489999999</v>
      </c>
      <c r="L39" s="297">
        <f t="shared" si="5"/>
        <v>1.3479888302822434E-2</v>
      </c>
      <c r="M39" s="298">
        <f t="shared" si="6"/>
        <v>3.0587005096255862E-3</v>
      </c>
      <c r="N39" s="298">
        <f t="shared" si="7"/>
        <v>4.6960821049082469E-3</v>
      </c>
      <c r="O39" s="298">
        <f t="shared" si="8"/>
        <v>2.4853841444946363E-2</v>
      </c>
      <c r="P39" s="298">
        <f t="shared" si="9"/>
        <v>4.336821944155049E-2</v>
      </c>
      <c r="Q39" s="298">
        <f t="shared" si="10"/>
        <v>-7.2746500264247128E-3</v>
      </c>
      <c r="R39" s="298">
        <f t="shared" si="11"/>
        <v>-1.2779726646398882E-2</v>
      </c>
      <c r="S39" s="299">
        <f t="shared" si="12"/>
        <v>7.4526459694676892E-3</v>
      </c>
      <c r="U39" s="303">
        <f t="shared" si="13"/>
        <v>1.5038593723330964E-2</v>
      </c>
      <c r="V39" s="86">
        <f t="shared" si="14"/>
        <v>-3.0390281888350479E-3</v>
      </c>
      <c r="W39" s="86">
        <f t="shared" si="15"/>
        <v>1.8475787598420776E-3</v>
      </c>
      <c r="X39" s="86">
        <f t="shared" si="16"/>
        <v>2.4482513932431855E-2</v>
      </c>
      <c r="Y39" s="86">
        <f t="shared" si="17"/>
        <v>4.2259209449856859E-2</v>
      </c>
      <c r="Z39" s="86">
        <f t="shared" si="18"/>
        <v>-8.8364426256020631E-3</v>
      </c>
      <c r="AA39" s="86">
        <f t="shared" si="19"/>
        <v>-7.0678059708553466E-3</v>
      </c>
      <c r="AB39" s="304">
        <f t="shared" si="20"/>
        <v>6.8402880928181281E-3</v>
      </c>
    </row>
    <row r="40" spans="2:28" x14ac:dyDescent="0.3">
      <c r="B40" s="271">
        <v>44063</v>
      </c>
      <c r="C40" s="292">
        <v>128.94999999999999</v>
      </c>
      <c r="D40" s="292">
        <v>375.39999399999999</v>
      </c>
      <c r="E40" s="292">
        <v>8041</v>
      </c>
      <c r="F40" s="292">
        <v>1059</v>
      </c>
      <c r="G40" s="292">
        <v>1874.9</v>
      </c>
      <c r="H40" s="292">
        <v>2097.0500489999999</v>
      </c>
      <c r="I40" s="292">
        <v>15.75</v>
      </c>
      <c r="J40" s="197">
        <v>2185.6999510000001</v>
      </c>
      <c r="L40" s="297">
        <f t="shared" si="5"/>
        <v>-7.7519383726929662E-4</v>
      </c>
      <c r="M40" s="298">
        <f t="shared" si="6"/>
        <v>1.1790045562021539E-2</v>
      </c>
      <c r="N40" s="298">
        <f t="shared" si="7"/>
        <v>6.976148495926422E-3</v>
      </c>
      <c r="O40" s="298">
        <f t="shared" si="8"/>
        <v>-7.1509300636887641E-3</v>
      </c>
      <c r="P40" s="298">
        <f t="shared" si="9"/>
        <v>-5.7437800839718837E-3</v>
      </c>
      <c r="Q40" s="298">
        <f t="shared" si="10"/>
        <v>-1.6317819007131897E-2</v>
      </c>
      <c r="R40" s="298">
        <f t="shared" si="11"/>
        <v>-3.1695747612790672E-3</v>
      </c>
      <c r="S40" s="299">
        <f t="shared" si="12"/>
        <v>-3.6079535457739799E-3</v>
      </c>
      <c r="U40" s="303">
        <f t="shared" si="13"/>
        <v>7.8351158323923357E-4</v>
      </c>
      <c r="V40" s="86">
        <f t="shared" si="14"/>
        <v>5.6923168635609053E-3</v>
      </c>
      <c r="W40" s="86">
        <f t="shared" si="15"/>
        <v>4.1276451508602523E-3</v>
      </c>
      <c r="X40" s="86">
        <f t="shared" si="16"/>
        <v>-7.5222575762032735E-3</v>
      </c>
      <c r="Y40" s="86">
        <f t="shared" si="17"/>
        <v>-6.852790075665513E-3</v>
      </c>
      <c r="Z40" s="86">
        <f t="shared" si="18"/>
        <v>-1.7879611606309246E-2</v>
      </c>
      <c r="AA40" s="86">
        <f t="shared" si="19"/>
        <v>2.5423459142644685E-3</v>
      </c>
      <c r="AB40" s="304">
        <f t="shared" si="20"/>
        <v>-4.2203114224235406E-3</v>
      </c>
    </row>
    <row r="41" spans="2:28" x14ac:dyDescent="0.3">
      <c r="B41" s="271">
        <v>44062</v>
      </c>
      <c r="C41" s="292">
        <v>129.05000000000001</v>
      </c>
      <c r="D41" s="292">
        <v>371</v>
      </c>
      <c r="E41" s="292">
        <v>7985.1</v>
      </c>
      <c r="F41" s="292">
        <v>1066.599976</v>
      </c>
      <c r="G41" s="292">
        <v>1885.7</v>
      </c>
      <c r="H41" s="292">
        <v>2131.5500489999999</v>
      </c>
      <c r="I41" s="292">
        <v>15.8</v>
      </c>
      <c r="J41" s="197">
        <v>2193.6000979999999</v>
      </c>
      <c r="L41" s="297">
        <f t="shared" si="5"/>
        <v>1.7588884161497544E-2</v>
      </c>
      <c r="M41" s="298">
        <f t="shared" si="6"/>
        <v>-6.8497696901609322E-3</v>
      </c>
      <c r="N41" s="298">
        <f t="shared" si="7"/>
        <v>1.2938535818364193E-2</v>
      </c>
      <c r="O41" s="298">
        <f t="shared" si="8"/>
        <v>9.5144386089838929E-3</v>
      </c>
      <c r="P41" s="298">
        <f t="shared" si="9"/>
        <v>6.1705605652431226E-3</v>
      </c>
      <c r="Q41" s="298">
        <f t="shared" si="10"/>
        <v>6.1175220549940382E-3</v>
      </c>
      <c r="R41" s="298">
        <f t="shared" si="11"/>
        <v>4.8631948838036378E-2</v>
      </c>
      <c r="S41" s="299">
        <f t="shared" si="12"/>
        <v>-9.414876461971677E-3</v>
      </c>
      <c r="U41" s="303">
        <f t="shared" si="13"/>
        <v>1.9147589582006075E-2</v>
      </c>
      <c r="V41" s="86">
        <f t="shared" si="14"/>
        <v>-1.2947498388621567E-2</v>
      </c>
      <c r="W41" s="86">
        <f t="shared" si="15"/>
        <v>1.0090032473298025E-2</v>
      </c>
      <c r="X41" s="86">
        <f t="shared" si="16"/>
        <v>9.1431110964693835E-3</v>
      </c>
      <c r="Y41" s="86">
        <f t="shared" si="17"/>
        <v>5.0615505735494941E-3</v>
      </c>
      <c r="Z41" s="86">
        <f t="shared" si="18"/>
        <v>4.5557294558166879E-3</v>
      </c>
      <c r="AA41" s="86">
        <f t="shared" si="19"/>
        <v>5.4343869513579911E-2</v>
      </c>
      <c r="AB41" s="304">
        <f t="shared" si="20"/>
        <v>-1.0027234338621238E-2</v>
      </c>
    </row>
    <row r="42" spans="2:28" x14ac:dyDescent="0.3">
      <c r="B42" s="271">
        <v>44061</v>
      </c>
      <c r="C42" s="292">
        <v>126.8</v>
      </c>
      <c r="D42" s="292">
        <v>373.54998799999998</v>
      </c>
      <c r="E42" s="292">
        <v>7882.45</v>
      </c>
      <c r="F42" s="292">
        <v>1056.5</v>
      </c>
      <c r="G42" s="292">
        <v>1874.1</v>
      </c>
      <c r="H42" s="292">
        <v>2118.5500489999999</v>
      </c>
      <c r="I42" s="292">
        <v>15.05</v>
      </c>
      <c r="J42" s="197">
        <v>2214.3500979999999</v>
      </c>
      <c r="L42" s="297">
        <f t="shared" si="5"/>
        <v>-9.0285206026723269E-3</v>
      </c>
      <c r="M42" s="298">
        <f t="shared" si="6"/>
        <v>1.7009017243609276E-2</v>
      </c>
      <c r="N42" s="298">
        <f t="shared" si="7"/>
        <v>8.5170328935022261E-3</v>
      </c>
      <c r="O42" s="298">
        <f t="shared" si="8"/>
        <v>2.2736410779237375E-2</v>
      </c>
      <c r="P42" s="298">
        <f t="shared" si="9"/>
        <v>2.0158061033144523E-2</v>
      </c>
      <c r="Q42" s="298">
        <f t="shared" si="10"/>
        <v>1.2922078214081471E-2</v>
      </c>
      <c r="R42" s="298">
        <f t="shared" si="11"/>
        <v>4.7628048989254664E-2</v>
      </c>
      <c r="S42" s="299">
        <f t="shared" si="12"/>
        <v>8.2986365921226667E-3</v>
      </c>
      <c r="U42" s="303">
        <f t="shared" si="13"/>
        <v>-7.4698151821637965E-3</v>
      </c>
      <c r="V42" s="86">
        <f t="shared" si="14"/>
        <v>1.0911288545148643E-2</v>
      </c>
      <c r="W42" s="86">
        <f t="shared" si="15"/>
        <v>5.6685295484360573E-3</v>
      </c>
      <c r="X42" s="86">
        <f t="shared" si="16"/>
        <v>2.2365083266722867E-2</v>
      </c>
      <c r="Y42" s="86">
        <f t="shared" si="17"/>
        <v>1.9049051041450896E-2</v>
      </c>
      <c r="Z42" s="86">
        <f t="shared" si="18"/>
        <v>1.136028561490412E-2</v>
      </c>
      <c r="AA42" s="86">
        <f t="shared" si="19"/>
        <v>5.3339969664798197E-2</v>
      </c>
      <c r="AB42" s="304">
        <f t="shared" si="20"/>
        <v>7.6862787154731056E-3</v>
      </c>
    </row>
    <row r="43" spans="2:28" x14ac:dyDescent="0.3">
      <c r="B43" s="271">
        <v>44060</v>
      </c>
      <c r="C43" s="292">
        <v>127.95</v>
      </c>
      <c r="D43" s="292">
        <v>367.25</v>
      </c>
      <c r="E43" s="292">
        <v>7815.6</v>
      </c>
      <c r="F43" s="292">
        <v>1032.75</v>
      </c>
      <c r="G43" s="292">
        <v>1836.7</v>
      </c>
      <c r="H43" s="292">
        <v>2091.3500979999999</v>
      </c>
      <c r="I43" s="292">
        <v>14.35</v>
      </c>
      <c r="J43" s="197">
        <v>2196.0500489999999</v>
      </c>
      <c r="L43" s="297">
        <f t="shared" si="5"/>
        <v>4.2304791901299571E-2</v>
      </c>
      <c r="M43" s="298">
        <f t="shared" si="6"/>
        <v>2.6627754976104135E-2</v>
      </c>
      <c r="N43" s="298">
        <f t="shared" si="7"/>
        <v>-1.5715969294884714E-2</v>
      </c>
      <c r="O43" s="298">
        <f t="shared" si="8"/>
        <v>-1.6446898447105771E-3</v>
      </c>
      <c r="P43" s="298">
        <f t="shared" si="9"/>
        <v>1.8768154109071004E-2</v>
      </c>
      <c r="Q43" s="298">
        <f t="shared" si="10"/>
        <v>-1.0677461448293039E-2</v>
      </c>
      <c r="R43" s="298">
        <f t="shared" si="11"/>
        <v>-5.0944801615248565E-2</v>
      </c>
      <c r="S43" s="299">
        <f t="shared" si="12"/>
        <v>1.0137569970455408E-2</v>
      </c>
      <c r="U43" s="303">
        <f t="shared" si="13"/>
        <v>4.3863497321808102E-2</v>
      </c>
      <c r="V43" s="86">
        <f t="shared" si="14"/>
        <v>2.0530026277643502E-2</v>
      </c>
      <c r="W43" s="86">
        <f t="shared" si="15"/>
        <v>-1.8564472639950882E-2</v>
      </c>
      <c r="X43" s="86">
        <f t="shared" si="16"/>
        <v>-2.0160173572250865E-3</v>
      </c>
      <c r="Y43" s="86">
        <f t="shared" si="17"/>
        <v>1.7659144117377377E-2</v>
      </c>
      <c r="Z43" s="86">
        <f t="shared" si="18"/>
        <v>-1.223925404747039E-2</v>
      </c>
      <c r="AA43" s="86">
        <f t="shared" si="19"/>
        <v>-4.5232880939705032E-2</v>
      </c>
      <c r="AB43" s="304">
        <f t="shared" si="20"/>
        <v>9.5252120938058467E-3</v>
      </c>
    </row>
    <row r="44" spans="2:28" x14ac:dyDescent="0.3">
      <c r="B44" s="271">
        <v>44057</v>
      </c>
      <c r="C44" s="292">
        <v>122.65</v>
      </c>
      <c r="D44" s="292">
        <v>357.60000600000001</v>
      </c>
      <c r="E44" s="292">
        <v>7939.4</v>
      </c>
      <c r="F44" s="292">
        <v>1034.4499510000001</v>
      </c>
      <c r="G44" s="292">
        <v>1802.55</v>
      </c>
      <c r="H44" s="292">
        <v>2113.8000489999999</v>
      </c>
      <c r="I44" s="292">
        <v>15.1</v>
      </c>
      <c r="J44" s="197">
        <v>2173.8999020000001</v>
      </c>
      <c r="L44" s="297">
        <f t="shared" si="5"/>
        <v>-1.456925810910269E-2</v>
      </c>
      <c r="M44" s="298">
        <f t="shared" si="6"/>
        <v>-1.2643413995731875E-2</v>
      </c>
      <c r="N44" s="298">
        <f t="shared" si="7"/>
        <v>-2.0334950380461538E-2</v>
      </c>
      <c r="O44" s="298">
        <f t="shared" si="8"/>
        <v>-2.3502488986303235E-2</v>
      </c>
      <c r="P44" s="298">
        <f t="shared" si="9"/>
        <v>0</v>
      </c>
      <c r="Q44" s="298">
        <f t="shared" si="10"/>
        <v>-3.8953269076841745E-3</v>
      </c>
      <c r="R44" s="298">
        <f t="shared" si="11"/>
        <v>-4.8474756502411016E-2</v>
      </c>
      <c r="S44" s="299">
        <f t="shared" si="12"/>
        <v>-1.1320746675251564E-2</v>
      </c>
      <c r="U44" s="303">
        <f t="shared" si="13"/>
        <v>-1.3010552688594161E-2</v>
      </c>
      <c r="V44" s="86">
        <f t="shared" si="14"/>
        <v>-1.8741142694192508E-2</v>
      </c>
      <c r="W44" s="86">
        <f t="shared" si="15"/>
        <v>-2.3183453725527707E-2</v>
      </c>
      <c r="X44" s="86">
        <f t="shared" si="16"/>
        <v>-2.3873816498817743E-2</v>
      </c>
      <c r="Y44" s="86">
        <f t="shared" si="17"/>
        <v>-1.1090099916936289E-3</v>
      </c>
      <c r="Z44" s="86">
        <f t="shared" si="18"/>
        <v>-5.4571195068615248E-3</v>
      </c>
      <c r="AA44" s="86">
        <f t="shared" si="19"/>
        <v>-4.2762835826867483E-2</v>
      </c>
      <c r="AB44" s="304">
        <f t="shared" si="20"/>
        <v>-1.1933104551901125E-2</v>
      </c>
    </row>
    <row r="45" spans="2:28" x14ac:dyDescent="0.3">
      <c r="B45" s="271">
        <v>44056</v>
      </c>
      <c r="C45" s="292">
        <v>124.45</v>
      </c>
      <c r="D45" s="292">
        <v>362.14999399999999</v>
      </c>
      <c r="E45" s="292">
        <v>8102.5</v>
      </c>
      <c r="F45" s="292">
        <v>1059.0500489999999</v>
      </c>
      <c r="G45" s="292">
        <v>1802.55</v>
      </c>
      <c r="H45" s="292">
        <v>2122.0500489999999</v>
      </c>
      <c r="I45" s="292">
        <v>15.85</v>
      </c>
      <c r="J45" s="197">
        <v>2198.6499020000001</v>
      </c>
      <c r="L45" s="297">
        <f t="shared" si="5"/>
        <v>8.4729173423135021E-3</v>
      </c>
      <c r="M45" s="298">
        <f t="shared" si="6"/>
        <v>-9.6600022111514383E-4</v>
      </c>
      <c r="N45" s="298">
        <f t="shared" si="7"/>
        <v>2.0075676575071841E-3</v>
      </c>
      <c r="O45" s="298">
        <f t="shared" si="8"/>
        <v>-4.3810240841103574E-3</v>
      </c>
      <c r="P45" s="298">
        <f t="shared" si="9"/>
        <v>2.9446101614375771E-3</v>
      </c>
      <c r="Q45" s="298">
        <f t="shared" si="10"/>
        <v>-2.6120042655192782E-3</v>
      </c>
      <c r="R45" s="298">
        <f t="shared" si="11"/>
        <v>-2.4923408452456851E-2</v>
      </c>
      <c r="S45" s="299">
        <f t="shared" si="12"/>
        <v>1.6158428551297543E-3</v>
      </c>
      <c r="U45" s="303">
        <f t="shared" si="13"/>
        <v>1.0031622762822032E-2</v>
      </c>
      <c r="V45" s="86">
        <f t="shared" si="14"/>
        <v>-7.0637289195757784E-3</v>
      </c>
      <c r="W45" s="86">
        <f t="shared" si="15"/>
        <v>-8.4093568755898513E-4</v>
      </c>
      <c r="X45" s="86">
        <f t="shared" si="16"/>
        <v>-4.7523515966248668E-3</v>
      </c>
      <c r="Y45" s="86">
        <f t="shared" si="17"/>
        <v>1.8356001697439482E-3</v>
      </c>
      <c r="Z45" s="86">
        <f t="shared" si="18"/>
        <v>-4.173796864696629E-3</v>
      </c>
      <c r="AA45" s="86">
        <f t="shared" si="19"/>
        <v>-1.9211487776913314E-2</v>
      </c>
      <c r="AB45" s="304">
        <f t="shared" si="20"/>
        <v>1.0034849784801934E-3</v>
      </c>
    </row>
    <row r="46" spans="2:28" x14ac:dyDescent="0.3">
      <c r="B46" s="271">
        <v>44055</v>
      </c>
      <c r="C46" s="292">
        <v>123.4</v>
      </c>
      <c r="D46" s="292">
        <v>362.5</v>
      </c>
      <c r="E46" s="292">
        <v>8086.25</v>
      </c>
      <c r="F46" s="292">
        <v>1063.6999510000001</v>
      </c>
      <c r="G46" s="292">
        <v>1797.25</v>
      </c>
      <c r="H46" s="292">
        <v>2127.6000979999999</v>
      </c>
      <c r="I46" s="292">
        <v>16.25</v>
      </c>
      <c r="J46" s="197">
        <v>2195.1000979999999</v>
      </c>
      <c r="L46" s="297">
        <f t="shared" si="5"/>
        <v>-1.7671142562810802E-2</v>
      </c>
      <c r="M46" s="298">
        <f t="shared" si="6"/>
        <v>5.1165319816762599E-3</v>
      </c>
      <c r="N46" s="298">
        <f t="shared" si="7"/>
        <v>8.5010183431249321E-3</v>
      </c>
      <c r="O46" s="298">
        <f t="shared" si="8"/>
        <v>-2.7695683059897791E-3</v>
      </c>
      <c r="P46" s="298">
        <f t="shared" si="9"/>
        <v>4.2935272826594029E-3</v>
      </c>
      <c r="Q46" s="298">
        <f t="shared" si="10"/>
        <v>-2.909820791636123E-3</v>
      </c>
      <c r="R46" s="298">
        <f t="shared" si="11"/>
        <v>4.7252884850545511E-2</v>
      </c>
      <c r="S46" s="299">
        <f t="shared" si="12"/>
        <v>-7.0588973809035402E-3</v>
      </c>
      <c r="U46" s="303">
        <f t="shared" si="13"/>
        <v>-1.6112437142302271E-2</v>
      </c>
      <c r="V46" s="86">
        <f t="shared" si="14"/>
        <v>-9.8119671678437419E-4</v>
      </c>
      <c r="W46" s="86">
        <f t="shared" si="15"/>
        <v>5.6525149980587632E-3</v>
      </c>
      <c r="X46" s="86">
        <f t="shared" si="16"/>
        <v>-3.1408958185042885E-3</v>
      </c>
      <c r="Y46" s="86">
        <f t="shared" si="17"/>
        <v>3.184517290965774E-3</v>
      </c>
      <c r="Z46" s="86">
        <f t="shared" si="18"/>
        <v>-4.4716133908134737E-3</v>
      </c>
      <c r="AA46" s="86">
        <f t="shared" si="19"/>
        <v>5.2964805526089044E-2</v>
      </c>
      <c r="AB46" s="304">
        <f t="shared" si="20"/>
        <v>-7.6712552575531013E-3</v>
      </c>
    </row>
    <row r="47" spans="2:28" x14ac:dyDescent="0.3">
      <c r="B47" s="271">
        <v>44054</v>
      </c>
      <c r="C47" s="292">
        <v>125.6</v>
      </c>
      <c r="D47" s="292">
        <v>360.64999399999999</v>
      </c>
      <c r="E47" s="292">
        <v>8017.8</v>
      </c>
      <c r="F47" s="292">
        <v>1066.650024</v>
      </c>
      <c r="G47" s="292">
        <v>1789.55</v>
      </c>
      <c r="H47" s="292">
        <v>2133.8000489999999</v>
      </c>
      <c r="I47" s="292">
        <v>15.5</v>
      </c>
      <c r="J47" s="197">
        <v>2210.6499020000001</v>
      </c>
      <c r="L47" s="297">
        <f t="shared" si="5"/>
        <v>3.1897953681000808E-3</v>
      </c>
      <c r="M47" s="298">
        <f t="shared" si="6"/>
        <v>-3.5010062259818869E-2</v>
      </c>
      <c r="N47" s="298">
        <f t="shared" si="7"/>
        <v>-3.6787746551944223E-3</v>
      </c>
      <c r="O47" s="298">
        <f t="shared" si="8"/>
        <v>1.5113875415306543E-2</v>
      </c>
      <c r="P47" s="298">
        <f t="shared" si="9"/>
        <v>4.0314733064551918E-3</v>
      </c>
      <c r="Q47" s="298">
        <f t="shared" si="10"/>
        <v>6.5590730455584853E-3</v>
      </c>
      <c r="R47" s="298">
        <f t="shared" si="11"/>
        <v>4.6212843155131411E-2</v>
      </c>
      <c r="S47" s="299">
        <f t="shared" si="12"/>
        <v>1.7657006835451123E-3</v>
      </c>
      <c r="U47" s="303">
        <f t="shared" si="13"/>
        <v>4.7485007886086108E-3</v>
      </c>
      <c r="V47" s="86">
        <f t="shared" si="14"/>
        <v>-4.1107790958279503E-2</v>
      </c>
      <c r="W47" s="86">
        <f t="shared" si="15"/>
        <v>-6.5272780002605911E-3</v>
      </c>
      <c r="X47" s="86">
        <f t="shared" si="16"/>
        <v>1.4742547902792034E-2</v>
      </c>
      <c r="Y47" s="86">
        <f t="shared" si="17"/>
        <v>2.9224633147615629E-3</v>
      </c>
      <c r="Z47" s="86">
        <f t="shared" si="18"/>
        <v>4.997280446381135E-3</v>
      </c>
      <c r="AA47" s="86">
        <f t="shared" si="19"/>
        <v>5.1924763830674944E-2</v>
      </c>
      <c r="AB47" s="304">
        <f t="shared" si="20"/>
        <v>1.1533428068955514E-3</v>
      </c>
    </row>
    <row r="48" spans="2:28" x14ac:dyDescent="0.3">
      <c r="B48" s="271">
        <v>44053</v>
      </c>
      <c r="C48" s="292">
        <v>125.2</v>
      </c>
      <c r="D48" s="292">
        <v>373.5</v>
      </c>
      <c r="E48" s="292">
        <v>8047.35</v>
      </c>
      <c r="F48" s="292">
        <v>1050.650024</v>
      </c>
      <c r="G48" s="292">
        <v>1782.35</v>
      </c>
      <c r="H48" s="292">
        <v>2119.8500979999999</v>
      </c>
      <c r="I48" s="292">
        <v>14.8</v>
      </c>
      <c r="J48" s="197">
        <v>2206.75</v>
      </c>
      <c r="L48" s="297">
        <f t="shared" si="5"/>
        <v>1.9355442952956072E-2</v>
      </c>
      <c r="M48" s="298">
        <f t="shared" si="6"/>
        <v>8.1994893171711651E-3</v>
      </c>
      <c r="N48" s="298">
        <f t="shared" si="7"/>
        <v>3.2944958385167637E-2</v>
      </c>
      <c r="O48" s="298">
        <f t="shared" si="8"/>
        <v>6.4932651155223042E-3</v>
      </c>
      <c r="P48" s="298">
        <f t="shared" si="9"/>
        <v>-1.332015458587597E-2</v>
      </c>
      <c r="Q48" s="298">
        <f t="shared" si="10"/>
        <v>-1.2469914155406348E-2</v>
      </c>
      <c r="R48" s="298">
        <f t="shared" si="11"/>
        <v>4.8452383385946957E-2</v>
      </c>
      <c r="S48" s="299">
        <f t="shared" si="12"/>
        <v>-1.7205305934682349E-3</v>
      </c>
      <c r="U48" s="303">
        <f t="shared" si="13"/>
        <v>2.0914148373464603E-2</v>
      </c>
      <c r="V48" s="86">
        <f t="shared" si="14"/>
        <v>2.101760618710531E-3</v>
      </c>
      <c r="W48" s="86">
        <f t="shared" si="15"/>
        <v>3.0096455040101468E-2</v>
      </c>
      <c r="X48" s="86">
        <f t="shared" si="16"/>
        <v>6.1219376030077948E-3</v>
      </c>
      <c r="Y48" s="86">
        <f t="shared" si="17"/>
        <v>-1.4429164577569599E-2</v>
      </c>
      <c r="Z48" s="86">
        <f t="shared" si="18"/>
        <v>-1.4031706754583699E-2</v>
      </c>
      <c r="AA48" s="86">
        <f t="shared" si="19"/>
        <v>5.416430406149049E-2</v>
      </c>
      <c r="AB48" s="304">
        <f t="shared" si="20"/>
        <v>-2.3328884701177958E-3</v>
      </c>
    </row>
    <row r="49" spans="2:28" x14ac:dyDescent="0.3">
      <c r="B49" s="271">
        <v>44050</v>
      </c>
      <c r="C49" s="292">
        <v>122.8</v>
      </c>
      <c r="D49" s="292">
        <v>370.45001200000002</v>
      </c>
      <c r="E49" s="292">
        <v>7786.55</v>
      </c>
      <c r="F49" s="292">
        <v>1043.849976</v>
      </c>
      <c r="G49" s="292">
        <v>1806.25</v>
      </c>
      <c r="H49" s="292">
        <v>2146.4499510000001</v>
      </c>
      <c r="I49" s="292">
        <v>14.1</v>
      </c>
      <c r="J49" s="197">
        <v>2210.5500489999999</v>
      </c>
      <c r="L49" s="297">
        <f t="shared" si="5"/>
        <v>4.0724903841202399E-4</v>
      </c>
      <c r="M49" s="298">
        <f t="shared" si="6"/>
        <v>8.1078035776883384E-2</v>
      </c>
      <c r="N49" s="298">
        <f t="shared" si="7"/>
        <v>8.1755744002393205E-3</v>
      </c>
      <c r="O49" s="298">
        <f t="shared" si="8"/>
        <v>3.0222614070402522E-3</v>
      </c>
      <c r="P49" s="298">
        <f t="shared" si="9"/>
        <v>4.4548653077716209E-2</v>
      </c>
      <c r="Q49" s="298">
        <f t="shared" si="10"/>
        <v>5.7702337900139254E-3</v>
      </c>
      <c r="R49" s="298">
        <f t="shared" si="11"/>
        <v>4.7195691336274527E-2</v>
      </c>
      <c r="S49" s="299">
        <f t="shared" si="12"/>
        <v>-4.4684804662011137E-3</v>
      </c>
      <c r="U49" s="303">
        <f t="shared" si="13"/>
        <v>1.9659544589205541E-3</v>
      </c>
      <c r="V49" s="86">
        <f t="shared" si="14"/>
        <v>7.498030707842275E-2</v>
      </c>
      <c r="W49" s="86">
        <f t="shared" si="15"/>
        <v>5.3270710551731517E-3</v>
      </c>
      <c r="X49" s="86">
        <f t="shared" si="16"/>
        <v>2.6509338945257428E-3</v>
      </c>
      <c r="Y49" s="86">
        <f t="shared" si="17"/>
        <v>4.3439643086022578E-2</v>
      </c>
      <c r="Z49" s="86">
        <f t="shared" si="18"/>
        <v>4.2084411908365751E-3</v>
      </c>
      <c r="AA49" s="86">
        <f t="shared" si="19"/>
        <v>5.290761201181806E-2</v>
      </c>
      <c r="AB49" s="304">
        <f t="shared" si="20"/>
        <v>-5.0808383428506748E-3</v>
      </c>
    </row>
    <row r="50" spans="2:28" x14ac:dyDescent="0.3">
      <c r="B50" s="271">
        <v>44049</v>
      </c>
      <c r="C50" s="292">
        <v>122.75</v>
      </c>
      <c r="D50" s="292">
        <v>341.60000600000001</v>
      </c>
      <c r="E50" s="292">
        <v>7723.15</v>
      </c>
      <c r="F50" s="292">
        <v>1040.6999510000001</v>
      </c>
      <c r="G50" s="292">
        <v>1727.55</v>
      </c>
      <c r="H50" s="292">
        <v>2134.1000979999999</v>
      </c>
      <c r="I50" s="292">
        <v>13.45</v>
      </c>
      <c r="J50" s="197">
        <v>2220.4499510000001</v>
      </c>
      <c r="L50" s="297">
        <f t="shared" si="5"/>
        <v>6.5386420127005818E-3</v>
      </c>
      <c r="M50" s="298">
        <f t="shared" si="6"/>
        <v>-3.9442194570357561E-3</v>
      </c>
      <c r="N50" s="298">
        <f t="shared" si="7"/>
        <v>-1.8575233748790564E-2</v>
      </c>
      <c r="O50" s="298">
        <f t="shared" si="8"/>
        <v>1.2716140886946819E-2</v>
      </c>
      <c r="P50" s="298">
        <f t="shared" si="9"/>
        <v>6.5334088404332292E-3</v>
      </c>
      <c r="Q50" s="298">
        <f t="shared" si="10"/>
        <v>3.5911584812475888E-3</v>
      </c>
      <c r="R50" s="298">
        <f t="shared" si="11"/>
        <v>4.563529470661936E-2</v>
      </c>
      <c r="S50" s="299">
        <f t="shared" si="12"/>
        <v>1.1732819529929444E-2</v>
      </c>
      <c r="U50" s="303">
        <f t="shared" si="13"/>
        <v>8.0973474332091122E-3</v>
      </c>
      <c r="V50" s="86">
        <f t="shared" si="14"/>
        <v>-1.004194815549639E-2</v>
      </c>
      <c r="W50" s="86">
        <f t="shared" si="15"/>
        <v>-2.1423737093856733E-2</v>
      </c>
      <c r="X50" s="86">
        <f t="shared" si="16"/>
        <v>1.2344813374432309E-2</v>
      </c>
      <c r="Y50" s="86">
        <f t="shared" si="17"/>
        <v>5.4243988487395998E-3</v>
      </c>
      <c r="Z50" s="86">
        <f t="shared" si="18"/>
        <v>2.029365882070238E-3</v>
      </c>
      <c r="AA50" s="86">
        <f t="shared" si="19"/>
        <v>5.1347215382162893E-2</v>
      </c>
      <c r="AB50" s="304">
        <f t="shared" si="20"/>
        <v>1.1120461653279883E-2</v>
      </c>
    </row>
    <row r="51" spans="2:28" x14ac:dyDescent="0.3">
      <c r="B51" s="271">
        <v>44048</v>
      </c>
      <c r="C51" s="292">
        <v>121.95</v>
      </c>
      <c r="D51" s="292">
        <v>342.95001200000002</v>
      </c>
      <c r="E51" s="292">
        <v>7867.95</v>
      </c>
      <c r="F51" s="292">
        <v>1027.5500489999999</v>
      </c>
      <c r="G51" s="292">
        <v>1716.3</v>
      </c>
      <c r="H51" s="292">
        <v>2126.4499510000001</v>
      </c>
      <c r="I51" s="292">
        <v>12.85</v>
      </c>
      <c r="J51" s="197">
        <v>2194.5500489999999</v>
      </c>
      <c r="L51" s="297">
        <f t="shared" si="5"/>
        <v>2.4067551729057498E-2</v>
      </c>
      <c r="M51" s="298">
        <f t="shared" si="6"/>
        <v>-7.2870364298834066E-4</v>
      </c>
      <c r="N51" s="298">
        <f t="shared" si="7"/>
        <v>-1.2102448797049777E-2</v>
      </c>
      <c r="O51" s="298">
        <f t="shared" si="8"/>
        <v>-1.3628641741587151E-2</v>
      </c>
      <c r="P51" s="298">
        <f t="shared" si="9"/>
        <v>1.3701627389530828E-3</v>
      </c>
      <c r="Q51" s="298">
        <f t="shared" si="10"/>
        <v>-1.1293018965429806E-2</v>
      </c>
      <c r="R51" s="298">
        <f t="shared" si="11"/>
        <v>4.7817874350492735E-2</v>
      </c>
      <c r="S51" s="299">
        <f t="shared" si="12"/>
        <v>-1.4798458777635344E-3</v>
      </c>
      <c r="U51" s="303">
        <f t="shared" si="13"/>
        <v>2.5626257149566029E-2</v>
      </c>
      <c r="V51" s="86">
        <f t="shared" si="14"/>
        <v>-6.8264323414489745E-3</v>
      </c>
      <c r="W51" s="86">
        <f t="shared" si="15"/>
        <v>-1.4950952142115946E-2</v>
      </c>
      <c r="X51" s="86">
        <f t="shared" si="16"/>
        <v>-1.3999969254101661E-2</v>
      </c>
      <c r="Y51" s="86">
        <f t="shared" si="17"/>
        <v>2.6115274725945392E-4</v>
      </c>
      <c r="Z51" s="86">
        <f t="shared" si="18"/>
        <v>-1.2854811564607157E-2</v>
      </c>
      <c r="AA51" s="86">
        <f t="shared" si="19"/>
        <v>5.3529795026036268E-2</v>
      </c>
      <c r="AB51" s="304">
        <f t="shared" si="20"/>
        <v>-2.0922037544130953E-3</v>
      </c>
    </row>
    <row r="52" spans="2:28" x14ac:dyDescent="0.3">
      <c r="B52" s="271">
        <v>44047</v>
      </c>
      <c r="C52" s="292">
        <v>119.05</v>
      </c>
      <c r="D52" s="292">
        <v>343.20001200000002</v>
      </c>
      <c r="E52" s="292">
        <v>7963.75</v>
      </c>
      <c r="F52" s="292">
        <v>1041.650024</v>
      </c>
      <c r="G52" s="292">
        <v>1713.95</v>
      </c>
      <c r="H52" s="292">
        <v>2150.6000979999999</v>
      </c>
      <c r="I52" s="292">
        <v>12.25</v>
      </c>
      <c r="J52" s="197">
        <v>2197.8000489999999</v>
      </c>
      <c r="L52" s="297">
        <f t="shared" si="5"/>
        <v>3.2006145657858497E-2</v>
      </c>
      <c r="M52" s="298">
        <f t="shared" si="6"/>
        <v>9.9562286559018061E-3</v>
      </c>
      <c r="N52" s="298">
        <f t="shared" si="7"/>
        <v>-5.837253769308368E-4</v>
      </c>
      <c r="O52" s="298">
        <f t="shared" si="8"/>
        <v>3.8808014769949106E-2</v>
      </c>
      <c r="P52" s="298">
        <f t="shared" si="9"/>
        <v>4.9423253449392491E-3</v>
      </c>
      <c r="Q52" s="298">
        <f t="shared" si="10"/>
        <v>6.8109832710168877E-2</v>
      </c>
      <c r="R52" s="298">
        <f t="shared" si="11"/>
        <v>2.061928720273561E-2</v>
      </c>
      <c r="S52" s="299">
        <f t="shared" si="12"/>
        <v>-3.0438434901465731E-3</v>
      </c>
      <c r="U52" s="303">
        <f t="shared" si="13"/>
        <v>3.3564851078367028E-2</v>
      </c>
      <c r="V52" s="86">
        <f t="shared" si="14"/>
        <v>3.858499957441172E-3</v>
      </c>
      <c r="W52" s="86">
        <f t="shared" si="15"/>
        <v>-3.4322287219970063E-3</v>
      </c>
      <c r="X52" s="86">
        <f t="shared" si="16"/>
        <v>3.8436687257434599E-2</v>
      </c>
      <c r="Y52" s="86">
        <f t="shared" si="17"/>
        <v>3.8333153532456202E-3</v>
      </c>
      <c r="Z52" s="86">
        <f t="shared" si="18"/>
        <v>6.6548040110991524E-2</v>
      </c>
      <c r="AA52" s="86">
        <f t="shared" si="19"/>
        <v>2.6331207878279146E-2</v>
      </c>
      <c r="AB52" s="304">
        <f t="shared" si="20"/>
        <v>-3.6562013667961338E-3</v>
      </c>
    </row>
    <row r="53" spans="2:28" x14ac:dyDescent="0.3">
      <c r="B53" s="271">
        <v>44046</v>
      </c>
      <c r="C53" s="292">
        <v>115.3</v>
      </c>
      <c r="D53" s="292">
        <v>339.79998799999998</v>
      </c>
      <c r="E53" s="292">
        <v>7968.4</v>
      </c>
      <c r="F53" s="292">
        <v>1002</v>
      </c>
      <c r="G53" s="292">
        <v>1705.5</v>
      </c>
      <c r="H53" s="292">
        <v>2009</v>
      </c>
      <c r="I53" s="292">
        <v>12</v>
      </c>
      <c r="J53" s="197">
        <v>2204.5</v>
      </c>
      <c r="L53" s="297">
        <f t="shared" si="5"/>
        <v>1.3094905582782866E-2</v>
      </c>
      <c r="M53" s="298">
        <f t="shared" si="6"/>
        <v>-2.4983656833509598E-3</v>
      </c>
      <c r="N53" s="298">
        <f t="shared" si="7"/>
        <v>4.2911064152550124E-2</v>
      </c>
      <c r="O53" s="298">
        <f t="shared" si="8"/>
        <v>-3.027560533146343E-2</v>
      </c>
      <c r="P53" s="298">
        <f t="shared" si="9"/>
        <v>-5.8462604398040185E-3</v>
      </c>
      <c r="Q53" s="298">
        <f t="shared" si="10"/>
        <v>-2.8509620399668895E-2</v>
      </c>
      <c r="R53" s="298">
        <f t="shared" si="11"/>
        <v>4.175371410480592E-3</v>
      </c>
      <c r="S53" s="299">
        <f t="shared" si="12"/>
        <v>-2.446495475367981E-3</v>
      </c>
      <c r="U53" s="303">
        <f t="shared" si="13"/>
        <v>1.4653611003291395E-2</v>
      </c>
      <c r="V53" s="86">
        <f t="shared" si="14"/>
        <v>-8.5960943818115948E-3</v>
      </c>
      <c r="W53" s="86">
        <f t="shared" si="15"/>
        <v>4.0062560807483952E-2</v>
      </c>
      <c r="X53" s="86">
        <f t="shared" si="16"/>
        <v>-3.0646932843977938E-2</v>
      </c>
      <c r="Y53" s="86">
        <f t="shared" si="17"/>
        <v>-6.9552704314976479E-3</v>
      </c>
      <c r="Z53" s="86">
        <f t="shared" si="18"/>
        <v>-3.0071412998846244E-2</v>
      </c>
      <c r="AA53" s="86">
        <f t="shared" si="19"/>
        <v>9.8872920860241277E-3</v>
      </c>
      <c r="AB53" s="304">
        <f t="shared" si="20"/>
        <v>-3.0588533520175421E-3</v>
      </c>
    </row>
    <row r="54" spans="2:28" x14ac:dyDescent="0.3">
      <c r="B54" s="271">
        <v>44043</v>
      </c>
      <c r="C54" s="292">
        <v>113.8</v>
      </c>
      <c r="D54" s="292">
        <v>340.64999399999999</v>
      </c>
      <c r="E54" s="292">
        <v>7633.7</v>
      </c>
      <c r="F54" s="292">
        <v>1032.8000489999999</v>
      </c>
      <c r="G54" s="292">
        <v>1715.5</v>
      </c>
      <c r="H54" s="292">
        <v>2067.1000979999999</v>
      </c>
      <c r="I54" s="292">
        <v>11.95</v>
      </c>
      <c r="J54" s="197">
        <v>2209.8999020000001</v>
      </c>
      <c r="L54" s="297">
        <f t="shared" si="5"/>
        <v>2.5813627335909098E-2</v>
      </c>
      <c r="M54" s="298">
        <f t="shared" si="6"/>
        <v>-2.3457509450447315E-3</v>
      </c>
      <c r="N54" s="298">
        <f t="shared" si="7"/>
        <v>7.9367749600892837E-2</v>
      </c>
      <c r="O54" s="298">
        <f t="shared" si="8"/>
        <v>-1.7135435106407967E-2</v>
      </c>
      <c r="P54" s="298">
        <f t="shared" si="9"/>
        <v>-1.6103966276101205E-2</v>
      </c>
      <c r="Q54" s="298">
        <f t="shared" si="10"/>
        <v>-1.9996115450247064E-2</v>
      </c>
      <c r="R54" s="298">
        <f t="shared" si="11"/>
        <v>0</v>
      </c>
      <c r="S54" s="299">
        <f t="shared" si="12"/>
        <v>6.4918189629032154E-3</v>
      </c>
      <c r="U54" s="303">
        <f t="shared" si="13"/>
        <v>2.7372332756417629E-2</v>
      </c>
      <c r="V54" s="86">
        <f t="shared" si="14"/>
        <v>-8.4434796435053656E-3</v>
      </c>
      <c r="W54" s="86">
        <f t="shared" si="15"/>
        <v>7.6519246255826665E-2</v>
      </c>
      <c r="X54" s="86">
        <f t="shared" si="16"/>
        <v>-1.7506762618922474E-2</v>
      </c>
      <c r="Y54" s="86">
        <f t="shared" si="17"/>
        <v>-1.7212976267794833E-2</v>
      </c>
      <c r="Z54" s="86">
        <f t="shared" si="18"/>
        <v>-2.1557908049424413E-2</v>
      </c>
      <c r="AA54" s="86">
        <f t="shared" si="19"/>
        <v>5.7119206755435357E-3</v>
      </c>
      <c r="AB54" s="304">
        <f t="shared" si="20"/>
        <v>5.8794610862536543E-3</v>
      </c>
    </row>
    <row r="55" spans="2:28" x14ac:dyDescent="0.3">
      <c r="B55" s="271">
        <v>44042</v>
      </c>
      <c r="C55" s="292">
        <v>110.9</v>
      </c>
      <c r="D55" s="292">
        <v>341.45001200000002</v>
      </c>
      <c r="E55" s="292">
        <v>7051.25</v>
      </c>
      <c r="F55" s="292">
        <v>1050.650024</v>
      </c>
      <c r="G55" s="292">
        <v>1743.35</v>
      </c>
      <c r="H55" s="292">
        <v>2108.8500979999999</v>
      </c>
      <c r="I55" s="292">
        <v>11.95</v>
      </c>
      <c r="J55" s="197">
        <v>2195.6000979999999</v>
      </c>
      <c r="L55" s="297">
        <f t="shared" si="5"/>
        <v>8.1485285639052302E-3</v>
      </c>
      <c r="M55" s="298">
        <f t="shared" si="6"/>
        <v>8.9726805497639395E-3</v>
      </c>
      <c r="N55" s="298">
        <f t="shared" si="7"/>
        <v>-2.7893109857854845E-2</v>
      </c>
      <c r="O55" s="298">
        <f t="shared" si="8"/>
        <v>-1.319007611229686E-2</v>
      </c>
      <c r="P55" s="298">
        <f t="shared" si="9"/>
        <v>1.8372331850800541E-3</v>
      </c>
      <c r="Q55" s="298">
        <f t="shared" si="10"/>
        <v>5.8020355368955962E-3</v>
      </c>
      <c r="R55" s="298">
        <f t="shared" si="11"/>
        <v>2.1142436573809164E-2</v>
      </c>
      <c r="S55" s="299">
        <f t="shared" si="12"/>
        <v>-1.6128994890292417E-2</v>
      </c>
      <c r="U55" s="303">
        <f t="shared" si="13"/>
        <v>9.7072339844137597E-3</v>
      </c>
      <c r="V55" s="86">
        <f t="shared" si="14"/>
        <v>2.8749518513033053E-3</v>
      </c>
      <c r="W55" s="86">
        <f t="shared" si="15"/>
        <v>-3.0741613202921014E-2</v>
      </c>
      <c r="X55" s="86">
        <f t="shared" si="16"/>
        <v>-1.3561403624811369E-2</v>
      </c>
      <c r="Y55" s="86">
        <f t="shared" si="17"/>
        <v>7.2822319338642521E-4</v>
      </c>
      <c r="Z55" s="86">
        <f t="shared" si="18"/>
        <v>4.2402429377182459E-3</v>
      </c>
      <c r="AA55" s="86">
        <f t="shared" si="19"/>
        <v>2.6854357249352701E-2</v>
      </c>
      <c r="AB55" s="304">
        <f t="shared" si="20"/>
        <v>-1.6741352766941976E-2</v>
      </c>
    </row>
    <row r="56" spans="2:28" x14ac:dyDescent="0.3">
      <c r="B56" s="271">
        <v>44041</v>
      </c>
      <c r="C56" s="292">
        <v>110</v>
      </c>
      <c r="D56" s="292">
        <v>338.39999399999999</v>
      </c>
      <c r="E56" s="292">
        <v>7250.7</v>
      </c>
      <c r="F56" s="292">
        <v>1064.599976</v>
      </c>
      <c r="G56" s="292">
        <v>1740.15</v>
      </c>
      <c r="H56" s="292">
        <v>2096.6499020000001</v>
      </c>
      <c r="I56" s="292">
        <v>11.7</v>
      </c>
      <c r="J56" s="197">
        <v>2231.3000489999999</v>
      </c>
      <c r="L56" s="297">
        <f t="shared" si="5"/>
        <v>-7.6975702699042031E-3</v>
      </c>
      <c r="M56" s="298">
        <f t="shared" si="6"/>
        <v>1.0348319625927381E-3</v>
      </c>
      <c r="N56" s="298">
        <f t="shared" si="7"/>
        <v>2.2497305201001974E-2</v>
      </c>
      <c r="O56" s="298">
        <f t="shared" si="8"/>
        <v>-2.0500472042961057E-2</v>
      </c>
      <c r="P56" s="298">
        <f t="shared" si="9"/>
        <v>-1.1143609230313611E-2</v>
      </c>
      <c r="Q56" s="298">
        <f t="shared" si="10"/>
        <v>-3.7928465330145988E-2</v>
      </c>
      <c r="R56" s="298">
        <f t="shared" si="11"/>
        <v>-1.694955831377332E-2</v>
      </c>
      <c r="S56" s="299">
        <f t="shared" si="12"/>
        <v>-5.0292358777988579E-3</v>
      </c>
      <c r="U56" s="303">
        <f t="shared" si="13"/>
        <v>-6.1388648493956727E-3</v>
      </c>
      <c r="V56" s="86">
        <f t="shared" si="14"/>
        <v>-5.062896735867896E-3</v>
      </c>
      <c r="W56" s="86">
        <f t="shared" si="15"/>
        <v>1.9648801855935805E-2</v>
      </c>
      <c r="X56" s="86">
        <f t="shared" si="16"/>
        <v>-2.0871799555475565E-2</v>
      </c>
      <c r="Y56" s="86">
        <f t="shared" si="17"/>
        <v>-1.225261922200724E-2</v>
      </c>
      <c r="Z56" s="86">
        <f t="shared" si="18"/>
        <v>-3.9490257929323341E-2</v>
      </c>
      <c r="AA56" s="86">
        <f t="shared" si="19"/>
        <v>-1.1237637638229783E-2</v>
      </c>
      <c r="AB56" s="304">
        <f t="shared" si="20"/>
        <v>-5.641593754448419E-3</v>
      </c>
    </row>
    <row r="57" spans="2:28" x14ac:dyDescent="0.3">
      <c r="B57" s="271">
        <v>44040</v>
      </c>
      <c r="C57" s="292">
        <v>110.85</v>
      </c>
      <c r="D57" s="292">
        <v>338.04998799999998</v>
      </c>
      <c r="E57" s="292">
        <v>7089.4</v>
      </c>
      <c r="F57" s="292">
        <v>1086.650024</v>
      </c>
      <c r="G57" s="292">
        <v>1759.65</v>
      </c>
      <c r="H57" s="292">
        <v>2177.6999510000001</v>
      </c>
      <c r="I57" s="292">
        <v>11.9</v>
      </c>
      <c r="J57" s="197">
        <v>2242.5500489999999</v>
      </c>
      <c r="L57" s="297">
        <f t="shared" si="5"/>
        <v>9.0621372317012186E-3</v>
      </c>
      <c r="M57" s="298">
        <f t="shared" si="6"/>
        <v>-1.2201618486325921E-2</v>
      </c>
      <c r="N57" s="298">
        <f t="shared" si="7"/>
        <v>-3.8945888115126406E-2</v>
      </c>
      <c r="O57" s="298">
        <f t="shared" si="8"/>
        <v>6.6016202830772785E-3</v>
      </c>
      <c r="P57" s="298">
        <f t="shared" si="9"/>
        <v>-1.0458572349973586E-2</v>
      </c>
      <c r="Q57" s="298">
        <f t="shared" si="10"/>
        <v>9.9218610782481533E-3</v>
      </c>
      <c r="R57" s="298">
        <f t="shared" si="11"/>
        <v>-3.3060862260888176E-2</v>
      </c>
      <c r="S57" s="299">
        <f t="shared" si="12"/>
        <v>9.4309897025851436E-3</v>
      </c>
      <c r="U57" s="303">
        <f t="shared" si="13"/>
        <v>1.0620842652209748E-2</v>
      </c>
      <c r="V57" s="86">
        <f t="shared" si="14"/>
        <v>-1.8299347184786555E-2</v>
      </c>
      <c r="W57" s="86">
        <f t="shared" si="15"/>
        <v>-4.1794391460192579E-2</v>
      </c>
      <c r="X57" s="86">
        <f t="shared" si="16"/>
        <v>6.2302927705627691E-3</v>
      </c>
      <c r="Y57" s="86">
        <f t="shared" si="17"/>
        <v>-1.1567582341667215E-2</v>
      </c>
      <c r="Z57" s="86">
        <f t="shared" si="18"/>
        <v>8.3600684790708021E-3</v>
      </c>
      <c r="AA57" s="86">
        <f t="shared" si="19"/>
        <v>-2.7348941585344639E-2</v>
      </c>
      <c r="AB57" s="304">
        <f t="shared" si="20"/>
        <v>8.8186318259355825E-3</v>
      </c>
    </row>
    <row r="58" spans="2:28" x14ac:dyDescent="0.3">
      <c r="B58" s="271">
        <v>44039</v>
      </c>
      <c r="C58" s="292">
        <v>109.85</v>
      </c>
      <c r="D58" s="292">
        <v>342.20001200000002</v>
      </c>
      <c r="E58" s="292">
        <v>7370.95</v>
      </c>
      <c r="F58" s="292">
        <v>1079.5</v>
      </c>
      <c r="G58" s="292">
        <v>1778.15</v>
      </c>
      <c r="H58" s="292">
        <v>2156.1999510000001</v>
      </c>
      <c r="I58" s="292">
        <v>12.3</v>
      </c>
      <c r="J58" s="197">
        <v>2221.5</v>
      </c>
      <c r="L58" s="297">
        <f t="shared" si="5"/>
        <v>-1.9829401416316849E-2</v>
      </c>
      <c r="M58" s="298">
        <f t="shared" si="6"/>
        <v>1.7391813461507789E-2</v>
      </c>
      <c r="N58" s="298">
        <f t="shared" si="7"/>
        <v>-4.1951468553616901E-2</v>
      </c>
      <c r="O58" s="298">
        <f t="shared" si="8"/>
        <v>-3.6026798423314563E-2</v>
      </c>
      <c r="P58" s="298">
        <f t="shared" si="9"/>
        <v>3.7882015087124042E-2</v>
      </c>
      <c r="Q58" s="298">
        <f t="shared" si="10"/>
        <v>4.671896811398903E-3</v>
      </c>
      <c r="R58" s="298">
        <f t="shared" si="11"/>
        <v>-0.1041402592525969</v>
      </c>
      <c r="S58" s="299">
        <f t="shared" si="12"/>
        <v>5.5068979400101263E-3</v>
      </c>
      <c r="U58" s="303">
        <f t="shared" si="13"/>
        <v>-1.8270695995808318E-2</v>
      </c>
      <c r="V58" s="86">
        <f t="shared" si="14"/>
        <v>1.1294084763047156E-2</v>
      </c>
      <c r="W58" s="86">
        <f t="shared" si="15"/>
        <v>-4.4799971898683073E-2</v>
      </c>
      <c r="X58" s="86">
        <f t="shared" si="16"/>
        <v>-3.639812593582907E-2</v>
      </c>
      <c r="Y58" s="86">
        <f t="shared" si="17"/>
        <v>3.6773005095430411E-2</v>
      </c>
      <c r="Z58" s="86">
        <f t="shared" si="18"/>
        <v>3.1101042122215527E-3</v>
      </c>
      <c r="AA58" s="86">
        <f t="shared" si="19"/>
        <v>-9.8428338577053368E-2</v>
      </c>
      <c r="AB58" s="304">
        <f t="shared" si="20"/>
        <v>4.8945400633605652E-3</v>
      </c>
    </row>
    <row r="59" spans="2:28" x14ac:dyDescent="0.3">
      <c r="B59" s="271">
        <v>44036</v>
      </c>
      <c r="C59" s="292">
        <v>112.05</v>
      </c>
      <c r="D59" s="292">
        <v>336.29998799999998</v>
      </c>
      <c r="E59" s="292">
        <v>7686.75</v>
      </c>
      <c r="F59" s="292">
        <v>1119.099976</v>
      </c>
      <c r="G59" s="292">
        <v>1712.05</v>
      </c>
      <c r="H59" s="292">
        <v>2146.1499020000001</v>
      </c>
      <c r="I59" s="292">
        <v>13.65</v>
      </c>
      <c r="J59" s="197">
        <v>2209.3000489999999</v>
      </c>
      <c r="L59" s="297">
        <f t="shared" si="5"/>
        <v>-1.6814555444757344E-2</v>
      </c>
      <c r="M59" s="298">
        <f t="shared" si="6"/>
        <v>4.8745563913561822E-2</v>
      </c>
      <c r="N59" s="298">
        <f t="shared" si="7"/>
        <v>5.0342788701654203E-3</v>
      </c>
      <c r="O59" s="298">
        <f t="shared" si="8"/>
        <v>-1.0046804223563474E-2</v>
      </c>
      <c r="P59" s="298">
        <f t="shared" si="9"/>
        <v>-9.1574400420952225E-3</v>
      </c>
      <c r="Q59" s="298">
        <f t="shared" si="10"/>
        <v>4.2038018814906403E-2</v>
      </c>
      <c r="R59" s="298">
        <f t="shared" si="11"/>
        <v>-7.7503561154860026E-2</v>
      </c>
      <c r="S59" s="299">
        <f t="shared" si="12"/>
        <v>-9.2748762231331596E-4</v>
      </c>
      <c r="U59" s="303">
        <f t="shared" si="13"/>
        <v>-1.5255850024248814E-2</v>
      </c>
      <c r="V59" s="86">
        <f t="shared" si="14"/>
        <v>4.2647835215101189E-2</v>
      </c>
      <c r="W59" s="86">
        <f t="shared" si="15"/>
        <v>2.185775525099251E-3</v>
      </c>
      <c r="X59" s="86">
        <f t="shared" si="16"/>
        <v>-1.0418131736077984E-2</v>
      </c>
      <c r="Y59" s="86">
        <f t="shared" si="17"/>
        <v>-1.0266450033788852E-2</v>
      </c>
      <c r="Z59" s="86">
        <f t="shared" si="18"/>
        <v>4.047622621572905E-2</v>
      </c>
      <c r="AA59" s="86">
        <f t="shared" si="19"/>
        <v>-7.1791640479316493E-2</v>
      </c>
      <c r="AB59" s="304">
        <f t="shared" si="20"/>
        <v>-1.5398454989628768E-3</v>
      </c>
    </row>
    <row r="60" spans="2:28" x14ac:dyDescent="0.3">
      <c r="B60" s="271">
        <v>44035</v>
      </c>
      <c r="C60" s="292">
        <v>113.95</v>
      </c>
      <c r="D60" s="292">
        <v>320.29998799999998</v>
      </c>
      <c r="E60" s="292">
        <v>7648.15</v>
      </c>
      <c r="F60" s="292">
        <v>1130.400024</v>
      </c>
      <c r="G60" s="292">
        <v>1727.8</v>
      </c>
      <c r="H60" s="292">
        <v>2057.8000489999999</v>
      </c>
      <c r="I60" s="292">
        <v>14.75</v>
      </c>
      <c r="J60" s="197">
        <v>2211.3500979999999</v>
      </c>
      <c r="L60" s="297">
        <f t="shared" si="5"/>
        <v>1.636842561357903E-2</v>
      </c>
      <c r="M60" s="298">
        <f t="shared" si="6"/>
        <v>-4.785314081296925E-2</v>
      </c>
      <c r="N60" s="298">
        <f t="shared" si="7"/>
        <v>3.6211966254368635E-2</v>
      </c>
      <c r="O60" s="298">
        <f t="shared" si="8"/>
        <v>3.5892786955016693E-3</v>
      </c>
      <c r="P60" s="298">
        <f t="shared" si="9"/>
        <v>1.8723802098594786E-2</v>
      </c>
      <c r="Q60" s="298">
        <f t="shared" si="10"/>
        <v>2.649229154879193E-2</v>
      </c>
      <c r="R60" s="298">
        <f t="shared" si="11"/>
        <v>-0.21292199724267166</v>
      </c>
      <c r="S60" s="299">
        <f t="shared" si="12"/>
        <v>-1.6660094152495829E-2</v>
      </c>
      <c r="U60" s="303">
        <f t="shared" si="13"/>
        <v>1.7927131034087562E-2</v>
      </c>
      <c r="V60" s="86">
        <f t="shared" si="14"/>
        <v>-5.3950869511429883E-2</v>
      </c>
      <c r="W60" s="86">
        <f t="shared" si="15"/>
        <v>3.3363462909302463E-2</v>
      </c>
      <c r="X60" s="86">
        <f t="shared" si="16"/>
        <v>3.2179511829871599E-3</v>
      </c>
      <c r="Y60" s="86">
        <f t="shared" si="17"/>
        <v>1.7614792106901159E-2</v>
      </c>
      <c r="Z60" s="86">
        <f t="shared" si="18"/>
        <v>2.493049894961458E-2</v>
      </c>
      <c r="AA60" s="86">
        <f t="shared" si="19"/>
        <v>-0.20721007656712812</v>
      </c>
      <c r="AB60" s="304">
        <f t="shared" si="20"/>
        <v>-1.7272452029145388E-2</v>
      </c>
    </row>
    <row r="61" spans="2:28" x14ac:dyDescent="0.3">
      <c r="B61" s="271">
        <v>44034</v>
      </c>
      <c r="C61" s="292">
        <v>112.1</v>
      </c>
      <c r="D61" s="292">
        <v>336</v>
      </c>
      <c r="E61" s="292">
        <v>7376.15</v>
      </c>
      <c r="F61" s="292">
        <v>1126.349976</v>
      </c>
      <c r="G61" s="292">
        <v>1695.75</v>
      </c>
      <c r="H61" s="292">
        <v>2004</v>
      </c>
      <c r="I61" s="292">
        <v>18.25</v>
      </c>
      <c r="J61" s="197">
        <v>2248.5</v>
      </c>
      <c r="L61" s="297">
        <f t="shared" si="5"/>
        <v>1.1664555764930737E-2</v>
      </c>
      <c r="M61" s="298">
        <f t="shared" si="6"/>
        <v>-3.3221774449328806E-2</v>
      </c>
      <c r="N61" s="298">
        <f t="shared" si="7"/>
        <v>3.5294940754036268E-2</v>
      </c>
      <c r="O61" s="298">
        <f t="shared" si="8"/>
        <v>-1.0773271105630857E-2</v>
      </c>
      <c r="P61" s="298">
        <f t="shared" si="9"/>
        <v>-1.6667052485211647E-2</v>
      </c>
      <c r="Q61" s="298">
        <f t="shared" si="10"/>
        <v>1.6325122955177768E-2</v>
      </c>
      <c r="R61" s="298">
        <f t="shared" si="11"/>
        <v>-5.5940015882339447E-2</v>
      </c>
      <c r="S61" s="299">
        <f t="shared" si="12"/>
        <v>-3.0441417688934921E-2</v>
      </c>
      <c r="U61" s="303">
        <f t="shared" si="13"/>
        <v>1.3223261185439266E-2</v>
      </c>
      <c r="V61" s="86">
        <f t="shared" si="14"/>
        <v>-3.9319503147789439E-2</v>
      </c>
      <c r="W61" s="86">
        <f t="shared" si="15"/>
        <v>3.2446437408970095E-2</v>
      </c>
      <c r="X61" s="86">
        <f t="shared" si="16"/>
        <v>-1.1144598618145367E-2</v>
      </c>
      <c r="Y61" s="86">
        <f t="shared" si="17"/>
        <v>-1.7776062476905274E-2</v>
      </c>
      <c r="Z61" s="86">
        <f t="shared" si="18"/>
        <v>1.4763330356000417E-2</v>
      </c>
      <c r="AA61" s="86">
        <f t="shared" si="19"/>
        <v>-5.0228095206795914E-2</v>
      </c>
      <c r="AB61" s="304">
        <f t="shared" si="20"/>
        <v>-3.1053775565584481E-2</v>
      </c>
    </row>
    <row r="62" spans="2:28" x14ac:dyDescent="0.3">
      <c r="B62" s="271">
        <v>44033</v>
      </c>
      <c r="C62" s="292">
        <v>110.8</v>
      </c>
      <c r="D62" s="292">
        <v>347.35000600000001</v>
      </c>
      <c r="E62" s="292">
        <v>7120.35</v>
      </c>
      <c r="F62" s="292">
        <v>1138.5500489999999</v>
      </c>
      <c r="G62" s="292">
        <v>1724.25</v>
      </c>
      <c r="H62" s="292">
        <v>1971.5500489999999</v>
      </c>
      <c r="I62" s="292">
        <v>19.3</v>
      </c>
      <c r="J62" s="197">
        <v>2318</v>
      </c>
      <c r="L62" s="297">
        <f t="shared" si="5"/>
        <v>2.4670049668020843E-2</v>
      </c>
      <c r="M62" s="298">
        <f t="shared" si="6"/>
        <v>-7.45738701362798E-3</v>
      </c>
      <c r="N62" s="298">
        <f t="shared" si="7"/>
        <v>4.1449208576363035E-2</v>
      </c>
      <c r="O62" s="298">
        <f t="shared" si="8"/>
        <v>4.8424110848307956E-3</v>
      </c>
      <c r="P62" s="298">
        <f t="shared" si="9"/>
        <v>-1.57374826158426E-2</v>
      </c>
      <c r="Q62" s="298">
        <f t="shared" si="10"/>
        <v>2.6546946416816455E-2</v>
      </c>
      <c r="R62" s="298">
        <f t="shared" si="11"/>
        <v>-7.7419741536153969E-3</v>
      </c>
      <c r="S62" s="299">
        <f t="shared" si="12"/>
        <v>-5.5711438630830015E-3</v>
      </c>
      <c r="U62" s="303">
        <f t="shared" si="13"/>
        <v>2.6228755088529374E-2</v>
      </c>
      <c r="V62" s="86">
        <f t="shared" si="14"/>
        <v>-1.3555115712088613E-2</v>
      </c>
      <c r="W62" s="86">
        <f t="shared" si="15"/>
        <v>3.8600705231296863E-2</v>
      </c>
      <c r="X62" s="86">
        <f t="shared" si="16"/>
        <v>4.4710835723162862E-3</v>
      </c>
      <c r="Y62" s="86">
        <f t="shared" si="17"/>
        <v>-1.6846492607536227E-2</v>
      </c>
      <c r="Z62" s="86">
        <f t="shared" si="18"/>
        <v>2.4985153817639105E-2</v>
      </c>
      <c r="AA62" s="86">
        <f t="shared" si="19"/>
        <v>-2.0300534780718612E-3</v>
      </c>
      <c r="AB62" s="304">
        <f t="shared" si="20"/>
        <v>-6.1835017397325626E-3</v>
      </c>
    </row>
    <row r="63" spans="2:28" x14ac:dyDescent="0.3">
      <c r="B63" s="271">
        <v>44032</v>
      </c>
      <c r="C63" s="292">
        <v>108.1</v>
      </c>
      <c r="D63" s="292">
        <v>349.95001200000002</v>
      </c>
      <c r="E63" s="292">
        <v>6831.25</v>
      </c>
      <c r="F63" s="292">
        <v>1133.0500489999999</v>
      </c>
      <c r="G63" s="292">
        <v>1751.6</v>
      </c>
      <c r="H63" s="292">
        <v>1919.900024</v>
      </c>
      <c r="I63" s="292">
        <v>19.45</v>
      </c>
      <c r="J63" s="197">
        <v>2330.9499510000001</v>
      </c>
      <c r="L63" s="297">
        <f t="shared" si="5"/>
        <v>-9.6663583507903914E-3</v>
      </c>
      <c r="M63" s="298">
        <f t="shared" si="6"/>
        <v>7.6013962283936485E-3</v>
      </c>
      <c r="N63" s="298">
        <f t="shared" si="7"/>
        <v>5.4447490778159156E-2</v>
      </c>
      <c r="O63" s="298">
        <f t="shared" si="8"/>
        <v>3.1013104360162542E-2</v>
      </c>
      <c r="P63" s="298">
        <f t="shared" si="9"/>
        <v>1.9427041294843364E-2</v>
      </c>
      <c r="Q63" s="298">
        <f t="shared" si="10"/>
        <v>4.2802409294254691E-3</v>
      </c>
      <c r="R63" s="298">
        <f t="shared" si="11"/>
        <v>-1.7834867636034313E-2</v>
      </c>
      <c r="S63" s="299">
        <f t="shared" si="12"/>
        <v>-1.5432852704053432E-3</v>
      </c>
      <c r="U63" s="303">
        <f t="shared" si="13"/>
        <v>-8.1076529302818619E-3</v>
      </c>
      <c r="V63" s="86">
        <f t="shared" si="14"/>
        <v>1.5036675299330143E-3</v>
      </c>
      <c r="W63" s="86">
        <f t="shared" si="15"/>
        <v>5.1598987433092984E-2</v>
      </c>
      <c r="X63" s="86">
        <f t="shared" si="16"/>
        <v>3.0641776847648034E-2</v>
      </c>
      <c r="Y63" s="86">
        <f t="shared" si="17"/>
        <v>1.8318031303149736E-2</v>
      </c>
      <c r="Z63" s="86">
        <f t="shared" si="18"/>
        <v>2.7184483302481188E-3</v>
      </c>
      <c r="AA63" s="86">
        <f t="shared" si="19"/>
        <v>-1.2122946960490776E-2</v>
      </c>
      <c r="AB63" s="304">
        <f t="shared" si="20"/>
        <v>-2.1556431470549043E-3</v>
      </c>
    </row>
    <row r="64" spans="2:28" x14ac:dyDescent="0.3">
      <c r="B64" s="271">
        <v>44029</v>
      </c>
      <c r="C64" s="292">
        <v>109.15</v>
      </c>
      <c r="D64" s="292">
        <v>347.29998799999998</v>
      </c>
      <c r="E64" s="292">
        <v>6469.25</v>
      </c>
      <c r="F64" s="292">
        <v>1098.4499510000001</v>
      </c>
      <c r="G64" s="292">
        <v>1717.9</v>
      </c>
      <c r="H64" s="292">
        <v>1911.6999510000001</v>
      </c>
      <c r="I64" s="292">
        <v>19.8</v>
      </c>
      <c r="J64" s="197">
        <v>2334.5500489999999</v>
      </c>
      <c r="L64" s="297">
        <f t="shared" si="5"/>
        <v>2.2930530570381192E-3</v>
      </c>
      <c r="M64" s="298">
        <f t="shared" si="6"/>
        <v>-2.8752177211297772E-3</v>
      </c>
      <c r="N64" s="298">
        <f t="shared" si="7"/>
        <v>3.2126365422436949E-3</v>
      </c>
      <c r="O64" s="298">
        <f t="shared" si="8"/>
        <v>3.3228324936530489E-2</v>
      </c>
      <c r="P64" s="298">
        <f t="shared" si="9"/>
        <v>1.448238498563131E-2</v>
      </c>
      <c r="Q64" s="298">
        <f t="shared" si="10"/>
        <v>3.6381167324351066E-2</v>
      </c>
      <c r="R64" s="298">
        <f t="shared" si="11"/>
        <v>3.0771658666753687E-2</v>
      </c>
      <c r="S64" s="299">
        <f t="shared" si="12"/>
        <v>2.0206619288195268E-2</v>
      </c>
      <c r="U64" s="303">
        <f t="shared" si="13"/>
        <v>3.8517584775466492E-3</v>
      </c>
      <c r="V64" s="86">
        <f t="shared" si="14"/>
        <v>-8.9729464195904118E-3</v>
      </c>
      <c r="W64" s="86">
        <f t="shared" si="15"/>
        <v>3.641331971775256E-4</v>
      </c>
      <c r="X64" s="86">
        <f t="shared" si="16"/>
        <v>3.2856997424015981E-2</v>
      </c>
      <c r="Y64" s="86">
        <f t="shared" si="17"/>
        <v>1.3373374993937681E-2</v>
      </c>
      <c r="Z64" s="86">
        <f t="shared" si="18"/>
        <v>3.4819374725173713E-2</v>
      </c>
      <c r="AA64" s="86">
        <f t="shared" si="19"/>
        <v>3.648357934229722E-2</v>
      </c>
      <c r="AB64" s="304">
        <f t="shared" si="20"/>
        <v>1.9594261411545709E-2</v>
      </c>
    </row>
    <row r="65" spans="2:28" x14ac:dyDescent="0.3">
      <c r="B65" s="271">
        <v>44028</v>
      </c>
      <c r="C65" s="292">
        <v>108.9</v>
      </c>
      <c r="D65" s="292">
        <v>348.29998799999998</v>
      </c>
      <c r="E65" s="292">
        <v>6448.5</v>
      </c>
      <c r="F65" s="292">
        <v>1062.5500489999999</v>
      </c>
      <c r="G65" s="292">
        <v>1693.2</v>
      </c>
      <c r="H65" s="292">
        <v>1843.400024</v>
      </c>
      <c r="I65" s="292">
        <v>19.2</v>
      </c>
      <c r="J65" s="197">
        <v>2287.8500979999999</v>
      </c>
      <c r="L65" s="297">
        <f t="shared" si="5"/>
        <v>-1.8348629001102238E-3</v>
      </c>
      <c r="M65" s="298">
        <f t="shared" si="6"/>
        <v>-1.7785202985387938E-2</v>
      </c>
      <c r="N65" s="298">
        <f t="shared" si="7"/>
        <v>-2.8725083724873875E-3</v>
      </c>
      <c r="O65" s="298">
        <f t="shared" si="8"/>
        <v>8.886029710201554E-3</v>
      </c>
      <c r="P65" s="298">
        <f t="shared" si="9"/>
        <v>1.2809067058274979E-2</v>
      </c>
      <c r="Q65" s="298">
        <f t="shared" si="10"/>
        <v>-3.2541953755474911E-4</v>
      </c>
      <c r="R65" s="298">
        <f t="shared" si="11"/>
        <v>-6.3072603455074899E-2</v>
      </c>
      <c r="S65" s="299">
        <f t="shared" si="12"/>
        <v>5.5666135416441893E-3</v>
      </c>
      <c r="U65" s="303">
        <f t="shared" si="13"/>
        <v>-2.7615747960169361E-4</v>
      </c>
      <c r="V65" s="86">
        <f t="shared" si="14"/>
        <v>-2.3882931683848571E-2</v>
      </c>
      <c r="W65" s="86">
        <f t="shared" si="15"/>
        <v>-5.7210117175535563E-3</v>
      </c>
      <c r="X65" s="86">
        <f t="shared" si="16"/>
        <v>8.5147021976870445E-3</v>
      </c>
      <c r="Y65" s="86">
        <f t="shared" si="17"/>
        <v>1.170005706658135E-2</v>
      </c>
      <c r="Z65" s="86">
        <f t="shared" si="18"/>
        <v>-1.8872121367320997E-3</v>
      </c>
      <c r="AA65" s="86">
        <f t="shared" si="19"/>
        <v>-5.7360682779531366E-2</v>
      </c>
      <c r="AB65" s="304">
        <f t="shared" si="20"/>
        <v>4.9542556649946282E-3</v>
      </c>
    </row>
    <row r="66" spans="2:28" x14ac:dyDescent="0.3">
      <c r="B66" s="271">
        <v>44027</v>
      </c>
      <c r="C66" s="292">
        <v>109.1</v>
      </c>
      <c r="D66" s="292">
        <v>354.54998799999998</v>
      </c>
      <c r="E66" s="292">
        <v>6467.05</v>
      </c>
      <c r="F66" s="292">
        <v>1053.150024</v>
      </c>
      <c r="G66" s="292">
        <v>1671.65</v>
      </c>
      <c r="H66" s="292">
        <v>1844</v>
      </c>
      <c r="I66" s="292">
        <v>20.45</v>
      </c>
      <c r="J66" s="197">
        <v>2275.1499020000001</v>
      </c>
      <c r="L66" s="297">
        <f t="shared" si="5"/>
        <v>1.8348629001102184E-3</v>
      </c>
      <c r="M66" s="298">
        <f t="shared" si="6"/>
        <v>1.8359533850465695E-2</v>
      </c>
      <c r="N66" s="298">
        <f t="shared" si="7"/>
        <v>1.6377260667843844E-2</v>
      </c>
      <c r="O66" s="298">
        <f t="shared" si="8"/>
        <v>-5.3976949233467625E-3</v>
      </c>
      <c r="P66" s="298">
        <f t="shared" si="9"/>
        <v>-9.970172319849915E-3</v>
      </c>
      <c r="Q66" s="298">
        <f t="shared" si="10"/>
        <v>-3.882433892910539E-2</v>
      </c>
      <c r="R66" s="298">
        <f t="shared" si="11"/>
        <v>-2.4155763879336038E-2</v>
      </c>
      <c r="S66" s="299">
        <f t="shared" si="12"/>
        <v>1.7916576235383935E-2</v>
      </c>
      <c r="U66" s="303">
        <f t="shared" si="13"/>
        <v>3.3935683206187486E-3</v>
      </c>
      <c r="V66" s="86">
        <f t="shared" si="14"/>
        <v>1.2261805152005062E-2</v>
      </c>
      <c r="W66" s="86">
        <f t="shared" si="15"/>
        <v>1.3528757322777675E-2</v>
      </c>
      <c r="X66" s="86">
        <f t="shared" si="16"/>
        <v>-5.7690224358612719E-3</v>
      </c>
      <c r="Y66" s="86">
        <f t="shared" si="17"/>
        <v>-1.1079182311543544E-2</v>
      </c>
      <c r="Z66" s="86">
        <f t="shared" si="18"/>
        <v>-4.0386131528282743E-2</v>
      </c>
      <c r="AA66" s="86">
        <f t="shared" si="19"/>
        <v>-1.8443843203792502E-2</v>
      </c>
      <c r="AB66" s="304">
        <f t="shared" si="20"/>
        <v>1.7304218358734375E-2</v>
      </c>
    </row>
    <row r="67" spans="2:28" x14ac:dyDescent="0.3">
      <c r="B67" s="271">
        <v>44026</v>
      </c>
      <c r="C67" s="292">
        <v>108.9</v>
      </c>
      <c r="D67" s="292">
        <v>348.10000600000001</v>
      </c>
      <c r="E67" s="292">
        <v>6362</v>
      </c>
      <c r="F67" s="292">
        <v>1058.849976</v>
      </c>
      <c r="G67" s="292">
        <v>1688.4</v>
      </c>
      <c r="H67" s="292">
        <v>1917</v>
      </c>
      <c r="I67" s="292">
        <v>20.95</v>
      </c>
      <c r="J67" s="197">
        <v>2234.75</v>
      </c>
      <c r="L67" s="297">
        <f t="shared" si="5"/>
        <v>-3.1633907520675894E-2</v>
      </c>
      <c r="M67" s="298">
        <f t="shared" si="6"/>
        <v>-4.6722375349075612E-2</v>
      </c>
      <c r="N67" s="298">
        <f t="shared" si="7"/>
        <v>-1.6493226450336997E-2</v>
      </c>
      <c r="O67" s="298">
        <f t="shared" si="8"/>
        <v>-2.0009104968551922E-2</v>
      </c>
      <c r="P67" s="298">
        <f t="shared" si="9"/>
        <v>-1.016493483049789E-2</v>
      </c>
      <c r="Q67" s="298">
        <f t="shared" si="10"/>
        <v>-9.345862418237658E-3</v>
      </c>
      <c r="R67" s="298">
        <f t="shared" si="11"/>
        <v>-5.117395552470836E-2</v>
      </c>
      <c r="S67" s="299">
        <f t="shared" si="12"/>
        <v>-1.3555763134208025E-2</v>
      </c>
      <c r="U67" s="303">
        <f t="shared" si="13"/>
        <v>-3.0075202100167363E-2</v>
      </c>
      <c r="V67" s="86">
        <f t="shared" si="14"/>
        <v>-5.2820104047536245E-2</v>
      </c>
      <c r="W67" s="86">
        <f t="shared" si="15"/>
        <v>-1.9341729795403165E-2</v>
      </c>
      <c r="X67" s="86">
        <f t="shared" si="16"/>
        <v>-2.038043248106643E-2</v>
      </c>
      <c r="Y67" s="86">
        <f t="shared" si="17"/>
        <v>-1.1273944822191519E-2</v>
      </c>
      <c r="Z67" s="86">
        <f t="shared" si="18"/>
        <v>-1.0907655017415009E-2</v>
      </c>
      <c r="AA67" s="86">
        <f t="shared" si="19"/>
        <v>-4.5462034849164827E-2</v>
      </c>
      <c r="AB67" s="304">
        <f t="shared" si="20"/>
        <v>-1.4168121010857586E-2</v>
      </c>
    </row>
    <row r="68" spans="2:28" x14ac:dyDescent="0.3">
      <c r="B68" s="271">
        <v>44025</v>
      </c>
      <c r="C68" s="292">
        <v>112.4</v>
      </c>
      <c r="D68" s="292">
        <v>364.75</v>
      </c>
      <c r="E68" s="292">
        <v>6467.8</v>
      </c>
      <c r="F68" s="292">
        <v>1080.25</v>
      </c>
      <c r="G68" s="292">
        <v>1705.65</v>
      </c>
      <c r="H68" s="292">
        <v>1935</v>
      </c>
      <c r="I68" s="292">
        <v>22.05</v>
      </c>
      <c r="J68" s="197">
        <v>2265.25</v>
      </c>
      <c r="L68" s="297">
        <f t="shared" ref="L68:L131" si="23">LN(C68/C69)</f>
        <v>1.8406804756845429E-2</v>
      </c>
      <c r="M68" s="298">
        <f t="shared" ref="M68:M131" si="24">LN(D68/D69)</f>
        <v>-1.7124604672592091E-2</v>
      </c>
      <c r="N68" s="298">
        <f t="shared" ref="N68:N131" si="25">LN(E68/E69)</f>
        <v>3.7443635742383331E-2</v>
      </c>
      <c r="O68" s="298">
        <f t="shared" ref="O68:O131" si="26">LN(F68/F69)</f>
        <v>-2.2743311065202058E-2</v>
      </c>
      <c r="P68" s="298">
        <f t="shared" ref="P68:P131" si="27">LN(G68/G69)</f>
        <v>1.2613116378202402E-3</v>
      </c>
      <c r="Q68" s="298">
        <f t="shared" ref="Q68:Q131" si="28">LN(H68/H69)</f>
        <v>2.9873295891038806E-2</v>
      </c>
      <c r="R68" s="298">
        <f t="shared" ref="R68:R131" si="29">LN(I68/I69)</f>
        <v>-0.14732471475685843</v>
      </c>
      <c r="S68" s="299">
        <f t="shared" ref="S68:S131" si="30">LN(J68/J69)</f>
        <v>1.8467661798665866E-2</v>
      </c>
      <c r="U68" s="303">
        <f t="shared" ref="U68:U131" si="31">L68-L$494</f>
        <v>1.996551017735396E-2</v>
      </c>
      <c r="V68" s="86">
        <f t="shared" ref="V68:V131" si="32">M68-M$494</f>
        <v>-2.3222333371052725E-2</v>
      </c>
      <c r="W68" s="86">
        <f t="shared" ref="W68:W131" si="33">N68-N$494</f>
        <v>3.4595132397317159E-2</v>
      </c>
      <c r="X68" s="86">
        <f t="shared" ref="X68:X131" si="34">O68-O$494</f>
        <v>-2.3114638577716565E-2</v>
      </c>
      <c r="Y68" s="86">
        <f t="shared" ref="Y68:Y131" si="35">P68-P$494</f>
        <v>1.5230164612661128E-4</v>
      </c>
      <c r="Z68" s="86">
        <f t="shared" ref="Z68:Z131" si="36">Q68-Q$494</f>
        <v>2.8311503291861457E-2</v>
      </c>
      <c r="AA68" s="86">
        <f t="shared" ref="AA68:AA131" si="37">R68-R$494</f>
        <v>-0.14161279408131489</v>
      </c>
      <c r="AB68" s="304">
        <f t="shared" ref="AB68:AB131" si="38">S68-S$494</f>
        <v>1.7855303922016307E-2</v>
      </c>
    </row>
    <row r="69" spans="2:28" x14ac:dyDescent="0.3">
      <c r="B69" s="271">
        <v>44022</v>
      </c>
      <c r="C69" s="292">
        <v>110.35</v>
      </c>
      <c r="D69" s="292">
        <v>371.04998799999998</v>
      </c>
      <c r="E69" s="292">
        <v>6230.1</v>
      </c>
      <c r="F69" s="292">
        <v>1105.099976</v>
      </c>
      <c r="G69" s="292">
        <v>1703.5</v>
      </c>
      <c r="H69" s="292">
        <v>1878.0500489999999</v>
      </c>
      <c r="I69" s="292">
        <v>25.55</v>
      </c>
      <c r="J69" s="197">
        <v>2223.8000489999999</v>
      </c>
      <c r="L69" s="297">
        <f t="shared" si="23"/>
        <v>-1.4841738592349139E-2</v>
      </c>
      <c r="M69" s="298">
        <f t="shared" si="24"/>
        <v>-6.848930339157574E-3</v>
      </c>
      <c r="N69" s="298">
        <f t="shared" si="25"/>
        <v>1.5340567557289913E-3</v>
      </c>
      <c r="O69" s="298">
        <f t="shared" si="26"/>
        <v>-1.7802739771655487E-2</v>
      </c>
      <c r="P69" s="298">
        <f t="shared" si="27"/>
        <v>-8.0392159929696776E-3</v>
      </c>
      <c r="Q69" s="298">
        <f t="shared" si="28"/>
        <v>2.9065086927113973E-2</v>
      </c>
      <c r="R69" s="298">
        <f t="shared" si="29"/>
        <v>-4.2151833962140048E-2</v>
      </c>
      <c r="S69" s="299">
        <f t="shared" si="30"/>
        <v>2.1798028487377139E-2</v>
      </c>
      <c r="U69" s="303">
        <f t="shared" si="31"/>
        <v>-1.3283033171840609E-2</v>
      </c>
      <c r="V69" s="86">
        <f t="shared" si="32"/>
        <v>-1.2946659037618208E-2</v>
      </c>
      <c r="W69" s="86">
        <f t="shared" si="33"/>
        <v>-1.3144465893371779E-3</v>
      </c>
      <c r="X69" s="86">
        <f t="shared" si="34"/>
        <v>-1.8174067284169995E-2</v>
      </c>
      <c r="Y69" s="86">
        <f t="shared" si="35"/>
        <v>-9.1482259846633069E-3</v>
      </c>
      <c r="Z69" s="86">
        <f t="shared" si="36"/>
        <v>2.7503294327936623E-2</v>
      </c>
      <c r="AA69" s="86">
        <f t="shared" si="37"/>
        <v>-3.6439913286596515E-2</v>
      </c>
      <c r="AB69" s="304">
        <f t="shared" si="38"/>
        <v>2.118567061072758E-2</v>
      </c>
    </row>
    <row r="70" spans="2:28" x14ac:dyDescent="0.3">
      <c r="B70" s="271">
        <v>44021</v>
      </c>
      <c r="C70" s="292">
        <v>112</v>
      </c>
      <c r="D70" s="292">
        <v>373.60000600000001</v>
      </c>
      <c r="E70" s="292">
        <v>6220.55</v>
      </c>
      <c r="F70" s="292">
        <v>1124.9499510000001</v>
      </c>
      <c r="G70" s="292">
        <v>1717.25</v>
      </c>
      <c r="H70" s="292">
        <v>1824.25</v>
      </c>
      <c r="I70" s="292">
        <v>26.65</v>
      </c>
      <c r="J70" s="197">
        <v>2175.8500979999999</v>
      </c>
      <c r="L70" s="297">
        <f t="shared" si="23"/>
        <v>1.4388737452099452E-2</v>
      </c>
      <c r="M70" s="298">
        <f t="shared" si="24"/>
        <v>-5.0878325276461758E-2</v>
      </c>
      <c r="N70" s="298">
        <f t="shared" si="25"/>
        <v>2.1801553350297733E-2</v>
      </c>
      <c r="O70" s="298">
        <f t="shared" si="26"/>
        <v>1.3063287343437934E-2</v>
      </c>
      <c r="P70" s="298">
        <f t="shared" si="27"/>
        <v>1.8217045572025456E-2</v>
      </c>
      <c r="Q70" s="298">
        <f t="shared" si="28"/>
        <v>1.4494007614163865E-2</v>
      </c>
      <c r="R70" s="298">
        <f t="shared" si="29"/>
        <v>2.2771382412477597E-2</v>
      </c>
      <c r="S70" s="299">
        <f t="shared" si="30"/>
        <v>-4.676846900716714E-3</v>
      </c>
      <c r="U70" s="303">
        <f t="shared" si="31"/>
        <v>1.5947442872607982E-2</v>
      </c>
      <c r="V70" s="86">
        <f t="shared" si="32"/>
        <v>-5.6976053974922392E-2</v>
      </c>
      <c r="W70" s="86">
        <f t="shared" si="33"/>
        <v>1.8953050005231564E-2</v>
      </c>
      <c r="X70" s="86">
        <f t="shared" si="34"/>
        <v>1.2691959830923425E-2</v>
      </c>
      <c r="Y70" s="86">
        <f t="shared" si="35"/>
        <v>1.7108035580331828E-2</v>
      </c>
      <c r="Z70" s="86">
        <f t="shared" si="36"/>
        <v>1.2932215014986514E-2</v>
      </c>
      <c r="AA70" s="86">
        <f t="shared" si="37"/>
        <v>2.8483303088021134E-2</v>
      </c>
      <c r="AB70" s="304">
        <f t="shared" si="38"/>
        <v>-5.2892047773662751E-3</v>
      </c>
    </row>
    <row r="71" spans="2:28" x14ac:dyDescent="0.3">
      <c r="B71" s="271">
        <v>44020</v>
      </c>
      <c r="C71" s="292">
        <v>110.4</v>
      </c>
      <c r="D71" s="292">
        <v>393.10000600000001</v>
      </c>
      <c r="E71" s="292">
        <v>6086.4</v>
      </c>
      <c r="F71" s="292">
        <v>1110.349976</v>
      </c>
      <c r="G71" s="292">
        <v>1686.25</v>
      </c>
      <c r="H71" s="292">
        <v>1798</v>
      </c>
      <c r="I71" s="292">
        <v>26.05</v>
      </c>
      <c r="J71" s="197">
        <v>2186.0500489999999</v>
      </c>
      <c r="L71" s="297">
        <f t="shared" si="23"/>
        <v>2.5689486115311085E-2</v>
      </c>
      <c r="M71" s="298">
        <f t="shared" si="24"/>
        <v>-5.1197879000166334E-2</v>
      </c>
      <c r="N71" s="298">
        <f t="shared" si="25"/>
        <v>3.4236441313976997E-2</v>
      </c>
      <c r="O71" s="298">
        <f t="shared" si="26"/>
        <v>4.6941652435021552E-3</v>
      </c>
      <c r="P71" s="298">
        <f t="shared" si="27"/>
        <v>-3.4677134204179082E-2</v>
      </c>
      <c r="Q71" s="298">
        <f t="shared" si="28"/>
        <v>-1.4055348172008066E-2</v>
      </c>
      <c r="R71" s="298">
        <f t="shared" si="29"/>
        <v>1.1583141089630855E-2</v>
      </c>
      <c r="S71" s="299">
        <f t="shared" si="30"/>
        <v>1.4700116035689558E-2</v>
      </c>
      <c r="U71" s="303">
        <f t="shared" si="31"/>
        <v>2.7248191535819616E-2</v>
      </c>
      <c r="V71" s="86">
        <f t="shared" si="32"/>
        <v>-5.7295607698626967E-2</v>
      </c>
      <c r="W71" s="86">
        <f t="shared" si="33"/>
        <v>3.1387937968910824E-2</v>
      </c>
      <c r="X71" s="86">
        <f t="shared" si="34"/>
        <v>4.3228377309876458E-3</v>
      </c>
      <c r="Y71" s="86">
        <f t="shared" si="35"/>
        <v>-3.5786144195872713E-2</v>
      </c>
      <c r="Z71" s="86">
        <f t="shared" si="36"/>
        <v>-1.5617140771185417E-2</v>
      </c>
      <c r="AA71" s="86">
        <f t="shared" si="37"/>
        <v>1.729506176517439E-2</v>
      </c>
      <c r="AB71" s="304">
        <f t="shared" si="38"/>
        <v>1.4087758159039997E-2</v>
      </c>
    </row>
    <row r="72" spans="2:28" x14ac:dyDescent="0.3">
      <c r="B72" s="271">
        <v>44019</v>
      </c>
      <c r="C72" s="292">
        <v>107.6</v>
      </c>
      <c r="D72" s="292">
        <v>413.75</v>
      </c>
      <c r="E72" s="292">
        <v>5881.55</v>
      </c>
      <c r="F72" s="292">
        <v>1105.150024</v>
      </c>
      <c r="G72" s="292">
        <v>1745.75</v>
      </c>
      <c r="H72" s="292">
        <v>1823.4499510000001</v>
      </c>
      <c r="I72" s="292">
        <v>25.75</v>
      </c>
      <c r="J72" s="197">
        <v>2154.1499020000001</v>
      </c>
      <c r="L72" s="297">
        <f t="shared" si="23"/>
        <v>-2.4329866599271374E-2</v>
      </c>
      <c r="M72" s="298">
        <f t="shared" si="24"/>
        <v>4.7516082138625272E-2</v>
      </c>
      <c r="N72" s="298">
        <f t="shared" si="25"/>
        <v>-1.448261014585882E-2</v>
      </c>
      <c r="O72" s="298">
        <f t="shared" si="26"/>
        <v>1.9473538084574845E-3</v>
      </c>
      <c r="P72" s="298">
        <f t="shared" si="27"/>
        <v>2.1363633088717832E-2</v>
      </c>
      <c r="Q72" s="298">
        <f t="shared" si="28"/>
        <v>-1.5427881271113638E-2</v>
      </c>
      <c r="R72" s="298">
        <f t="shared" si="29"/>
        <v>-1.1583141089630759E-2</v>
      </c>
      <c r="S72" s="299">
        <f t="shared" si="30"/>
        <v>-3.4525648615666383E-3</v>
      </c>
      <c r="U72" s="303">
        <f t="shared" si="31"/>
        <v>-2.2771161178762843E-2</v>
      </c>
      <c r="V72" s="86">
        <f t="shared" si="32"/>
        <v>4.1418353440164639E-2</v>
      </c>
      <c r="W72" s="86">
        <f t="shared" si="33"/>
        <v>-1.733111349092499E-2</v>
      </c>
      <c r="X72" s="86">
        <f t="shared" si="34"/>
        <v>1.5760262959429753E-3</v>
      </c>
      <c r="Y72" s="86">
        <f t="shared" si="35"/>
        <v>2.0254623097024204E-2</v>
      </c>
      <c r="Z72" s="86">
        <f t="shared" si="36"/>
        <v>-1.6989673870290989E-2</v>
      </c>
      <c r="AA72" s="86">
        <f t="shared" si="37"/>
        <v>-5.8712204140872236E-3</v>
      </c>
      <c r="AB72" s="304">
        <f t="shared" si="38"/>
        <v>-4.0649227382161994E-3</v>
      </c>
    </row>
    <row r="73" spans="2:28" x14ac:dyDescent="0.3">
      <c r="B73" s="271">
        <v>44018</v>
      </c>
      <c r="C73" s="292">
        <v>110.25</v>
      </c>
      <c r="D73" s="292">
        <v>394.54998799999998</v>
      </c>
      <c r="E73" s="292">
        <v>5967.35</v>
      </c>
      <c r="F73" s="292">
        <v>1103</v>
      </c>
      <c r="G73" s="292">
        <v>1708.85</v>
      </c>
      <c r="H73" s="292">
        <v>1851.8000489999999</v>
      </c>
      <c r="I73" s="292">
        <v>26.05</v>
      </c>
      <c r="J73" s="197">
        <v>2161.6000979999999</v>
      </c>
      <c r="L73" s="297">
        <f t="shared" si="23"/>
        <v>3.5075122987466872E-2</v>
      </c>
      <c r="M73" s="298">
        <f t="shared" si="24"/>
        <v>4.8688789505161693E-2</v>
      </c>
      <c r="N73" s="298">
        <f t="shared" si="25"/>
        <v>-2.6860255046258527E-3</v>
      </c>
      <c r="O73" s="298">
        <f t="shared" si="26"/>
        <v>2.6690345829191442E-2</v>
      </c>
      <c r="P73" s="298">
        <f t="shared" si="27"/>
        <v>7.7544815068968289E-3</v>
      </c>
      <c r="Q73" s="298">
        <f t="shared" si="28"/>
        <v>3.5116405293343263E-2</v>
      </c>
      <c r="R73" s="298">
        <f t="shared" si="29"/>
        <v>-3.8314223115559487E-3</v>
      </c>
      <c r="S73" s="299">
        <f t="shared" si="30"/>
        <v>-5.5820285938894369E-3</v>
      </c>
      <c r="U73" s="303">
        <f t="shared" si="31"/>
        <v>3.6633828407975404E-2</v>
      </c>
      <c r="V73" s="86">
        <f t="shared" si="32"/>
        <v>4.259106080670106E-2</v>
      </c>
      <c r="W73" s="86">
        <f t="shared" si="33"/>
        <v>-5.534528849692022E-3</v>
      </c>
      <c r="X73" s="86">
        <f t="shared" si="34"/>
        <v>2.6319018316676934E-2</v>
      </c>
      <c r="Y73" s="86">
        <f t="shared" si="35"/>
        <v>6.6454715152031996E-3</v>
      </c>
      <c r="Z73" s="86">
        <f t="shared" si="36"/>
        <v>3.355461269416591E-2</v>
      </c>
      <c r="AA73" s="86">
        <f t="shared" si="37"/>
        <v>1.880498363987587E-3</v>
      </c>
      <c r="AB73" s="304">
        <f t="shared" si="38"/>
        <v>-6.194386470538998E-3</v>
      </c>
    </row>
    <row r="74" spans="2:28" x14ac:dyDescent="0.3">
      <c r="B74" s="271">
        <v>44015</v>
      </c>
      <c r="C74" s="292">
        <v>106.45</v>
      </c>
      <c r="D74" s="292">
        <v>375.79998799999998</v>
      </c>
      <c r="E74" s="292">
        <v>5983.4</v>
      </c>
      <c r="F74" s="292">
        <v>1073.9499510000001</v>
      </c>
      <c r="G74" s="292">
        <v>1695.65</v>
      </c>
      <c r="H74" s="292">
        <v>1787.900024</v>
      </c>
      <c r="I74" s="292">
        <v>26.15</v>
      </c>
      <c r="J74" s="197">
        <v>2173.6999510000001</v>
      </c>
      <c r="L74" s="297">
        <f t="shared" si="23"/>
        <v>4.6981443194451297E-4</v>
      </c>
      <c r="M74" s="298">
        <f t="shared" si="24"/>
        <v>4.8663709681057009E-2</v>
      </c>
      <c r="N74" s="298">
        <f t="shared" si="25"/>
        <v>4.2541139742965361E-3</v>
      </c>
      <c r="O74" s="298">
        <f t="shared" si="26"/>
        <v>-1.4283713555738299E-2</v>
      </c>
      <c r="P74" s="298">
        <f t="shared" si="27"/>
        <v>5.4404202666515486E-3</v>
      </c>
      <c r="Q74" s="298">
        <f t="shared" si="28"/>
        <v>1.5529120917187063E-2</v>
      </c>
      <c r="R74" s="298">
        <f t="shared" si="29"/>
        <v>-3.8167985267008537E-3</v>
      </c>
      <c r="S74" s="299">
        <f t="shared" si="30"/>
        <v>1.0149297607026429E-2</v>
      </c>
      <c r="U74" s="303">
        <f t="shared" si="31"/>
        <v>2.0285198524530434E-3</v>
      </c>
      <c r="V74" s="86">
        <f t="shared" si="32"/>
        <v>4.2565980982596376E-2</v>
      </c>
      <c r="W74" s="86">
        <f t="shared" si="33"/>
        <v>1.4056106292303669E-3</v>
      </c>
      <c r="X74" s="86">
        <f t="shared" si="34"/>
        <v>-1.4655041068252809E-2</v>
      </c>
      <c r="Y74" s="86">
        <f t="shared" si="35"/>
        <v>4.3314102749579201E-3</v>
      </c>
      <c r="Z74" s="86">
        <f t="shared" si="36"/>
        <v>1.3967328318009712E-2</v>
      </c>
      <c r="AA74" s="86">
        <f t="shared" si="37"/>
        <v>1.8951221488426821E-3</v>
      </c>
      <c r="AB74" s="304">
        <f t="shared" si="38"/>
        <v>9.5369397303768678E-3</v>
      </c>
    </row>
    <row r="75" spans="2:28" x14ac:dyDescent="0.3">
      <c r="B75" s="271">
        <v>44014</v>
      </c>
      <c r="C75" s="292">
        <v>106.4</v>
      </c>
      <c r="D75" s="292">
        <v>357.95001200000002</v>
      </c>
      <c r="E75" s="292">
        <v>5958</v>
      </c>
      <c r="F75" s="292">
        <v>1089.400024</v>
      </c>
      <c r="G75" s="292">
        <v>1686.45</v>
      </c>
      <c r="H75" s="292">
        <v>1760.349976</v>
      </c>
      <c r="I75" s="292">
        <v>26.25</v>
      </c>
      <c r="J75" s="197">
        <v>2151.75</v>
      </c>
      <c r="L75" s="297">
        <f t="shared" si="23"/>
        <v>-1.2144007254798837E-2</v>
      </c>
      <c r="M75" s="298">
        <f t="shared" si="24"/>
        <v>4.865747120399088E-2</v>
      </c>
      <c r="N75" s="298">
        <f t="shared" si="25"/>
        <v>1.4207533638053951E-2</v>
      </c>
      <c r="O75" s="298">
        <f t="shared" si="26"/>
        <v>4.4158747010629084E-3</v>
      </c>
      <c r="P75" s="298">
        <f t="shared" si="27"/>
        <v>-9.1866829202413738E-4</v>
      </c>
      <c r="Q75" s="298">
        <f t="shared" si="28"/>
        <v>1.3007802336695165E-2</v>
      </c>
      <c r="R75" s="298">
        <f t="shared" si="29"/>
        <v>-2.4460297570160577E-2</v>
      </c>
      <c r="S75" s="299">
        <f t="shared" si="30"/>
        <v>-8.6299726621699435E-3</v>
      </c>
      <c r="U75" s="303">
        <f t="shared" si="31"/>
        <v>-1.0585301834290307E-2</v>
      </c>
      <c r="V75" s="86">
        <f t="shared" si="32"/>
        <v>4.2559742505530247E-2</v>
      </c>
      <c r="W75" s="86">
        <f t="shared" si="33"/>
        <v>1.1359030292987782E-2</v>
      </c>
      <c r="X75" s="86">
        <f t="shared" si="34"/>
        <v>4.044547188548399E-3</v>
      </c>
      <c r="Y75" s="86">
        <f t="shared" si="35"/>
        <v>-2.0276782837177661E-3</v>
      </c>
      <c r="Z75" s="86">
        <f t="shared" si="36"/>
        <v>1.1446009737517814E-2</v>
      </c>
      <c r="AA75" s="86">
        <f t="shared" si="37"/>
        <v>-1.8748376894617041E-2</v>
      </c>
      <c r="AB75" s="304">
        <f t="shared" si="38"/>
        <v>-9.2423305388195046E-3</v>
      </c>
    </row>
    <row r="76" spans="2:28" x14ac:dyDescent="0.3">
      <c r="B76" s="271">
        <v>44013</v>
      </c>
      <c r="C76" s="292">
        <v>107.7</v>
      </c>
      <c r="D76" s="292">
        <v>340.95001200000002</v>
      </c>
      <c r="E76" s="292">
        <v>5873.95</v>
      </c>
      <c r="F76" s="292">
        <v>1084.599976</v>
      </c>
      <c r="G76" s="292">
        <v>1688</v>
      </c>
      <c r="H76" s="292">
        <v>1737.599976</v>
      </c>
      <c r="I76" s="292">
        <v>26.9</v>
      </c>
      <c r="J76" s="197">
        <v>2170.3999020000001</v>
      </c>
      <c r="L76" s="297">
        <f t="shared" si="23"/>
        <v>1.2144007254798932E-2</v>
      </c>
      <c r="M76" s="298">
        <f t="shared" si="24"/>
        <v>-5.1168616433721024E-2</v>
      </c>
      <c r="N76" s="298">
        <f t="shared" si="25"/>
        <v>1.9780836404975771E-2</v>
      </c>
      <c r="O76" s="298">
        <f t="shared" si="26"/>
        <v>1.7438652917023123E-2</v>
      </c>
      <c r="P76" s="298">
        <f t="shared" si="27"/>
        <v>3.2588247781330807E-4</v>
      </c>
      <c r="Q76" s="298">
        <f t="shared" si="28"/>
        <v>1.9467738897795024E-2</v>
      </c>
      <c r="R76" s="298">
        <f t="shared" si="29"/>
        <v>4.9533935122276419E-2</v>
      </c>
      <c r="S76" s="299">
        <f t="shared" si="30"/>
        <v>-4.4134395913808322E-3</v>
      </c>
      <c r="U76" s="303">
        <f t="shared" si="31"/>
        <v>1.3702712675307462E-2</v>
      </c>
      <c r="V76" s="86">
        <f t="shared" si="32"/>
        <v>-5.7266345132181658E-2</v>
      </c>
      <c r="W76" s="86">
        <f t="shared" si="33"/>
        <v>1.6932333059909602E-2</v>
      </c>
      <c r="X76" s="86">
        <f t="shared" si="34"/>
        <v>1.7067325404508615E-2</v>
      </c>
      <c r="Y76" s="86">
        <f t="shared" si="35"/>
        <v>-7.8312751388032089E-4</v>
      </c>
      <c r="Z76" s="86">
        <f t="shared" si="36"/>
        <v>1.7905946298617675E-2</v>
      </c>
      <c r="AA76" s="86">
        <f t="shared" si="37"/>
        <v>5.5245855797819952E-2</v>
      </c>
      <c r="AB76" s="304">
        <f t="shared" si="38"/>
        <v>-5.0257974680303933E-3</v>
      </c>
    </row>
    <row r="77" spans="2:28" x14ac:dyDescent="0.3">
      <c r="B77" s="271">
        <v>44012</v>
      </c>
      <c r="C77" s="292">
        <v>106.4</v>
      </c>
      <c r="D77" s="292">
        <v>358.85000600000001</v>
      </c>
      <c r="E77" s="292">
        <v>5758.9</v>
      </c>
      <c r="F77" s="292">
        <v>1065.849976</v>
      </c>
      <c r="G77" s="292">
        <v>1687.45</v>
      </c>
      <c r="H77" s="292">
        <v>1704.099976</v>
      </c>
      <c r="I77" s="292">
        <v>25.6</v>
      </c>
      <c r="J77" s="197">
        <v>2180</v>
      </c>
      <c r="L77" s="297">
        <f t="shared" si="23"/>
        <v>-1.4462580053272365E-2</v>
      </c>
      <c r="M77" s="298">
        <f t="shared" si="24"/>
        <v>-5.1195770893498874E-2</v>
      </c>
      <c r="N77" s="298">
        <f t="shared" si="25"/>
        <v>3.6732363644858754E-2</v>
      </c>
      <c r="O77" s="298">
        <f t="shared" si="26"/>
        <v>-9.5243942185469048E-3</v>
      </c>
      <c r="P77" s="298">
        <f t="shared" si="27"/>
        <v>-2.6631962240219573E-3</v>
      </c>
      <c r="Q77" s="298">
        <f t="shared" si="28"/>
        <v>-1.1116927094885548E-2</v>
      </c>
      <c r="R77" s="298">
        <f t="shared" si="29"/>
        <v>-1.9342962843130987E-2</v>
      </c>
      <c r="S77" s="299">
        <f t="shared" si="30"/>
        <v>-1.3522737976209241E-3</v>
      </c>
      <c r="U77" s="303">
        <f t="shared" si="31"/>
        <v>-1.2903874632763835E-2</v>
      </c>
      <c r="V77" s="86">
        <f t="shared" si="32"/>
        <v>-5.7293499591959507E-2</v>
      </c>
      <c r="W77" s="86">
        <f t="shared" si="33"/>
        <v>3.3883860299792581E-2</v>
      </c>
      <c r="X77" s="86">
        <f t="shared" si="34"/>
        <v>-9.8957217310614142E-3</v>
      </c>
      <c r="Y77" s="86">
        <f t="shared" si="35"/>
        <v>-3.7722062157155862E-3</v>
      </c>
      <c r="Z77" s="86">
        <f t="shared" si="36"/>
        <v>-1.2678719694062899E-2</v>
      </c>
      <c r="AA77" s="86">
        <f t="shared" si="37"/>
        <v>-1.363104216758745E-2</v>
      </c>
      <c r="AB77" s="304">
        <f t="shared" si="38"/>
        <v>-1.964631674270485E-3</v>
      </c>
    </row>
    <row r="78" spans="2:28" x14ac:dyDescent="0.3">
      <c r="B78" s="271">
        <v>44011</v>
      </c>
      <c r="C78" s="292">
        <v>107.95</v>
      </c>
      <c r="D78" s="292">
        <v>377.70001200000002</v>
      </c>
      <c r="E78" s="292">
        <v>5551.2</v>
      </c>
      <c r="F78" s="292">
        <v>1076.0500489999999</v>
      </c>
      <c r="G78" s="292">
        <v>1691.95</v>
      </c>
      <c r="H78" s="292">
        <v>1723.150024</v>
      </c>
      <c r="I78" s="292">
        <v>26.1</v>
      </c>
      <c r="J78" s="197">
        <v>2182.9499510000001</v>
      </c>
      <c r="L78" s="297">
        <f t="shared" si="23"/>
        <v>-1.8357560039953837E-2</v>
      </c>
      <c r="M78" s="298">
        <f t="shared" si="24"/>
        <v>-5.1220420672951857E-2</v>
      </c>
      <c r="N78" s="298">
        <f t="shared" si="25"/>
        <v>-4.9237282529886036E-3</v>
      </c>
      <c r="O78" s="298">
        <f t="shared" si="26"/>
        <v>1.8382790102732419E-2</v>
      </c>
      <c r="P78" s="298">
        <f t="shared" si="27"/>
        <v>3.0781093945764348E-3</v>
      </c>
      <c r="Q78" s="298">
        <f t="shared" si="28"/>
        <v>-1.0678928396609015E-2</v>
      </c>
      <c r="R78" s="298">
        <f t="shared" si="29"/>
        <v>-2.4599159013367785E-2</v>
      </c>
      <c r="S78" s="299">
        <f t="shared" si="30"/>
        <v>1.3257748410349037E-2</v>
      </c>
      <c r="U78" s="303">
        <f t="shared" si="31"/>
        <v>-1.6798854619445306E-2</v>
      </c>
      <c r="V78" s="86">
        <f t="shared" si="32"/>
        <v>-5.731814937141249E-2</v>
      </c>
      <c r="W78" s="86">
        <f t="shared" si="33"/>
        <v>-7.7722315980547733E-3</v>
      </c>
      <c r="X78" s="86">
        <f t="shared" si="34"/>
        <v>1.8011462590217912E-2</v>
      </c>
      <c r="Y78" s="86">
        <f t="shared" si="35"/>
        <v>1.9690994028828059E-3</v>
      </c>
      <c r="Z78" s="86">
        <f t="shared" si="36"/>
        <v>-1.2240720995786367E-2</v>
      </c>
      <c r="AA78" s="86">
        <f t="shared" si="37"/>
        <v>-1.8887238337824248E-2</v>
      </c>
      <c r="AB78" s="304">
        <f t="shared" si="38"/>
        <v>1.2645390533699476E-2</v>
      </c>
    </row>
    <row r="79" spans="2:28" x14ac:dyDescent="0.3">
      <c r="B79" s="271">
        <v>44008</v>
      </c>
      <c r="C79" s="292">
        <v>109.95</v>
      </c>
      <c r="D79" s="292">
        <v>397.54998799999998</v>
      </c>
      <c r="E79" s="292">
        <v>5578.6</v>
      </c>
      <c r="F79" s="292">
        <v>1056.4499510000001</v>
      </c>
      <c r="G79" s="292">
        <v>1686.75</v>
      </c>
      <c r="H79" s="292">
        <v>1741.650024</v>
      </c>
      <c r="I79" s="292">
        <v>26.75</v>
      </c>
      <c r="J79" s="197">
        <v>2154.1999510000001</v>
      </c>
      <c r="L79" s="297">
        <f t="shared" si="23"/>
        <v>-1.1754204045579428E-2</v>
      </c>
      <c r="M79" s="298">
        <f t="shared" si="24"/>
        <v>-5.1236754993534368E-2</v>
      </c>
      <c r="N79" s="298">
        <f t="shared" si="25"/>
        <v>-2.0413669898254039E-2</v>
      </c>
      <c r="O79" s="298">
        <f t="shared" si="26"/>
        <v>2.6569711486498358E-2</v>
      </c>
      <c r="P79" s="298">
        <f t="shared" si="27"/>
        <v>-1.3330373002652912E-3</v>
      </c>
      <c r="Q79" s="298">
        <f t="shared" si="28"/>
        <v>1.3730324918215794E-2</v>
      </c>
      <c r="R79" s="298">
        <f t="shared" si="29"/>
        <v>-9.3023926623135612E-3</v>
      </c>
      <c r="S79" s="299">
        <f t="shared" si="30"/>
        <v>-8.758280599979025E-3</v>
      </c>
      <c r="U79" s="303">
        <f t="shared" si="31"/>
        <v>-1.0195498625070899E-2</v>
      </c>
      <c r="V79" s="86">
        <f t="shared" si="32"/>
        <v>-5.7334483691995002E-2</v>
      </c>
      <c r="W79" s="86">
        <f t="shared" si="33"/>
        <v>-2.3262173243320208E-2</v>
      </c>
      <c r="X79" s="86">
        <f t="shared" si="34"/>
        <v>2.6198383973983851E-2</v>
      </c>
      <c r="Y79" s="86">
        <f t="shared" si="35"/>
        <v>-2.4420472919589199E-3</v>
      </c>
      <c r="Z79" s="86">
        <f t="shared" si="36"/>
        <v>1.2168532319038442E-2</v>
      </c>
      <c r="AA79" s="86">
        <f t="shared" si="37"/>
        <v>-3.5904719867700255E-3</v>
      </c>
      <c r="AB79" s="304">
        <f t="shared" si="38"/>
        <v>-9.3706384766285861E-3</v>
      </c>
    </row>
    <row r="80" spans="2:28" x14ac:dyDescent="0.3">
      <c r="B80" s="271">
        <v>44007</v>
      </c>
      <c r="C80" s="292">
        <v>111.25</v>
      </c>
      <c r="D80" s="292">
        <v>418.45001200000002</v>
      </c>
      <c r="E80" s="292">
        <v>5693.65</v>
      </c>
      <c r="F80" s="292">
        <v>1028.75</v>
      </c>
      <c r="G80" s="292">
        <v>1689</v>
      </c>
      <c r="H80" s="292">
        <v>1717.900024</v>
      </c>
      <c r="I80" s="292">
        <v>27</v>
      </c>
      <c r="J80" s="197">
        <v>2173.1499020000001</v>
      </c>
      <c r="L80" s="297">
        <f t="shared" si="23"/>
        <v>1.6312097077477519E-2</v>
      </c>
      <c r="M80" s="298">
        <f t="shared" si="24"/>
        <v>-5.1239521644523604E-2</v>
      </c>
      <c r="N80" s="298">
        <f t="shared" si="25"/>
        <v>5.6449809750066093E-3</v>
      </c>
      <c r="O80" s="298">
        <f t="shared" si="26"/>
        <v>-3.6385728439082914E-3</v>
      </c>
      <c r="P80" s="298">
        <f t="shared" si="27"/>
        <v>-3.390648554943837E-2</v>
      </c>
      <c r="Q80" s="298">
        <f t="shared" si="28"/>
        <v>-5.7752185475851408E-3</v>
      </c>
      <c r="R80" s="298">
        <f t="shared" si="29"/>
        <v>-1.8501392881614773E-3</v>
      </c>
      <c r="S80" s="299">
        <f t="shared" si="30"/>
        <v>1.9914844912772942E-2</v>
      </c>
      <c r="U80" s="303">
        <f t="shared" si="31"/>
        <v>1.787080249798605E-2</v>
      </c>
      <c r="V80" s="86">
        <f t="shared" si="32"/>
        <v>-5.7337250342984238E-2</v>
      </c>
      <c r="W80" s="86">
        <f t="shared" si="33"/>
        <v>2.79647762994044E-3</v>
      </c>
      <c r="X80" s="86">
        <f t="shared" si="34"/>
        <v>-4.0099003564228004E-3</v>
      </c>
      <c r="Y80" s="86">
        <f t="shared" si="35"/>
        <v>-3.5015495541132001E-2</v>
      </c>
      <c r="Z80" s="86">
        <f t="shared" si="36"/>
        <v>-7.3370111467624911E-3</v>
      </c>
      <c r="AA80" s="86">
        <f t="shared" si="37"/>
        <v>3.8617813873820586E-3</v>
      </c>
      <c r="AB80" s="304">
        <f t="shared" si="38"/>
        <v>1.9302487036123382E-2</v>
      </c>
    </row>
    <row r="81" spans="2:28" x14ac:dyDescent="0.3">
      <c r="B81" s="271">
        <v>44006</v>
      </c>
      <c r="C81" s="292">
        <v>109.45</v>
      </c>
      <c r="D81" s="292">
        <v>440.45001200000002</v>
      </c>
      <c r="E81" s="292">
        <v>5661.6</v>
      </c>
      <c r="F81" s="292">
        <v>1032.5</v>
      </c>
      <c r="G81" s="292">
        <v>1747.25</v>
      </c>
      <c r="H81" s="292">
        <v>1727.849976</v>
      </c>
      <c r="I81" s="292">
        <v>27.05</v>
      </c>
      <c r="J81" s="197">
        <v>2130.3000489999999</v>
      </c>
      <c r="L81" s="297">
        <f t="shared" si="23"/>
        <v>-5.0125418235442863E-3</v>
      </c>
      <c r="M81" s="298">
        <f t="shared" si="24"/>
        <v>-5.1225165607120572E-2</v>
      </c>
      <c r="N81" s="298">
        <f t="shared" si="25"/>
        <v>-4.2448479469573586E-2</v>
      </c>
      <c r="O81" s="298">
        <f t="shared" si="26"/>
        <v>-9.4468109215046503E-3</v>
      </c>
      <c r="P81" s="298">
        <f t="shared" si="27"/>
        <v>3.6930591740975051E-2</v>
      </c>
      <c r="Q81" s="298">
        <f t="shared" si="28"/>
        <v>4.0304234334740839E-3</v>
      </c>
      <c r="R81" s="298">
        <f t="shared" si="29"/>
        <v>-1.8315530306432948E-2</v>
      </c>
      <c r="S81" s="299">
        <f t="shared" si="30"/>
        <v>-1.1968601079937925E-2</v>
      </c>
      <c r="U81" s="303">
        <f t="shared" si="31"/>
        <v>-3.4538364030357559E-3</v>
      </c>
      <c r="V81" s="86">
        <f t="shared" si="32"/>
        <v>-5.7322894305581205E-2</v>
      </c>
      <c r="W81" s="86">
        <f t="shared" si="33"/>
        <v>-4.5296982814639758E-2</v>
      </c>
      <c r="X81" s="86">
        <f t="shared" si="34"/>
        <v>-9.8181384340191597E-3</v>
      </c>
      <c r="Y81" s="86">
        <f t="shared" si="35"/>
        <v>3.582158174928142E-2</v>
      </c>
      <c r="Z81" s="86">
        <f t="shared" si="36"/>
        <v>2.4686308342967336E-3</v>
      </c>
      <c r="AA81" s="86">
        <f t="shared" si="37"/>
        <v>-1.2603609630889412E-2</v>
      </c>
      <c r="AB81" s="304">
        <f t="shared" si="38"/>
        <v>-1.2580958956587486E-2</v>
      </c>
    </row>
    <row r="82" spans="2:28" x14ac:dyDescent="0.3">
      <c r="B82" s="271">
        <v>44005</v>
      </c>
      <c r="C82" s="292">
        <v>110</v>
      </c>
      <c r="D82" s="292">
        <v>463.60000600000001</v>
      </c>
      <c r="E82" s="292">
        <v>5907.1</v>
      </c>
      <c r="F82" s="292">
        <v>1042.3000489999999</v>
      </c>
      <c r="G82" s="292">
        <v>1683.9</v>
      </c>
      <c r="H82" s="292">
        <v>1720.900024</v>
      </c>
      <c r="I82" s="292">
        <v>27.55</v>
      </c>
      <c r="J82" s="197">
        <v>2155.9499510000001</v>
      </c>
      <c r="L82" s="297">
        <f t="shared" si="23"/>
        <v>-4.5444218005443441E-4</v>
      </c>
      <c r="M82" s="298">
        <f t="shared" si="24"/>
        <v>4.85044248020653E-2</v>
      </c>
      <c r="N82" s="298">
        <f t="shared" si="25"/>
        <v>6.3060039204638971E-2</v>
      </c>
      <c r="O82" s="298">
        <f t="shared" si="26"/>
        <v>1.3085383765413022E-2</v>
      </c>
      <c r="P82" s="298">
        <f t="shared" si="27"/>
        <v>1.9035061625845409E-2</v>
      </c>
      <c r="Q82" s="298">
        <f t="shared" si="28"/>
        <v>-1.4565954389827126E-2</v>
      </c>
      <c r="R82" s="298">
        <f t="shared" si="29"/>
        <v>-7.2333045935199488E-3</v>
      </c>
      <c r="S82" s="299">
        <f t="shared" si="30"/>
        <v>2.591319106457117E-2</v>
      </c>
      <c r="U82" s="303">
        <f t="shared" si="31"/>
        <v>1.1042632404540957E-3</v>
      </c>
      <c r="V82" s="86">
        <f t="shared" si="32"/>
        <v>4.2406696103604667E-2</v>
      </c>
      <c r="W82" s="86">
        <f t="shared" si="33"/>
        <v>6.0211535859572798E-2</v>
      </c>
      <c r="X82" s="86">
        <f t="shared" si="34"/>
        <v>1.2714056252898513E-2</v>
      </c>
      <c r="Y82" s="86">
        <f t="shared" si="35"/>
        <v>1.7926051634151782E-2</v>
      </c>
      <c r="Z82" s="86">
        <f t="shared" si="36"/>
        <v>-1.6127746989004477E-2</v>
      </c>
      <c r="AA82" s="86">
        <f t="shared" si="37"/>
        <v>-1.521383917976413E-3</v>
      </c>
      <c r="AB82" s="304">
        <f t="shared" si="38"/>
        <v>2.5300833187921611E-2</v>
      </c>
    </row>
    <row r="83" spans="2:28" x14ac:dyDescent="0.3">
      <c r="B83" s="271">
        <v>44004</v>
      </c>
      <c r="C83" s="292">
        <v>110.05</v>
      </c>
      <c r="D83" s="292">
        <v>441.64999399999999</v>
      </c>
      <c r="E83" s="292">
        <v>5546.1</v>
      </c>
      <c r="F83" s="292">
        <v>1028.75</v>
      </c>
      <c r="G83" s="292">
        <v>1652.15</v>
      </c>
      <c r="H83" s="292">
        <v>1746.150024</v>
      </c>
      <c r="I83" s="292">
        <v>27.75</v>
      </c>
      <c r="J83" s="197">
        <v>2100.8000489999999</v>
      </c>
      <c r="L83" s="297">
        <f t="shared" si="23"/>
        <v>4.4596335409979766E-2</v>
      </c>
      <c r="M83" s="298">
        <f t="shared" si="24"/>
        <v>4.8716579872539835E-2</v>
      </c>
      <c r="N83" s="298">
        <f t="shared" si="25"/>
        <v>-2.5131849222645056E-2</v>
      </c>
      <c r="O83" s="298">
        <f t="shared" si="26"/>
        <v>-4.461455490602821E-3</v>
      </c>
      <c r="P83" s="298">
        <f t="shared" si="27"/>
        <v>1.8109300412172909E-2</v>
      </c>
      <c r="Q83" s="298">
        <f t="shared" si="28"/>
        <v>-7.5594773527048516E-3</v>
      </c>
      <c r="R83" s="298">
        <f t="shared" si="29"/>
        <v>-8.9686699827603751E-3</v>
      </c>
      <c r="S83" s="299">
        <f t="shared" si="30"/>
        <v>3.839257332813512E-3</v>
      </c>
      <c r="U83" s="303">
        <f t="shared" si="31"/>
        <v>4.6155040830488298E-2</v>
      </c>
      <c r="V83" s="86">
        <f t="shared" si="32"/>
        <v>4.2618851174079202E-2</v>
      </c>
      <c r="W83" s="86">
        <f t="shared" si="33"/>
        <v>-2.7980352567711225E-2</v>
      </c>
      <c r="X83" s="86">
        <f t="shared" si="34"/>
        <v>-4.8327830031173304E-3</v>
      </c>
      <c r="Y83" s="86">
        <f t="shared" si="35"/>
        <v>1.7000290420479281E-2</v>
      </c>
      <c r="Z83" s="86">
        <f t="shared" si="36"/>
        <v>-9.1212699518822028E-3</v>
      </c>
      <c r="AA83" s="86">
        <f t="shared" si="37"/>
        <v>-3.2567493072168394E-3</v>
      </c>
      <c r="AB83" s="304">
        <f t="shared" si="38"/>
        <v>3.2268994561639513E-3</v>
      </c>
    </row>
    <row r="84" spans="2:28" x14ac:dyDescent="0.3">
      <c r="B84" s="271">
        <v>44001</v>
      </c>
      <c r="C84" s="292">
        <v>105.25</v>
      </c>
      <c r="D84" s="292">
        <v>420.64999399999999</v>
      </c>
      <c r="E84" s="292">
        <v>5687.25</v>
      </c>
      <c r="F84" s="292">
        <v>1033.349976</v>
      </c>
      <c r="G84" s="292">
        <v>1622.5</v>
      </c>
      <c r="H84" s="292">
        <v>1759.400024</v>
      </c>
      <c r="I84" s="292">
        <v>28</v>
      </c>
      <c r="J84" s="197">
        <v>2092.75</v>
      </c>
      <c r="L84" s="297">
        <f t="shared" si="23"/>
        <v>-1.649036189941535E-2</v>
      </c>
      <c r="M84" s="298">
        <f t="shared" si="24"/>
        <v>4.8712906484767976E-2</v>
      </c>
      <c r="N84" s="298">
        <f t="shared" si="25"/>
        <v>2.139746292299784E-2</v>
      </c>
      <c r="O84" s="298">
        <f t="shared" si="26"/>
        <v>1.3052310247626396E-2</v>
      </c>
      <c r="P84" s="298">
        <f t="shared" si="27"/>
        <v>1.5340486530303645E-2</v>
      </c>
      <c r="Q84" s="298">
        <f t="shared" si="28"/>
        <v>6.0628173317520746E-2</v>
      </c>
      <c r="R84" s="298">
        <f t="shared" si="29"/>
        <v>0</v>
      </c>
      <c r="S84" s="299">
        <f t="shared" si="30"/>
        <v>1.3179239532091115E-2</v>
      </c>
      <c r="U84" s="303">
        <f t="shared" si="31"/>
        <v>-1.493165647890682E-2</v>
      </c>
      <c r="V84" s="86">
        <f t="shared" si="32"/>
        <v>4.2615177786307343E-2</v>
      </c>
      <c r="W84" s="86">
        <f t="shared" si="33"/>
        <v>1.8548959577931672E-2</v>
      </c>
      <c r="X84" s="86">
        <f t="shared" si="34"/>
        <v>1.2680982735111887E-2</v>
      </c>
      <c r="Y84" s="86">
        <f t="shared" si="35"/>
        <v>1.4231476538610016E-2</v>
      </c>
      <c r="Z84" s="86">
        <f t="shared" si="36"/>
        <v>5.9066380718343393E-2</v>
      </c>
      <c r="AA84" s="86">
        <f t="shared" si="37"/>
        <v>5.7119206755435357E-3</v>
      </c>
      <c r="AB84" s="304">
        <f t="shared" si="38"/>
        <v>1.2566881655441554E-2</v>
      </c>
    </row>
    <row r="85" spans="2:28" x14ac:dyDescent="0.3">
      <c r="B85" s="271">
        <v>44000</v>
      </c>
      <c r="C85" s="292">
        <v>107</v>
      </c>
      <c r="D85" s="292">
        <v>400.64999399999999</v>
      </c>
      <c r="E85" s="292">
        <v>5566.85</v>
      </c>
      <c r="F85" s="292">
        <v>1019.950012</v>
      </c>
      <c r="G85" s="292">
        <v>1597.8</v>
      </c>
      <c r="H85" s="292">
        <v>1655.900024</v>
      </c>
      <c r="I85" s="292">
        <v>28</v>
      </c>
      <c r="J85" s="197">
        <v>2065.3500979999999</v>
      </c>
      <c r="L85" s="297">
        <f t="shared" si="23"/>
        <v>4.6876109291286376E-2</v>
      </c>
      <c r="M85" s="298">
        <f t="shared" si="24"/>
        <v>4.8715257951012989E-2</v>
      </c>
      <c r="N85" s="298">
        <f t="shared" si="25"/>
        <v>4.1912747882825015E-2</v>
      </c>
      <c r="O85" s="298">
        <f t="shared" si="26"/>
        <v>4.0721924688315189E-2</v>
      </c>
      <c r="P85" s="298">
        <f t="shared" si="27"/>
        <v>1.5031945709123641E-3</v>
      </c>
      <c r="Q85" s="298">
        <f t="shared" si="28"/>
        <v>2.4793045556529072E-2</v>
      </c>
      <c r="R85" s="298">
        <f t="shared" si="29"/>
        <v>1.2578782206860185E-2</v>
      </c>
      <c r="S85" s="299">
        <f t="shared" si="30"/>
        <v>-6.2264424031228194E-3</v>
      </c>
      <c r="U85" s="303">
        <f t="shared" si="31"/>
        <v>4.8434814711794907E-2</v>
      </c>
      <c r="V85" s="86">
        <f t="shared" si="32"/>
        <v>4.2617529252552355E-2</v>
      </c>
      <c r="W85" s="86">
        <f t="shared" si="33"/>
        <v>3.9064244537758842E-2</v>
      </c>
      <c r="X85" s="86">
        <f t="shared" si="34"/>
        <v>4.0350597175800682E-2</v>
      </c>
      <c r="Y85" s="86">
        <f t="shared" si="35"/>
        <v>3.9418457921873516E-4</v>
      </c>
      <c r="Z85" s="86">
        <f t="shared" si="36"/>
        <v>2.3231252957351723E-2</v>
      </c>
      <c r="AA85" s="86">
        <f t="shared" si="37"/>
        <v>1.8290702882403722E-2</v>
      </c>
      <c r="AB85" s="304">
        <f t="shared" si="38"/>
        <v>-6.8388002797723805E-3</v>
      </c>
    </row>
    <row r="86" spans="2:28" x14ac:dyDescent="0.3">
      <c r="B86" s="271">
        <v>43999</v>
      </c>
      <c r="C86" s="292">
        <v>102.1</v>
      </c>
      <c r="D86" s="292">
        <v>381.60000600000001</v>
      </c>
      <c r="E86" s="292">
        <v>5338.35</v>
      </c>
      <c r="F86" s="292">
        <v>979.25</v>
      </c>
      <c r="G86" s="292">
        <v>1595.4</v>
      </c>
      <c r="H86" s="292">
        <v>1615.349976</v>
      </c>
      <c r="I86" s="292">
        <v>27.65</v>
      </c>
      <c r="J86" s="197">
        <v>2078.25</v>
      </c>
      <c r="L86" s="297">
        <f t="shared" si="23"/>
        <v>-1.6994825151501414E-2</v>
      </c>
      <c r="M86" s="298">
        <f t="shared" si="24"/>
        <v>4.8731186349836753E-2</v>
      </c>
      <c r="N86" s="298">
        <f t="shared" si="25"/>
        <v>6.568492148374557E-3</v>
      </c>
      <c r="O86" s="298">
        <f t="shared" si="26"/>
        <v>-1.1321953617023959E-2</v>
      </c>
      <c r="P86" s="298">
        <f t="shared" si="27"/>
        <v>-1.6350493248299586E-2</v>
      </c>
      <c r="Q86" s="298">
        <f t="shared" si="28"/>
        <v>-1.4537204601918752E-3</v>
      </c>
      <c r="R86" s="298">
        <f t="shared" si="29"/>
        <v>-2.6763417198816572E-2</v>
      </c>
      <c r="S86" s="299">
        <f t="shared" si="30"/>
        <v>9.1460168854907889E-4</v>
      </c>
      <c r="U86" s="303">
        <f t="shared" si="31"/>
        <v>-1.5436119730992884E-2</v>
      </c>
      <c r="V86" s="86">
        <f t="shared" si="32"/>
        <v>4.2633457651376119E-2</v>
      </c>
      <c r="W86" s="86">
        <f t="shared" si="33"/>
        <v>3.7199888033083877E-3</v>
      </c>
      <c r="X86" s="86">
        <f t="shared" si="34"/>
        <v>-1.1693281129538468E-2</v>
      </c>
      <c r="Y86" s="86">
        <f t="shared" si="35"/>
        <v>-1.7459503239993214E-2</v>
      </c>
      <c r="Z86" s="86">
        <f t="shared" si="36"/>
        <v>-3.0155130593692257E-3</v>
      </c>
      <c r="AA86" s="86">
        <f t="shared" si="37"/>
        <v>-2.1051496523273035E-2</v>
      </c>
      <c r="AB86" s="304">
        <f t="shared" si="38"/>
        <v>3.0224381189951799E-4</v>
      </c>
    </row>
    <row r="87" spans="2:28" x14ac:dyDescent="0.3">
      <c r="B87" s="271">
        <v>43998</v>
      </c>
      <c r="C87" s="292">
        <v>103.85</v>
      </c>
      <c r="D87" s="292">
        <v>363.45001200000002</v>
      </c>
      <c r="E87" s="292">
        <v>5303.4</v>
      </c>
      <c r="F87" s="292">
        <v>990.40002400000003</v>
      </c>
      <c r="G87" s="292">
        <v>1621.7</v>
      </c>
      <c r="H87" s="292">
        <v>1617.6999510000001</v>
      </c>
      <c r="I87" s="292">
        <v>28.4</v>
      </c>
      <c r="J87" s="197">
        <v>2076.3500979999999</v>
      </c>
      <c r="L87" s="297">
        <f t="shared" si="23"/>
        <v>1.4060837716713683E-2</v>
      </c>
      <c r="M87" s="298">
        <f t="shared" si="24"/>
        <v>4.8769579157056708E-2</v>
      </c>
      <c r="N87" s="298">
        <f t="shared" si="25"/>
        <v>2.1991202946774679E-3</v>
      </c>
      <c r="O87" s="298">
        <f t="shared" si="26"/>
        <v>4.18048740390543E-2</v>
      </c>
      <c r="P87" s="298">
        <f t="shared" si="27"/>
        <v>2.1605613515893289E-3</v>
      </c>
      <c r="Q87" s="298">
        <f t="shared" si="28"/>
        <v>1.9490466375741023E-3</v>
      </c>
      <c r="R87" s="298">
        <f t="shared" si="29"/>
        <v>-2.0906684819313712E-2</v>
      </c>
      <c r="S87" s="299">
        <f t="shared" si="30"/>
        <v>-3.8214992340681294E-3</v>
      </c>
      <c r="U87" s="303">
        <f t="shared" si="31"/>
        <v>1.5619543137222212E-2</v>
      </c>
      <c r="V87" s="86">
        <f t="shared" si="32"/>
        <v>4.2671850458596075E-2</v>
      </c>
      <c r="W87" s="86">
        <f t="shared" si="33"/>
        <v>-6.4938305038870136E-4</v>
      </c>
      <c r="X87" s="86">
        <f t="shared" si="34"/>
        <v>4.1433546526539793E-2</v>
      </c>
      <c r="Y87" s="86">
        <f t="shared" si="35"/>
        <v>1.0515513598957E-3</v>
      </c>
      <c r="Z87" s="86">
        <f t="shared" si="36"/>
        <v>3.8725403839675178E-4</v>
      </c>
      <c r="AA87" s="86">
        <f t="shared" si="37"/>
        <v>-1.5194764143770176E-2</v>
      </c>
      <c r="AB87" s="304">
        <f t="shared" si="38"/>
        <v>-4.4338571107176905E-3</v>
      </c>
    </row>
    <row r="88" spans="2:28" x14ac:dyDescent="0.3">
      <c r="B88" s="271">
        <v>43997</v>
      </c>
      <c r="C88" s="292">
        <v>102.4</v>
      </c>
      <c r="D88" s="292">
        <v>346.14999399999999</v>
      </c>
      <c r="E88" s="292">
        <v>5291.75</v>
      </c>
      <c r="F88" s="292">
        <v>949.84997599999997</v>
      </c>
      <c r="G88" s="292">
        <v>1618.2</v>
      </c>
      <c r="H88" s="292">
        <v>1614.5500489999999</v>
      </c>
      <c r="I88" s="292">
        <v>29</v>
      </c>
      <c r="J88" s="197">
        <v>2084.3000489999999</v>
      </c>
      <c r="L88" s="297">
        <f t="shared" si="23"/>
        <v>-8.7506635201854196E-3</v>
      </c>
      <c r="M88" s="298">
        <f t="shared" si="24"/>
        <v>2.8571279527625098E-2</v>
      </c>
      <c r="N88" s="298">
        <f t="shared" si="25"/>
        <v>6.1582939787810188E-2</v>
      </c>
      <c r="O88" s="298">
        <f t="shared" si="26"/>
        <v>-3.4050712178059363E-2</v>
      </c>
      <c r="P88" s="298">
        <f t="shared" si="27"/>
        <v>-1.1764660886416606E-2</v>
      </c>
      <c r="Q88" s="298">
        <f t="shared" si="28"/>
        <v>1.6077265276362194E-2</v>
      </c>
      <c r="R88" s="298">
        <f t="shared" si="29"/>
        <v>-1.7094433359300068E-2</v>
      </c>
      <c r="S88" s="299">
        <f t="shared" si="30"/>
        <v>-1.0950688920875031E-2</v>
      </c>
      <c r="U88" s="303">
        <f t="shared" si="31"/>
        <v>-7.1919580996768892E-3</v>
      </c>
      <c r="V88" s="86">
        <f t="shared" si="32"/>
        <v>2.2473550829164465E-2</v>
      </c>
      <c r="W88" s="86">
        <f t="shared" si="33"/>
        <v>5.8734436442744016E-2</v>
      </c>
      <c r="X88" s="86">
        <f t="shared" si="34"/>
        <v>-3.442203969057387E-2</v>
      </c>
      <c r="Y88" s="86">
        <f t="shared" si="35"/>
        <v>-1.2873670878110236E-2</v>
      </c>
      <c r="Z88" s="86">
        <f t="shared" si="36"/>
        <v>1.4515472677184843E-2</v>
      </c>
      <c r="AA88" s="86">
        <f t="shared" si="37"/>
        <v>-1.1382512683756531E-2</v>
      </c>
      <c r="AB88" s="304">
        <f t="shared" si="38"/>
        <v>-1.1563046797524592E-2</v>
      </c>
    </row>
    <row r="89" spans="2:28" x14ac:dyDescent="0.3">
      <c r="B89" s="271">
        <v>43994</v>
      </c>
      <c r="C89" s="292">
        <v>103.3</v>
      </c>
      <c r="D89" s="292">
        <v>336.39999399999999</v>
      </c>
      <c r="E89" s="292">
        <v>4975.7</v>
      </c>
      <c r="F89" s="292">
        <v>982.75</v>
      </c>
      <c r="G89" s="292">
        <v>1637.35</v>
      </c>
      <c r="H89" s="292">
        <v>1588.8000489999999</v>
      </c>
      <c r="I89" s="292">
        <v>29.5</v>
      </c>
      <c r="J89" s="197">
        <v>2107.25</v>
      </c>
      <c r="L89" s="297">
        <f t="shared" si="23"/>
        <v>2.2021932275962934E-2</v>
      </c>
      <c r="M89" s="298">
        <f t="shared" si="24"/>
        <v>1.3015386415296926E-2</v>
      </c>
      <c r="N89" s="298">
        <f t="shared" si="25"/>
        <v>-1.507212012318038E-4</v>
      </c>
      <c r="O89" s="298">
        <f t="shared" si="26"/>
        <v>1.4503059110871457E-2</v>
      </c>
      <c r="P89" s="298">
        <f t="shared" si="27"/>
        <v>1.6472300898711479E-2</v>
      </c>
      <c r="Q89" s="298">
        <f t="shared" si="28"/>
        <v>3.2691283475920659E-2</v>
      </c>
      <c r="R89" s="298">
        <f t="shared" si="29"/>
        <v>-1.0118130165584667E-2</v>
      </c>
      <c r="S89" s="299">
        <f t="shared" si="30"/>
        <v>1.6615355834354031E-4</v>
      </c>
      <c r="U89" s="303">
        <f t="shared" si="31"/>
        <v>2.3580637696471465E-2</v>
      </c>
      <c r="V89" s="86">
        <f t="shared" si="32"/>
        <v>6.9176577168362915E-3</v>
      </c>
      <c r="W89" s="86">
        <f t="shared" si="33"/>
        <v>-2.999224546297973E-3</v>
      </c>
      <c r="X89" s="86">
        <f t="shared" si="34"/>
        <v>1.4131731598356947E-2</v>
      </c>
      <c r="Y89" s="86">
        <f t="shared" si="35"/>
        <v>1.536329090701785E-2</v>
      </c>
      <c r="Z89" s="86">
        <f t="shared" si="36"/>
        <v>3.1129490876743309E-2</v>
      </c>
      <c r="AA89" s="86">
        <f t="shared" si="37"/>
        <v>-4.4062094900411313E-3</v>
      </c>
      <c r="AB89" s="304">
        <f t="shared" si="38"/>
        <v>-4.4620431830602061E-4</v>
      </c>
    </row>
    <row r="90" spans="2:28" x14ac:dyDescent="0.3">
      <c r="B90" s="271">
        <v>43993</v>
      </c>
      <c r="C90" s="292">
        <v>101.05</v>
      </c>
      <c r="D90" s="292">
        <v>332.04998799999998</v>
      </c>
      <c r="E90" s="292">
        <v>4976.45</v>
      </c>
      <c r="F90" s="292">
        <v>968.59997599999997</v>
      </c>
      <c r="G90" s="292">
        <v>1610.6</v>
      </c>
      <c r="H90" s="292">
        <v>1537.6999510000001</v>
      </c>
      <c r="I90" s="292">
        <v>29.8</v>
      </c>
      <c r="J90" s="197">
        <v>2106.8999020000001</v>
      </c>
      <c r="L90" s="297">
        <f t="shared" si="23"/>
        <v>-4.876660177030738E-2</v>
      </c>
      <c r="M90" s="298">
        <f t="shared" si="24"/>
        <v>1.1662308628525108E-2</v>
      </c>
      <c r="N90" s="298">
        <f t="shared" si="25"/>
        <v>-8.5836578168332709E-3</v>
      </c>
      <c r="O90" s="298">
        <f t="shared" si="26"/>
        <v>-2.3720156785811793E-2</v>
      </c>
      <c r="P90" s="298">
        <f t="shared" si="27"/>
        <v>-1.5616894987021616E-2</v>
      </c>
      <c r="Q90" s="298">
        <f t="shared" si="28"/>
        <v>-2.2156362894141753E-2</v>
      </c>
      <c r="R90" s="298">
        <f t="shared" si="29"/>
        <v>-1.9934214900817138E-2</v>
      </c>
      <c r="S90" s="299">
        <f t="shared" si="30"/>
        <v>-6.0098115344966825E-3</v>
      </c>
      <c r="U90" s="303">
        <f t="shared" si="31"/>
        <v>-4.7207896349798849E-2</v>
      </c>
      <c r="V90" s="86">
        <f t="shared" si="32"/>
        <v>5.5645799300644743E-3</v>
      </c>
      <c r="W90" s="86">
        <f t="shared" si="33"/>
        <v>-1.143216116189944E-2</v>
      </c>
      <c r="X90" s="86">
        <f t="shared" si="34"/>
        <v>-2.4091484298326301E-2</v>
      </c>
      <c r="Y90" s="86">
        <f t="shared" si="35"/>
        <v>-1.6725904978715244E-2</v>
      </c>
      <c r="Z90" s="86">
        <f t="shared" si="36"/>
        <v>-2.3718155493319102E-2</v>
      </c>
      <c r="AA90" s="86">
        <f t="shared" si="37"/>
        <v>-1.4222294225273602E-2</v>
      </c>
      <c r="AB90" s="304">
        <f t="shared" si="38"/>
        <v>-6.6221694111462436E-3</v>
      </c>
    </row>
    <row r="91" spans="2:28" x14ac:dyDescent="0.3">
      <c r="B91" s="271">
        <v>43992</v>
      </c>
      <c r="C91" s="292">
        <v>106.1</v>
      </c>
      <c r="D91" s="292">
        <v>328.20001200000002</v>
      </c>
      <c r="E91" s="292">
        <v>5019.3500000000004</v>
      </c>
      <c r="F91" s="292">
        <v>991.84997599999997</v>
      </c>
      <c r="G91" s="292">
        <v>1635.95</v>
      </c>
      <c r="H91" s="292">
        <v>1572.150024</v>
      </c>
      <c r="I91" s="292">
        <v>30.4</v>
      </c>
      <c r="J91" s="197">
        <v>2119.6000979999999</v>
      </c>
      <c r="L91" s="297">
        <f t="shared" si="23"/>
        <v>1.4238493989115019E-2</v>
      </c>
      <c r="M91" s="298">
        <f t="shared" si="24"/>
        <v>4.8698778037827156E-2</v>
      </c>
      <c r="N91" s="298">
        <f t="shared" si="25"/>
        <v>-4.2445180795997696E-3</v>
      </c>
      <c r="O91" s="298">
        <f t="shared" si="26"/>
        <v>4.5979295138665255E-3</v>
      </c>
      <c r="P91" s="298">
        <f t="shared" si="27"/>
        <v>-3.7217858702099402E-3</v>
      </c>
      <c r="Q91" s="298">
        <f t="shared" si="28"/>
        <v>2.2514056446890272E-2</v>
      </c>
      <c r="R91" s="298">
        <f t="shared" si="29"/>
        <v>1.8257768573564745E-2</v>
      </c>
      <c r="S91" s="299">
        <f t="shared" si="30"/>
        <v>6.1996354346734684E-3</v>
      </c>
      <c r="U91" s="303">
        <f t="shared" si="31"/>
        <v>1.5797199409623548E-2</v>
      </c>
      <c r="V91" s="86">
        <f t="shared" si="32"/>
        <v>4.2601049339366523E-2</v>
      </c>
      <c r="W91" s="86">
        <f t="shared" si="33"/>
        <v>-7.0930214246659393E-3</v>
      </c>
      <c r="X91" s="86">
        <f t="shared" si="34"/>
        <v>4.226602001352016E-3</v>
      </c>
      <c r="Y91" s="86">
        <f t="shared" si="35"/>
        <v>-4.8307958619035691E-3</v>
      </c>
      <c r="Z91" s="86">
        <f t="shared" si="36"/>
        <v>2.0952263847712923E-2</v>
      </c>
      <c r="AA91" s="86">
        <f t="shared" si="37"/>
        <v>2.3969689249108281E-2</v>
      </c>
      <c r="AB91" s="304">
        <f t="shared" si="38"/>
        <v>5.5872775580239073E-3</v>
      </c>
    </row>
    <row r="92" spans="2:28" x14ac:dyDescent="0.3">
      <c r="B92" s="271">
        <v>43991</v>
      </c>
      <c r="C92" s="292">
        <v>104.6</v>
      </c>
      <c r="D92" s="292">
        <v>312.60000600000001</v>
      </c>
      <c r="E92" s="292">
        <v>5040.7</v>
      </c>
      <c r="F92" s="292">
        <v>987.29998799999998</v>
      </c>
      <c r="G92" s="292">
        <v>1642.05</v>
      </c>
      <c r="H92" s="292">
        <v>1537.150024</v>
      </c>
      <c r="I92" s="292">
        <v>29.85</v>
      </c>
      <c r="J92" s="197">
        <v>2106.5</v>
      </c>
      <c r="L92" s="297">
        <f t="shared" si="23"/>
        <v>-4.7687262520829075E-3</v>
      </c>
      <c r="M92" s="298">
        <f t="shared" si="24"/>
        <v>4.8670228945824512E-2</v>
      </c>
      <c r="N92" s="298">
        <f t="shared" si="25"/>
        <v>6.0990662411039738E-3</v>
      </c>
      <c r="O92" s="298">
        <f t="shared" si="26"/>
        <v>-2.8556289258827999E-2</v>
      </c>
      <c r="P92" s="298">
        <f t="shared" si="27"/>
        <v>4.7614777258369705E-3</v>
      </c>
      <c r="Q92" s="298">
        <f t="shared" si="28"/>
        <v>-2.0827029178883696E-2</v>
      </c>
      <c r="R92" s="298">
        <f t="shared" si="29"/>
        <v>-2.481516911972402E-2</v>
      </c>
      <c r="S92" s="299">
        <f t="shared" si="30"/>
        <v>-2.4654846590705429E-3</v>
      </c>
      <c r="U92" s="303">
        <f t="shared" si="31"/>
        <v>-3.2100208315743771E-3</v>
      </c>
      <c r="V92" s="86">
        <f t="shared" si="32"/>
        <v>4.2572500247363879E-2</v>
      </c>
      <c r="W92" s="86">
        <f t="shared" si="33"/>
        <v>3.2505628960378045E-3</v>
      </c>
      <c r="X92" s="86">
        <f t="shared" si="34"/>
        <v>-2.8927616771342507E-2</v>
      </c>
      <c r="Y92" s="86">
        <f t="shared" si="35"/>
        <v>3.6524677341433416E-3</v>
      </c>
      <c r="Z92" s="86">
        <f t="shared" si="36"/>
        <v>-2.2388821778061046E-2</v>
      </c>
      <c r="AA92" s="86">
        <f t="shared" si="37"/>
        <v>-1.9103248444180484E-2</v>
      </c>
      <c r="AB92" s="304">
        <f t="shared" si="38"/>
        <v>-3.0778425357201036E-3</v>
      </c>
    </row>
    <row r="93" spans="2:28" x14ac:dyDescent="0.3">
      <c r="B93" s="271">
        <v>43990</v>
      </c>
      <c r="C93" s="292">
        <v>105.1</v>
      </c>
      <c r="D93" s="292">
        <v>297.75</v>
      </c>
      <c r="E93" s="292">
        <v>5010.05</v>
      </c>
      <c r="F93" s="292">
        <v>1015.900024</v>
      </c>
      <c r="G93" s="292">
        <v>1634.25</v>
      </c>
      <c r="H93" s="292">
        <v>1569.5</v>
      </c>
      <c r="I93" s="292">
        <v>30.6</v>
      </c>
      <c r="J93" s="197">
        <v>2111.6999510000001</v>
      </c>
      <c r="L93" s="297">
        <f t="shared" si="23"/>
        <v>-1.9011412570244187E-3</v>
      </c>
      <c r="M93" s="298">
        <f t="shared" si="24"/>
        <v>4.6400075604764071E-2</v>
      </c>
      <c r="N93" s="298">
        <f t="shared" si="25"/>
        <v>7.5876325236114638E-4</v>
      </c>
      <c r="O93" s="298">
        <f t="shared" si="26"/>
        <v>-1.7030985760010907E-2</v>
      </c>
      <c r="P93" s="298">
        <f t="shared" si="27"/>
        <v>-2.6277208960289074E-3</v>
      </c>
      <c r="Q93" s="298">
        <f t="shared" si="28"/>
        <v>-7.7430897081083401E-3</v>
      </c>
      <c r="R93" s="298">
        <f t="shared" si="29"/>
        <v>5.8890016004226456E-2</v>
      </c>
      <c r="S93" s="299">
        <f t="shared" si="30"/>
        <v>1.1478159365025851E-2</v>
      </c>
      <c r="U93" s="303">
        <f t="shared" si="31"/>
        <v>-3.4243583651588855E-4</v>
      </c>
      <c r="V93" s="86">
        <f t="shared" si="32"/>
        <v>4.0302346906303438E-2</v>
      </c>
      <c r="W93" s="86">
        <f t="shared" si="33"/>
        <v>-2.089740092705023E-3</v>
      </c>
      <c r="X93" s="86">
        <f t="shared" si="34"/>
        <v>-1.7402313272525415E-2</v>
      </c>
      <c r="Y93" s="86">
        <f t="shared" si="35"/>
        <v>-3.7367308877225363E-3</v>
      </c>
      <c r="Z93" s="86">
        <f t="shared" si="36"/>
        <v>-9.3048823072856904E-3</v>
      </c>
      <c r="AA93" s="86">
        <f t="shared" si="37"/>
        <v>6.4601936679769989E-2</v>
      </c>
      <c r="AB93" s="304">
        <f t="shared" si="38"/>
        <v>1.086580148837629E-2</v>
      </c>
    </row>
    <row r="94" spans="2:28" x14ac:dyDescent="0.3">
      <c r="B94" s="271">
        <v>43987</v>
      </c>
      <c r="C94" s="292">
        <v>105.3</v>
      </c>
      <c r="D94" s="292">
        <v>284.25</v>
      </c>
      <c r="E94" s="292">
        <v>5006.25</v>
      </c>
      <c r="F94" s="292">
        <v>1033.349976</v>
      </c>
      <c r="G94" s="292">
        <v>1638.55</v>
      </c>
      <c r="H94" s="292">
        <v>1581.6999510000001</v>
      </c>
      <c r="I94" s="292">
        <v>28.85</v>
      </c>
      <c r="J94" s="197">
        <v>2087.6000979999999</v>
      </c>
      <c r="L94" s="297">
        <f t="shared" si="23"/>
        <v>8.583743691391435E-3</v>
      </c>
      <c r="M94" s="298">
        <f t="shared" si="24"/>
        <v>3.6726026242575302E-2</v>
      </c>
      <c r="N94" s="298">
        <f t="shared" si="25"/>
        <v>-3.422409640659399E-2</v>
      </c>
      <c r="O94" s="298">
        <f t="shared" si="26"/>
        <v>3.1107359884529277E-2</v>
      </c>
      <c r="P94" s="298">
        <f t="shared" si="27"/>
        <v>2.9337184504360505E-3</v>
      </c>
      <c r="Q94" s="298">
        <f t="shared" si="28"/>
        <v>1.2018992432141092E-3</v>
      </c>
      <c r="R94" s="298">
        <f t="shared" si="29"/>
        <v>3.169279335300039E-2</v>
      </c>
      <c r="S94" s="299">
        <f t="shared" si="30"/>
        <v>-1.5683985991916609E-2</v>
      </c>
      <c r="U94" s="303">
        <f t="shared" si="31"/>
        <v>1.0142449111899965E-2</v>
      </c>
      <c r="V94" s="86">
        <f t="shared" si="32"/>
        <v>3.0628297544114669E-2</v>
      </c>
      <c r="W94" s="86">
        <f t="shared" si="33"/>
        <v>-3.7072599751660162E-2</v>
      </c>
      <c r="X94" s="86">
        <f t="shared" si="34"/>
        <v>3.073603237201477E-2</v>
      </c>
      <c r="Y94" s="86">
        <f t="shared" si="35"/>
        <v>1.8247084587424216E-3</v>
      </c>
      <c r="Z94" s="86">
        <f t="shared" si="36"/>
        <v>-3.5989335596324132E-4</v>
      </c>
      <c r="AA94" s="86">
        <f t="shared" si="37"/>
        <v>3.7404714028543923E-2</v>
      </c>
      <c r="AB94" s="304">
        <f t="shared" si="38"/>
        <v>-1.6296343868566168E-2</v>
      </c>
    </row>
    <row r="95" spans="2:28" x14ac:dyDescent="0.3">
      <c r="B95" s="271">
        <v>43986</v>
      </c>
      <c r="C95" s="292">
        <v>104.4</v>
      </c>
      <c r="D95" s="292">
        <v>274</v>
      </c>
      <c r="E95" s="292">
        <v>5180.55</v>
      </c>
      <c r="F95" s="292">
        <v>1001.700012</v>
      </c>
      <c r="G95" s="292">
        <v>1633.75</v>
      </c>
      <c r="H95" s="292">
        <v>1579.8000489999999</v>
      </c>
      <c r="I95" s="292">
        <v>27.95</v>
      </c>
      <c r="J95" s="197">
        <v>2120.6000979999999</v>
      </c>
      <c r="L95" s="297">
        <f t="shared" si="23"/>
        <v>7.6616272989289802E-2</v>
      </c>
      <c r="M95" s="298">
        <f t="shared" si="24"/>
        <v>5.4757324853546888E-4</v>
      </c>
      <c r="N95" s="298">
        <f t="shared" si="25"/>
        <v>-3.8696797273051448E-2</v>
      </c>
      <c r="O95" s="298">
        <f t="shared" si="26"/>
        <v>-2.0307511647398628E-2</v>
      </c>
      <c r="P95" s="298">
        <f t="shared" si="27"/>
        <v>-4.9438476576727237E-2</v>
      </c>
      <c r="Q95" s="298">
        <f t="shared" si="28"/>
        <v>2.4445000769999021E-2</v>
      </c>
      <c r="R95" s="298">
        <f t="shared" si="29"/>
        <v>0</v>
      </c>
      <c r="S95" s="299">
        <f t="shared" si="30"/>
        <v>4.7203790387051457E-5</v>
      </c>
      <c r="U95" s="303">
        <f t="shared" si="31"/>
        <v>7.8174978409798326E-2</v>
      </c>
      <c r="V95" s="86">
        <f t="shared" si="32"/>
        <v>-5.550155449925165E-3</v>
      </c>
      <c r="W95" s="86">
        <f t="shared" si="33"/>
        <v>-4.154530061811762E-2</v>
      </c>
      <c r="X95" s="86">
        <f t="shared" si="34"/>
        <v>-2.0678839159913136E-2</v>
      </c>
      <c r="Y95" s="86">
        <f t="shared" si="35"/>
        <v>-5.0547486568420869E-2</v>
      </c>
      <c r="Z95" s="86">
        <f t="shared" si="36"/>
        <v>2.2883208170821671E-2</v>
      </c>
      <c r="AA95" s="86">
        <f t="shared" si="37"/>
        <v>5.7119206755435357E-3</v>
      </c>
      <c r="AB95" s="304">
        <f t="shared" si="38"/>
        <v>-5.651540862625094E-4</v>
      </c>
    </row>
    <row r="96" spans="2:28" x14ac:dyDescent="0.3">
      <c r="B96" s="271">
        <v>43985</v>
      </c>
      <c r="C96" s="292">
        <v>96.7</v>
      </c>
      <c r="D96" s="292">
        <v>273.85000600000001</v>
      </c>
      <c r="E96" s="292">
        <v>5384.95</v>
      </c>
      <c r="F96" s="292">
        <v>1022.25</v>
      </c>
      <c r="G96" s="292">
        <v>1716.55</v>
      </c>
      <c r="H96" s="292">
        <v>1541.650024</v>
      </c>
      <c r="I96" s="292">
        <v>27.95</v>
      </c>
      <c r="J96" s="197">
        <v>2120.5</v>
      </c>
      <c r="L96" s="297">
        <f t="shared" si="23"/>
        <v>-2.0661164374718927E-3</v>
      </c>
      <c r="M96" s="298">
        <f t="shared" si="24"/>
        <v>3.6525200882413591E-4</v>
      </c>
      <c r="N96" s="298">
        <f t="shared" si="25"/>
        <v>3.5430284764146884E-2</v>
      </c>
      <c r="O96" s="298">
        <f t="shared" si="26"/>
        <v>2.1006579929531186E-2</v>
      </c>
      <c r="P96" s="298">
        <f t="shared" si="27"/>
        <v>4.2325325529365245E-3</v>
      </c>
      <c r="Q96" s="298">
        <f t="shared" si="28"/>
        <v>3.8670157525303216E-3</v>
      </c>
      <c r="R96" s="298">
        <f t="shared" si="29"/>
        <v>2.9040153221163649E-2</v>
      </c>
      <c r="S96" s="299">
        <f t="shared" si="30"/>
        <v>6.1969962520187875E-3</v>
      </c>
      <c r="U96" s="303">
        <f t="shared" si="31"/>
        <v>-5.074110169633625E-4</v>
      </c>
      <c r="V96" s="86">
        <f t="shared" si="32"/>
        <v>-5.7324766896364983E-3</v>
      </c>
      <c r="W96" s="86">
        <f t="shared" si="33"/>
        <v>3.2581781419080712E-2</v>
      </c>
      <c r="X96" s="86">
        <f t="shared" si="34"/>
        <v>2.0635252417016678E-2</v>
      </c>
      <c r="Y96" s="86">
        <f t="shared" si="35"/>
        <v>3.1235225612428956E-3</v>
      </c>
      <c r="Z96" s="86">
        <f t="shared" si="36"/>
        <v>2.3052231533529713E-3</v>
      </c>
      <c r="AA96" s="86">
        <f t="shared" si="37"/>
        <v>3.4752073896707182E-2</v>
      </c>
      <c r="AB96" s="304">
        <f t="shared" si="38"/>
        <v>5.5846383753692264E-3</v>
      </c>
    </row>
    <row r="97" spans="2:28" x14ac:dyDescent="0.3">
      <c r="B97" s="271">
        <v>43984</v>
      </c>
      <c r="C97" s="292">
        <v>96.9</v>
      </c>
      <c r="D97" s="292">
        <v>273.75</v>
      </c>
      <c r="E97" s="292">
        <v>5197.5</v>
      </c>
      <c r="F97" s="292">
        <v>1001</v>
      </c>
      <c r="G97" s="292">
        <v>1709.3</v>
      </c>
      <c r="H97" s="292">
        <v>1535.6999510000001</v>
      </c>
      <c r="I97" s="292">
        <v>27.15</v>
      </c>
      <c r="J97" s="197">
        <v>2107.3999020000001</v>
      </c>
      <c r="L97" s="297">
        <f t="shared" si="23"/>
        <v>3.4115090006622925E-2</v>
      </c>
      <c r="M97" s="298">
        <f t="shared" si="24"/>
        <v>4.8653187249828832E-2</v>
      </c>
      <c r="N97" s="298">
        <f t="shared" si="25"/>
        <v>2.8492511864381131E-2</v>
      </c>
      <c r="O97" s="298">
        <f t="shared" si="26"/>
        <v>1.3426371041104907E-2</v>
      </c>
      <c r="P97" s="298">
        <f t="shared" si="27"/>
        <v>9.4341708672093273E-3</v>
      </c>
      <c r="Q97" s="298">
        <f t="shared" si="28"/>
        <v>1.0045715518487354E-2</v>
      </c>
      <c r="R97" s="298">
        <f t="shared" si="29"/>
        <v>0</v>
      </c>
      <c r="S97" s="299">
        <f t="shared" si="30"/>
        <v>-5.4561702197624361E-4</v>
      </c>
      <c r="U97" s="303">
        <f t="shared" si="31"/>
        <v>3.5673795427131456E-2</v>
      </c>
      <c r="V97" s="86">
        <f t="shared" si="32"/>
        <v>4.2555458551368198E-2</v>
      </c>
      <c r="W97" s="86">
        <f t="shared" si="33"/>
        <v>2.5644008519314962E-2</v>
      </c>
      <c r="X97" s="86">
        <f t="shared" si="34"/>
        <v>1.3055043528590398E-2</v>
      </c>
      <c r="Y97" s="86">
        <f t="shared" si="35"/>
        <v>8.325160875515698E-3</v>
      </c>
      <c r="Z97" s="86">
        <f t="shared" si="36"/>
        <v>8.4839229193100028E-3</v>
      </c>
      <c r="AA97" s="86">
        <f t="shared" si="37"/>
        <v>5.7119206755435357E-3</v>
      </c>
      <c r="AB97" s="304">
        <f t="shared" si="38"/>
        <v>-1.1579748986258044E-3</v>
      </c>
    </row>
    <row r="98" spans="2:28" x14ac:dyDescent="0.3">
      <c r="B98" s="271">
        <v>43983</v>
      </c>
      <c r="C98" s="292">
        <v>93.65</v>
      </c>
      <c r="D98" s="292">
        <v>260.75</v>
      </c>
      <c r="E98" s="292">
        <v>5051.5</v>
      </c>
      <c r="F98" s="292">
        <v>987.65002400000003</v>
      </c>
      <c r="G98" s="292">
        <v>1693.25</v>
      </c>
      <c r="H98" s="292">
        <v>1520.349976</v>
      </c>
      <c r="I98" s="292">
        <v>27.15</v>
      </c>
      <c r="J98" s="197">
        <v>2108.5500489999999</v>
      </c>
      <c r="L98" s="297">
        <f t="shared" si="23"/>
        <v>1.560429832754932E-2</v>
      </c>
      <c r="M98" s="298">
        <f t="shared" si="24"/>
        <v>4.7716890669114394E-2</v>
      </c>
      <c r="N98" s="298">
        <f t="shared" si="25"/>
        <v>3.5401035335089592E-2</v>
      </c>
      <c r="O98" s="298">
        <f t="shared" si="26"/>
        <v>3.7131062920966941E-2</v>
      </c>
      <c r="P98" s="298">
        <f t="shared" si="27"/>
        <v>6.0124279628926119E-3</v>
      </c>
      <c r="Q98" s="298">
        <f t="shared" si="28"/>
        <v>3.7494937070839986E-2</v>
      </c>
      <c r="R98" s="298">
        <f t="shared" si="29"/>
        <v>1.1111225425070629E-2</v>
      </c>
      <c r="S98" s="299">
        <f t="shared" si="30"/>
        <v>2.45817361666338E-2</v>
      </c>
      <c r="U98" s="303">
        <f t="shared" si="31"/>
        <v>1.7163003748057851E-2</v>
      </c>
      <c r="V98" s="86">
        <f t="shared" si="32"/>
        <v>4.161916197065376E-2</v>
      </c>
      <c r="W98" s="86">
        <f t="shared" si="33"/>
        <v>3.255253199002342E-2</v>
      </c>
      <c r="X98" s="86">
        <f t="shared" si="34"/>
        <v>3.6759735408452433E-2</v>
      </c>
      <c r="Y98" s="86">
        <f t="shared" si="35"/>
        <v>4.9034179711989825E-3</v>
      </c>
      <c r="Z98" s="86">
        <f t="shared" si="36"/>
        <v>3.5933144471662633E-2</v>
      </c>
      <c r="AA98" s="86">
        <f t="shared" si="37"/>
        <v>1.6823146100614163E-2</v>
      </c>
      <c r="AB98" s="304">
        <f t="shared" si="38"/>
        <v>2.3969378289984241E-2</v>
      </c>
    </row>
    <row r="99" spans="2:28" x14ac:dyDescent="0.3">
      <c r="B99" s="271">
        <v>43980</v>
      </c>
      <c r="C99" s="292">
        <v>92.2</v>
      </c>
      <c r="D99" s="292">
        <v>248.60000600000001</v>
      </c>
      <c r="E99" s="292">
        <v>4875.8</v>
      </c>
      <c r="F99" s="292">
        <v>951.65002400000003</v>
      </c>
      <c r="G99" s="292">
        <v>1683.1</v>
      </c>
      <c r="H99" s="292">
        <v>1464.400024</v>
      </c>
      <c r="I99" s="292">
        <v>26.85</v>
      </c>
      <c r="J99" s="197">
        <v>2057.3500979999999</v>
      </c>
      <c r="L99" s="297">
        <f t="shared" si="23"/>
        <v>2.4706170166005948E-2</v>
      </c>
      <c r="M99" s="298">
        <f t="shared" si="24"/>
        <v>1.0513667279404599E-2</v>
      </c>
      <c r="N99" s="298">
        <f t="shared" si="25"/>
        <v>5.1079587116048888E-2</v>
      </c>
      <c r="O99" s="298">
        <f t="shared" si="26"/>
        <v>6.7479025821062947E-3</v>
      </c>
      <c r="P99" s="298">
        <f t="shared" si="27"/>
        <v>2.3748373122865776E-2</v>
      </c>
      <c r="Q99" s="298">
        <f t="shared" si="28"/>
        <v>-5.3462241896343231E-3</v>
      </c>
      <c r="R99" s="298">
        <f t="shared" si="29"/>
        <v>-5.5710450494553601E-3</v>
      </c>
      <c r="S99" s="299">
        <f t="shared" si="30"/>
        <v>2.3308972774857804E-2</v>
      </c>
      <c r="U99" s="303">
        <f t="shared" si="31"/>
        <v>2.6264875586514479E-2</v>
      </c>
      <c r="V99" s="86">
        <f t="shared" si="32"/>
        <v>4.4159385809439651E-3</v>
      </c>
      <c r="W99" s="86">
        <f t="shared" si="33"/>
        <v>4.8231083770982716E-2</v>
      </c>
      <c r="X99" s="86">
        <f t="shared" si="34"/>
        <v>6.3765750695917852E-3</v>
      </c>
      <c r="Y99" s="86">
        <f t="shared" si="35"/>
        <v>2.2639363131172149E-2</v>
      </c>
      <c r="Z99" s="86">
        <f t="shared" si="36"/>
        <v>-6.9080167888116734E-3</v>
      </c>
      <c r="AA99" s="86">
        <f t="shared" si="37"/>
        <v>1.408756260881756E-4</v>
      </c>
      <c r="AB99" s="304">
        <f t="shared" si="38"/>
        <v>2.2696614898208244E-2</v>
      </c>
    </row>
    <row r="100" spans="2:28" x14ac:dyDescent="0.3">
      <c r="B100" s="271">
        <v>43979</v>
      </c>
      <c r="C100" s="292">
        <v>89.95</v>
      </c>
      <c r="D100" s="292">
        <v>246</v>
      </c>
      <c r="E100" s="292">
        <v>4633</v>
      </c>
      <c r="F100" s="292">
        <v>945.25</v>
      </c>
      <c r="G100" s="292">
        <v>1643.6</v>
      </c>
      <c r="H100" s="292">
        <v>1472.25</v>
      </c>
      <c r="I100" s="292">
        <v>27</v>
      </c>
      <c r="J100" s="197">
        <v>2009.9499510000001</v>
      </c>
      <c r="L100" s="297">
        <f t="shared" si="23"/>
        <v>2.3054155705410737E-2</v>
      </c>
      <c r="M100" s="298">
        <f t="shared" si="24"/>
        <v>1.3917514690344151E-2</v>
      </c>
      <c r="N100" s="298">
        <f t="shared" si="25"/>
        <v>1.7714801846051474E-2</v>
      </c>
      <c r="O100" s="298">
        <f t="shared" si="26"/>
        <v>4.5007298930439629E-2</v>
      </c>
      <c r="P100" s="298">
        <f t="shared" si="27"/>
        <v>1.480237260093268E-2</v>
      </c>
      <c r="Q100" s="298">
        <f t="shared" si="28"/>
        <v>1.83019369621421E-2</v>
      </c>
      <c r="R100" s="298">
        <f t="shared" si="29"/>
        <v>-2.1978906718775341E-2</v>
      </c>
      <c r="S100" s="299">
        <f t="shared" si="30"/>
        <v>5.9131047484352415E-3</v>
      </c>
      <c r="U100" s="303">
        <f t="shared" si="31"/>
        <v>2.4612861125919268E-2</v>
      </c>
      <c r="V100" s="86">
        <f t="shared" si="32"/>
        <v>7.8197859918835155E-3</v>
      </c>
      <c r="W100" s="86">
        <f t="shared" si="33"/>
        <v>1.4866298500985305E-2</v>
      </c>
      <c r="X100" s="86">
        <f t="shared" si="34"/>
        <v>4.4635971417925122E-2</v>
      </c>
      <c r="Y100" s="86">
        <f t="shared" si="35"/>
        <v>1.369336260923905E-2</v>
      </c>
      <c r="Z100" s="86">
        <f t="shared" si="36"/>
        <v>1.674014436296475E-2</v>
      </c>
      <c r="AA100" s="86">
        <f t="shared" si="37"/>
        <v>-1.6266986043231804E-2</v>
      </c>
      <c r="AB100" s="304">
        <f t="shared" si="38"/>
        <v>5.3007468717856804E-3</v>
      </c>
    </row>
    <row r="101" spans="2:28" x14ac:dyDescent="0.3">
      <c r="B101" s="271">
        <v>43978</v>
      </c>
      <c r="C101" s="292">
        <v>87.9</v>
      </c>
      <c r="D101" s="292">
        <v>242.60000600000001</v>
      </c>
      <c r="E101" s="292">
        <v>4551.6499999999996</v>
      </c>
      <c r="F101" s="292">
        <v>903.65002400000003</v>
      </c>
      <c r="G101" s="292">
        <v>1619.45</v>
      </c>
      <c r="H101" s="292">
        <v>1445.5500489999999</v>
      </c>
      <c r="I101" s="292">
        <v>27.6</v>
      </c>
      <c r="J101" s="197">
        <v>1998.099976</v>
      </c>
      <c r="L101" s="297">
        <f t="shared" si="23"/>
        <v>0</v>
      </c>
      <c r="M101" s="298">
        <f t="shared" si="24"/>
        <v>1.11918764067912E-2</v>
      </c>
      <c r="N101" s="298">
        <f t="shared" si="25"/>
        <v>1.1423518985025822E-2</v>
      </c>
      <c r="O101" s="298">
        <f t="shared" si="26"/>
        <v>5.8386215460345635E-2</v>
      </c>
      <c r="P101" s="298">
        <f t="shared" si="27"/>
        <v>-6.4014006180910053E-3</v>
      </c>
      <c r="Q101" s="298">
        <f t="shared" si="28"/>
        <v>1.4984946738587458E-2</v>
      </c>
      <c r="R101" s="298">
        <f t="shared" si="29"/>
        <v>7.2727593290798781E-3</v>
      </c>
      <c r="S101" s="299">
        <f t="shared" si="30"/>
        <v>1.0211576383783267E-2</v>
      </c>
      <c r="U101" s="303">
        <f t="shared" si="31"/>
        <v>1.5587054205085302E-3</v>
      </c>
      <c r="V101" s="86">
        <f t="shared" si="32"/>
        <v>5.0941477083305655E-3</v>
      </c>
      <c r="W101" s="86">
        <f t="shared" si="33"/>
        <v>8.575015639959653E-3</v>
      </c>
      <c r="X101" s="86">
        <f t="shared" si="34"/>
        <v>5.8014887947831127E-2</v>
      </c>
      <c r="Y101" s="86">
        <f t="shared" si="35"/>
        <v>-7.5104106097846346E-3</v>
      </c>
      <c r="Z101" s="86">
        <f t="shared" si="36"/>
        <v>1.3423154139410106E-2</v>
      </c>
      <c r="AA101" s="86">
        <f t="shared" si="37"/>
        <v>1.2984680004623415E-2</v>
      </c>
      <c r="AB101" s="304">
        <f t="shared" si="38"/>
        <v>9.5992185071337062E-3</v>
      </c>
    </row>
    <row r="102" spans="2:28" x14ac:dyDescent="0.3">
      <c r="B102" s="271">
        <v>43977</v>
      </c>
      <c r="C102" s="292">
        <v>87.9</v>
      </c>
      <c r="D102" s="292">
        <v>239.89999399999999</v>
      </c>
      <c r="E102" s="292">
        <v>4499.95</v>
      </c>
      <c r="F102" s="292">
        <v>852.40002400000003</v>
      </c>
      <c r="G102" s="292">
        <v>1629.85</v>
      </c>
      <c r="H102" s="292">
        <v>1424.0500489999999</v>
      </c>
      <c r="I102" s="292">
        <v>27.4</v>
      </c>
      <c r="J102" s="197">
        <v>1977.8000489999999</v>
      </c>
      <c r="L102" s="297">
        <f t="shared" si="23"/>
        <v>-1.3559529785632138E-2</v>
      </c>
      <c r="M102" s="298">
        <f t="shared" si="24"/>
        <v>1.0426442660990971E-3</v>
      </c>
      <c r="N102" s="298">
        <f t="shared" si="25"/>
        <v>3.5639094945021293E-2</v>
      </c>
      <c r="O102" s="298">
        <f t="shared" si="26"/>
        <v>1.6024050774445898E-2</v>
      </c>
      <c r="P102" s="298">
        <f t="shared" si="27"/>
        <v>7.358974015121927E-3</v>
      </c>
      <c r="Q102" s="298">
        <f t="shared" si="28"/>
        <v>-5.2528484296559862E-3</v>
      </c>
      <c r="R102" s="298">
        <f t="shared" si="29"/>
        <v>3.1513265706076592E-2</v>
      </c>
      <c r="S102" s="299">
        <f t="shared" si="30"/>
        <v>-5.0936766026248945E-3</v>
      </c>
      <c r="U102" s="303">
        <f t="shared" si="31"/>
        <v>-1.2000824365123609E-2</v>
      </c>
      <c r="V102" s="86">
        <f t="shared" si="32"/>
        <v>-5.0550844323615368E-3</v>
      </c>
      <c r="W102" s="86">
        <f t="shared" si="33"/>
        <v>3.2790591599955121E-2</v>
      </c>
      <c r="X102" s="86">
        <f t="shared" si="34"/>
        <v>1.565272326193139E-2</v>
      </c>
      <c r="Y102" s="86">
        <f t="shared" si="35"/>
        <v>6.2499640234282977E-3</v>
      </c>
      <c r="Z102" s="86">
        <f t="shared" si="36"/>
        <v>-6.8146410288333365E-3</v>
      </c>
      <c r="AA102" s="86">
        <f t="shared" si="37"/>
        <v>3.7225186381620125E-2</v>
      </c>
      <c r="AB102" s="304">
        <f t="shared" si="38"/>
        <v>-5.7060344792744556E-3</v>
      </c>
    </row>
    <row r="103" spans="2:28" x14ac:dyDescent="0.3">
      <c r="B103" s="271">
        <v>43973</v>
      </c>
      <c r="C103" s="292">
        <v>89.1</v>
      </c>
      <c r="D103" s="292">
        <v>239.64999399999999</v>
      </c>
      <c r="E103" s="292">
        <v>4342.3999999999996</v>
      </c>
      <c r="F103" s="292">
        <v>838.84997599999997</v>
      </c>
      <c r="G103" s="292">
        <v>1617.9</v>
      </c>
      <c r="H103" s="292">
        <v>1431.5500489999999</v>
      </c>
      <c r="I103" s="292">
        <v>26.55</v>
      </c>
      <c r="J103" s="197">
        <v>1987.900024</v>
      </c>
      <c r="L103" s="297">
        <f t="shared" si="23"/>
        <v>-1.227009259181447E-2</v>
      </c>
      <c r="M103" s="298">
        <f t="shared" si="24"/>
        <v>1.9168519502049973E-2</v>
      </c>
      <c r="N103" s="298">
        <f t="shared" si="25"/>
        <v>1.0673003487783274E-2</v>
      </c>
      <c r="O103" s="298">
        <f t="shared" si="26"/>
        <v>-2.4377104920897789E-2</v>
      </c>
      <c r="P103" s="298">
        <f t="shared" si="27"/>
        <v>2.7318282990707748E-2</v>
      </c>
      <c r="Q103" s="298">
        <f t="shared" si="28"/>
        <v>-6.7529850296620224E-3</v>
      </c>
      <c r="R103" s="298">
        <f t="shared" si="29"/>
        <v>-1.3096538919845456E-2</v>
      </c>
      <c r="S103" s="299">
        <f t="shared" si="30"/>
        <v>8.5885138378909587E-3</v>
      </c>
      <c r="U103" s="303">
        <f t="shared" si="31"/>
        <v>-1.0711387171305941E-2</v>
      </c>
      <c r="V103" s="86">
        <f t="shared" si="32"/>
        <v>1.307079080358934E-2</v>
      </c>
      <c r="W103" s="86">
        <f t="shared" si="33"/>
        <v>7.8245001427171054E-3</v>
      </c>
      <c r="X103" s="86">
        <f t="shared" si="34"/>
        <v>-2.4748432433412296E-2</v>
      </c>
      <c r="Y103" s="86">
        <f t="shared" si="35"/>
        <v>2.620927299901412E-2</v>
      </c>
      <c r="Z103" s="86">
        <f t="shared" si="36"/>
        <v>-8.3147776288393736E-3</v>
      </c>
      <c r="AA103" s="86">
        <f t="shared" si="37"/>
        <v>-7.3846182443019206E-3</v>
      </c>
      <c r="AB103" s="304">
        <f t="shared" si="38"/>
        <v>7.9761559612413976E-3</v>
      </c>
    </row>
    <row r="104" spans="2:28" x14ac:dyDescent="0.3">
      <c r="B104" s="271">
        <v>43972</v>
      </c>
      <c r="C104" s="292">
        <v>90.2</v>
      </c>
      <c r="D104" s="292">
        <v>235.10000600000001</v>
      </c>
      <c r="E104" s="292">
        <v>4296.3</v>
      </c>
      <c r="F104" s="292">
        <v>859.54998799999998</v>
      </c>
      <c r="G104" s="292">
        <v>1574.3</v>
      </c>
      <c r="H104" s="292">
        <v>1441.25</v>
      </c>
      <c r="I104" s="292">
        <v>26.9</v>
      </c>
      <c r="J104" s="197">
        <v>1970.900024</v>
      </c>
      <c r="L104" s="297">
        <f t="shared" si="23"/>
        <v>1.8462062839735571E-2</v>
      </c>
      <c r="M104" s="298">
        <f t="shared" si="24"/>
        <v>1.7028909923759352E-3</v>
      </c>
      <c r="N104" s="298">
        <f t="shared" si="25"/>
        <v>-2.1768643042037485E-2</v>
      </c>
      <c r="O104" s="298">
        <f t="shared" si="26"/>
        <v>2.8544126232722977E-3</v>
      </c>
      <c r="P104" s="298">
        <f t="shared" si="27"/>
        <v>4.8312288152491722E-2</v>
      </c>
      <c r="Q104" s="298">
        <f t="shared" si="28"/>
        <v>5.2523115083505795E-3</v>
      </c>
      <c r="R104" s="298">
        <f t="shared" si="29"/>
        <v>-9.2507597721509984E-3</v>
      </c>
      <c r="S104" s="299">
        <f t="shared" si="30"/>
        <v>-1.0071367769675063E-2</v>
      </c>
      <c r="U104" s="303">
        <f t="shared" si="31"/>
        <v>2.0020768260244102E-2</v>
      </c>
      <c r="V104" s="86">
        <f t="shared" si="32"/>
        <v>-4.3948377060846989E-3</v>
      </c>
      <c r="W104" s="86">
        <f t="shared" si="33"/>
        <v>-2.4617146387103654E-2</v>
      </c>
      <c r="X104" s="86">
        <f t="shared" si="34"/>
        <v>2.4830851107577883E-3</v>
      </c>
      <c r="Y104" s="86">
        <f t="shared" si="35"/>
        <v>4.7203278160798091E-2</v>
      </c>
      <c r="Z104" s="86">
        <f t="shared" si="36"/>
        <v>3.6905189091732292E-3</v>
      </c>
      <c r="AA104" s="86">
        <f t="shared" si="37"/>
        <v>-3.5388390966074627E-3</v>
      </c>
      <c r="AB104" s="304">
        <f t="shared" si="38"/>
        <v>-1.0683725646324624E-2</v>
      </c>
    </row>
    <row r="105" spans="2:28" x14ac:dyDescent="0.3">
      <c r="B105" s="271">
        <v>43971</v>
      </c>
      <c r="C105" s="292">
        <v>88.55</v>
      </c>
      <c r="D105" s="292">
        <v>234.699997</v>
      </c>
      <c r="E105" s="292">
        <v>4390.8500000000004</v>
      </c>
      <c r="F105" s="292">
        <v>857.09997599999997</v>
      </c>
      <c r="G105" s="292">
        <v>1500.05</v>
      </c>
      <c r="H105" s="292">
        <v>1433.6999510000001</v>
      </c>
      <c r="I105" s="292">
        <v>27.15</v>
      </c>
      <c r="J105" s="197">
        <v>1990.849976</v>
      </c>
      <c r="L105" s="297">
        <f t="shared" si="23"/>
        <v>-1.6242306101422598E-2</v>
      </c>
      <c r="M105" s="298">
        <f t="shared" si="24"/>
        <v>4.4838466077026301E-3</v>
      </c>
      <c r="N105" s="298">
        <f t="shared" si="25"/>
        <v>2.050091356153699E-2</v>
      </c>
      <c r="O105" s="298">
        <f t="shared" si="26"/>
        <v>3.1346014177913752E-2</v>
      </c>
      <c r="P105" s="298">
        <f t="shared" si="27"/>
        <v>-2.5965394082259319E-3</v>
      </c>
      <c r="Q105" s="298">
        <f t="shared" si="28"/>
        <v>1.7449205981121364E-2</v>
      </c>
      <c r="R105" s="298">
        <f t="shared" si="29"/>
        <v>-9.1659670140800571E-3</v>
      </c>
      <c r="S105" s="299">
        <f t="shared" si="30"/>
        <v>7.7148057628420134E-3</v>
      </c>
      <c r="U105" s="303">
        <f t="shared" si="31"/>
        <v>-1.4683600680914068E-2</v>
      </c>
      <c r="V105" s="86">
        <f t="shared" si="32"/>
        <v>-1.6138820907580041E-3</v>
      </c>
      <c r="W105" s="86">
        <f t="shared" si="33"/>
        <v>1.7652410216470821E-2</v>
      </c>
      <c r="X105" s="86">
        <f t="shared" si="34"/>
        <v>3.0974686665399244E-2</v>
      </c>
      <c r="Y105" s="86">
        <f t="shared" si="35"/>
        <v>-3.7055493999195608E-3</v>
      </c>
      <c r="Z105" s="86">
        <f t="shared" si="36"/>
        <v>1.5887413381944014E-2</v>
      </c>
      <c r="AA105" s="86">
        <f t="shared" si="37"/>
        <v>-3.4540463385365214E-3</v>
      </c>
      <c r="AB105" s="304">
        <f t="shared" si="38"/>
        <v>7.1024478861924523E-3</v>
      </c>
    </row>
    <row r="106" spans="2:28" x14ac:dyDescent="0.3">
      <c r="B106" s="271">
        <v>43970</v>
      </c>
      <c r="C106" s="292">
        <v>90</v>
      </c>
      <c r="D106" s="292">
        <v>233.64999399999999</v>
      </c>
      <c r="E106" s="292">
        <v>4301.75</v>
      </c>
      <c r="F106" s="292">
        <v>830.65002400000003</v>
      </c>
      <c r="G106" s="292">
        <v>1503.95</v>
      </c>
      <c r="H106" s="292">
        <v>1408.900024</v>
      </c>
      <c r="I106" s="292">
        <v>27.4</v>
      </c>
      <c r="J106" s="197">
        <v>1975.5500489999999</v>
      </c>
      <c r="L106" s="297">
        <f t="shared" si="23"/>
        <v>-2.7398974188114388E-2</v>
      </c>
      <c r="M106" s="298">
        <f t="shared" si="24"/>
        <v>1.9011132330425441E-2</v>
      </c>
      <c r="N106" s="298">
        <f t="shared" si="25"/>
        <v>1.059818406569072E-2</v>
      </c>
      <c r="O106" s="298">
        <f t="shared" si="26"/>
        <v>-7.1972959008896461E-3</v>
      </c>
      <c r="P106" s="298">
        <f t="shared" si="27"/>
        <v>1.896807610186995E-3</v>
      </c>
      <c r="Q106" s="298">
        <f t="shared" si="28"/>
        <v>-2.2354536222978914E-2</v>
      </c>
      <c r="R106" s="298">
        <f t="shared" si="29"/>
        <v>-5.459522204898982E-3</v>
      </c>
      <c r="S106" s="299">
        <f t="shared" si="30"/>
        <v>-1.4921875864574283E-2</v>
      </c>
      <c r="U106" s="303">
        <f t="shared" si="31"/>
        <v>-2.5840268767605857E-2</v>
      </c>
      <c r="V106" s="86">
        <f t="shared" si="32"/>
        <v>1.2913403631964807E-2</v>
      </c>
      <c r="W106" s="86">
        <f t="shared" si="33"/>
        <v>7.7496807206245515E-3</v>
      </c>
      <c r="X106" s="86">
        <f t="shared" si="34"/>
        <v>-7.5686234134041555E-3</v>
      </c>
      <c r="Y106" s="86">
        <f t="shared" si="35"/>
        <v>7.8779761849336613E-4</v>
      </c>
      <c r="Z106" s="86">
        <f t="shared" si="36"/>
        <v>-2.3916328822156264E-2</v>
      </c>
      <c r="AA106" s="86">
        <f t="shared" si="37"/>
        <v>2.5239847064455374E-4</v>
      </c>
      <c r="AB106" s="304">
        <f t="shared" si="38"/>
        <v>-1.5534233741223844E-2</v>
      </c>
    </row>
    <row r="107" spans="2:28" x14ac:dyDescent="0.3">
      <c r="B107" s="271">
        <v>43969</v>
      </c>
      <c r="C107" s="292">
        <v>92.5</v>
      </c>
      <c r="D107" s="292">
        <v>229.25</v>
      </c>
      <c r="E107" s="292">
        <v>4256.3999999999996</v>
      </c>
      <c r="F107" s="292">
        <v>836.65002400000003</v>
      </c>
      <c r="G107" s="292">
        <v>1501.1</v>
      </c>
      <c r="H107" s="292">
        <v>1440.75</v>
      </c>
      <c r="I107" s="292">
        <v>27.55</v>
      </c>
      <c r="J107" s="197">
        <v>2005.25</v>
      </c>
      <c r="L107" s="297">
        <f t="shared" si="23"/>
        <v>-4.8530696490735889E-3</v>
      </c>
      <c r="M107" s="298">
        <f t="shared" si="24"/>
        <v>-4.3525639988419981E-3</v>
      </c>
      <c r="N107" s="298">
        <f t="shared" si="25"/>
        <v>-3.4622949770935108E-2</v>
      </c>
      <c r="O107" s="298">
        <f t="shared" si="26"/>
        <v>-5.9734823041944267E-2</v>
      </c>
      <c r="P107" s="298">
        <f t="shared" si="27"/>
        <v>-3.3958175214101501E-2</v>
      </c>
      <c r="Q107" s="298">
        <f t="shared" si="28"/>
        <v>-1.2861597459858293E-2</v>
      </c>
      <c r="R107" s="298">
        <f t="shared" si="29"/>
        <v>-4.0894587166651938E-2</v>
      </c>
      <c r="S107" s="299">
        <f t="shared" si="30"/>
        <v>-1.3300988028421074E-2</v>
      </c>
      <c r="U107" s="303">
        <f t="shared" si="31"/>
        <v>-3.2943642285650585E-3</v>
      </c>
      <c r="V107" s="86">
        <f t="shared" si="32"/>
        <v>-1.0450292697302632E-2</v>
      </c>
      <c r="W107" s="86">
        <f t="shared" si="33"/>
        <v>-3.747145311600128E-2</v>
      </c>
      <c r="X107" s="86">
        <f t="shared" si="34"/>
        <v>-6.0106150554458775E-2</v>
      </c>
      <c r="Y107" s="86">
        <f t="shared" si="35"/>
        <v>-3.5067185205795132E-2</v>
      </c>
      <c r="Z107" s="86">
        <f t="shared" si="36"/>
        <v>-1.4423390059035644E-2</v>
      </c>
      <c r="AA107" s="86">
        <f t="shared" si="37"/>
        <v>-3.5182666491108405E-2</v>
      </c>
      <c r="AB107" s="304">
        <f t="shared" si="38"/>
        <v>-1.3913345905070635E-2</v>
      </c>
    </row>
    <row r="108" spans="2:28" x14ac:dyDescent="0.3">
      <c r="B108" s="271">
        <v>43966</v>
      </c>
      <c r="C108" s="292">
        <v>92.95</v>
      </c>
      <c r="D108" s="292">
        <v>230.25</v>
      </c>
      <c r="E108" s="292">
        <v>4406.3500000000004</v>
      </c>
      <c r="F108" s="292">
        <v>888.15002400000003</v>
      </c>
      <c r="G108" s="292">
        <v>1552.95</v>
      </c>
      <c r="H108" s="292">
        <v>1459.400024</v>
      </c>
      <c r="I108" s="292">
        <v>28.7</v>
      </c>
      <c r="J108" s="197">
        <v>2032.099976</v>
      </c>
      <c r="L108" s="297">
        <f t="shared" si="23"/>
        <v>4.1741369858303554E-2</v>
      </c>
      <c r="M108" s="298">
        <f t="shared" si="24"/>
        <v>7.4106572314322945E-3</v>
      </c>
      <c r="N108" s="298">
        <f t="shared" si="25"/>
        <v>2.0404894248942321E-2</v>
      </c>
      <c r="O108" s="298">
        <f t="shared" si="26"/>
        <v>-6.2294871463139615E-3</v>
      </c>
      <c r="P108" s="298">
        <f t="shared" si="27"/>
        <v>1.9868310898292097E-2</v>
      </c>
      <c r="Q108" s="298">
        <f t="shared" si="28"/>
        <v>1.61987918399135E-2</v>
      </c>
      <c r="R108" s="298">
        <f t="shared" si="29"/>
        <v>1.7575144821507491E-2</v>
      </c>
      <c r="S108" s="299">
        <f t="shared" si="30"/>
        <v>1.29020904137648E-2</v>
      </c>
      <c r="U108" s="303">
        <f t="shared" si="31"/>
        <v>4.3300075278812085E-2</v>
      </c>
      <c r="V108" s="86">
        <f t="shared" si="32"/>
        <v>1.3129285329716604E-3</v>
      </c>
      <c r="W108" s="86">
        <f t="shared" si="33"/>
        <v>1.7556390903876153E-2</v>
      </c>
      <c r="X108" s="86">
        <f t="shared" si="34"/>
        <v>-6.6008146588284709E-3</v>
      </c>
      <c r="Y108" s="86">
        <f t="shared" si="35"/>
        <v>1.8759300906598469E-2</v>
      </c>
      <c r="Z108" s="86">
        <f t="shared" si="36"/>
        <v>1.4636999240736149E-2</v>
      </c>
      <c r="AA108" s="86">
        <f t="shared" si="37"/>
        <v>2.3287065497051028E-2</v>
      </c>
      <c r="AB108" s="304">
        <f t="shared" si="38"/>
        <v>1.2289732537115239E-2</v>
      </c>
    </row>
    <row r="109" spans="2:28" x14ac:dyDescent="0.3">
      <c r="B109" s="271">
        <v>43965</v>
      </c>
      <c r="C109" s="292">
        <v>89.15</v>
      </c>
      <c r="D109" s="292">
        <v>228.550003</v>
      </c>
      <c r="E109" s="292">
        <v>4317.3500000000004</v>
      </c>
      <c r="F109" s="292">
        <v>893.70001200000002</v>
      </c>
      <c r="G109" s="292">
        <v>1522.4</v>
      </c>
      <c r="H109" s="292">
        <v>1435.9499510000001</v>
      </c>
      <c r="I109" s="292">
        <v>28.2</v>
      </c>
      <c r="J109" s="197">
        <v>2006.0500489999999</v>
      </c>
      <c r="L109" s="297">
        <f t="shared" si="23"/>
        <v>-1.2263252903840836E-2</v>
      </c>
      <c r="M109" s="298">
        <f t="shared" si="24"/>
        <v>-1.0662692617809649E-2</v>
      </c>
      <c r="N109" s="298">
        <f t="shared" si="25"/>
        <v>-1.1972468518200628E-2</v>
      </c>
      <c r="O109" s="298">
        <f t="shared" si="26"/>
        <v>-3.7284370530042292E-2</v>
      </c>
      <c r="P109" s="298">
        <f t="shared" si="27"/>
        <v>-2.6510934601338815E-2</v>
      </c>
      <c r="Q109" s="298">
        <f t="shared" si="28"/>
        <v>-4.1268986760684669E-2</v>
      </c>
      <c r="R109" s="298">
        <f t="shared" si="29"/>
        <v>-1.5831465216680628E-2</v>
      </c>
      <c r="S109" s="299">
        <f t="shared" si="30"/>
        <v>5.1477193357819528E-3</v>
      </c>
      <c r="U109" s="303">
        <f t="shared" si="31"/>
        <v>-1.0704547483332306E-2</v>
      </c>
      <c r="V109" s="86">
        <f t="shared" si="32"/>
        <v>-1.6760421316270282E-2</v>
      </c>
      <c r="W109" s="86">
        <f t="shared" si="33"/>
        <v>-1.4820971863266797E-2</v>
      </c>
      <c r="X109" s="86">
        <f t="shared" si="34"/>
        <v>-3.76556980425568E-2</v>
      </c>
      <c r="Y109" s="86">
        <f t="shared" si="35"/>
        <v>-2.7619944593032443E-2</v>
      </c>
      <c r="Z109" s="86">
        <f t="shared" si="36"/>
        <v>-4.2830779359862022E-2</v>
      </c>
      <c r="AA109" s="86">
        <f t="shared" si="37"/>
        <v>-1.0119544541137091E-2</v>
      </c>
      <c r="AB109" s="304">
        <f t="shared" si="38"/>
        <v>4.5353614591323917E-3</v>
      </c>
    </row>
    <row r="110" spans="2:28" x14ac:dyDescent="0.3">
      <c r="B110" s="271">
        <v>43964</v>
      </c>
      <c r="C110" s="292">
        <v>90.25</v>
      </c>
      <c r="D110" s="292">
        <v>231</v>
      </c>
      <c r="E110" s="292">
        <v>4369.3500000000004</v>
      </c>
      <c r="F110" s="292">
        <v>927.65002400000003</v>
      </c>
      <c r="G110" s="292">
        <v>1563.3</v>
      </c>
      <c r="H110" s="292">
        <v>1496.4499510000001</v>
      </c>
      <c r="I110" s="292">
        <v>28.65</v>
      </c>
      <c r="J110" s="197">
        <v>1995.75</v>
      </c>
      <c r="L110" s="297">
        <f t="shared" si="23"/>
        <v>1.3385587477319678E-2</v>
      </c>
      <c r="M110" s="298">
        <f t="shared" si="24"/>
        <v>2.1661483509779353E-2</v>
      </c>
      <c r="N110" s="298">
        <f t="shared" si="25"/>
        <v>3.7638663390094536E-2</v>
      </c>
      <c r="O110" s="298">
        <f t="shared" si="26"/>
        <v>2.8539041432745802E-2</v>
      </c>
      <c r="P110" s="298">
        <f t="shared" si="27"/>
        <v>2.5887114503952147E-2</v>
      </c>
      <c r="Q110" s="298">
        <f t="shared" si="28"/>
        <v>2.0994667881836085E-2</v>
      </c>
      <c r="R110" s="298">
        <f t="shared" si="29"/>
        <v>2.4736243559640349E-2</v>
      </c>
      <c r="S110" s="299">
        <f t="shared" si="30"/>
        <v>-7.8856739861643179E-3</v>
      </c>
      <c r="U110" s="303">
        <f t="shared" si="31"/>
        <v>1.4944292897828207E-2</v>
      </c>
      <c r="V110" s="86">
        <f t="shared" si="32"/>
        <v>1.556375481131872E-2</v>
      </c>
      <c r="W110" s="86">
        <f t="shared" si="33"/>
        <v>3.4790160045028364E-2</v>
      </c>
      <c r="X110" s="86">
        <f t="shared" si="34"/>
        <v>2.8167713920231294E-2</v>
      </c>
      <c r="Y110" s="86">
        <f t="shared" si="35"/>
        <v>2.4778104512258519E-2</v>
      </c>
      <c r="Z110" s="86">
        <f t="shared" si="36"/>
        <v>1.9432875282658735E-2</v>
      </c>
      <c r="AA110" s="86">
        <f t="shared" si="37"/>
        <v>3.0448164235183886E-2</v>
      </c>
      <c r="AB110" s="304">
        <f t="shared" si="38"/>
        <v>-8.498031862813879E-3</v>
      </c>
    </row>
    <row r="111" spans="2:28" x14ac:dyDescent="0.3">
      <c r="B111" s="271">
        <v>43963</v>
      </c>
      <c r="C111" s="292">
        <v>89.05</v>
      </c>
      <c r="D111" s="292">
        <v>226.050003</v>
      </c>
      <c r="E111" s="292">
        <v>4207.95</v>
      </c>
      <c r="F111" s="292">
        <v>901.54998799999998</v>
      </c>
      <c r="G111" s="292">
        <v>1523.35</v>
      </c>
      <c r="H111" s="292">
        <v>1465.3599850000001</v>
      </c>
      <c r="I111" s="292">
        <v>27.95</v>
      </c>
      <c r="J111" s="197">
        <v>2011.5500489999999</v>
      </c>
      <c r="L111" s="297">
        <f t="shared" si="23"/>
        <v>0.11218391688533343</v>
      </c>
      <c r="M111" s="298">
        <f t="shared" si="24"/>
        <v>1.5379761216392292E-2</v>
      </c>
      <c r="N111" s="298">
        <f t="shared" si="25"/>
        <v>-6.4549592551616042E-3</v>
      </c>
      <c r="O111" s="298">
        <f t="shared" si="26"/>
        <v>-1.5682496207729966E-2</v>
      </c>
      <c r="P111" s="298">
        <f t="shared" si="27"/>
        <v>-2.9908952731772142E-2</v>
      </c>
      <c r="Q111" s="298">
        <f t="shared" si="28"/>
        <v>-6.3859707112823808E-2</v>
      </c>
      <c r="R111" s="298">
        <f t="shared" si="29"/>
        <v>5.38117890451675E-3</v>
      </c>
      <c r="S111" s="299">
        <f t="shared" si="30"/>
        <v>-1.7958113647325878E-2</v>
      </c>
      <c r="U111" s="303">
        <f t="shared" si="31"/>
        <v>0.11374262230584195</v>
      </c>
      <c r="V111" s="86">
        <f t="shared" si="32"/>
        <v>9.2820325179316585E-3</v>
      </c>
      <c r="W111" s="86">
        <f t="shared" si="33"/>
        <v>-9.3034626002277739E-3</v>
      </c>
      <c r="X111" s="86">
        <f t="shared" si="34"/>
        <v>-1.6053823720244473E-2</v>
      </c>
      <c r="Y111" s="86">
        <f t="shared" si="35"/>
        <v>-3.101796272346577E-2</v>
      </c>
      <c r="Z111" s="86">
        <f t="shared" si="36"/>
        <v>-6.542149971200116E-2</v>
      </c>
      <c r="AA111" s="86">
        <f t="shared" si="37"/>
        <v>1.1093099580060287E-2</v>
      </c>
      <c r="AB111" s="304">
        <f t="shared" si="38"/>
        <v>-1.8570471523975438E-2</v>
      </c>
    </row>
    <row r="112" spans="2:28" x14ac:dyDescent="0.3">
      <c r="B112" s="271">
        <v>43962</v>
      </c>
      <c r="C112" s="292">
        <v>79.599999999999994</v>
      </c>
      <c r="D112" s="292">
        <v>222.60000600000001</v>
      </c>
      <c r="E112" s="292">
        <v>4235.2</v>
      </c>
      <c r="F112" s="292">
        <v>915.79998799999998</v>
      </c>
      <c r="G112" s="292">
        <v>1569.6</v>
      </c>
      <c r="H112" s="292">
        <v>1561.98999</v>
      </c>
      <c r="I112" s="292">
        <v>27.8</v>
      </c>
      <c r="J112" s="197">
        <v>2048</v>
      </c>
      <c r="L112" s="297">
        <f t="shared" si="23"/>
        <v>2.802731225465566E-2</v>
      </c>
      <c r="M112" s="298">
        <f t="shared" si="24"/>
        <v>4.7611640604165284E-2</v>
      </c>
      <c r="N112" s="298">
        <f t="shared" si="25"/>
        <v>-4.8522059632593682E-3</v>
      </c>
      <c r="O112" s="298">
        <f t="shared" si="26"/>
        <v>-1.4364558642646196E-2</v>
      </c>
      <c r="P112" s="298">
        <f t="shared" si="27"/>
        <v>-5.5908658973070997E-3</v>
      </c>
      <c r="Q112" s="298">
        <f t="shared" si="28"/>
        <v>9.5590380407172496E-3</v>
      </c>
      <c r="R112" s="298">
        <f t="shared" si="29"/>
        <v>2.7349015404100764E-2</v>
      </c>
      <c r="S112" s="299">
        <f t="shared" si="30"/>
        <v>-2.0037142821459047E-2</v>
      </c>
      <c r="U112" s="303">
        <f t="shared" si="31"/>
        <v>2.9586017675164191E-2</v>
      </c>
      <c r="V112" s="86">
        <f t="shared" si="32"/>
        <v>4.1513911905704651E-2</v>
      </c>
      <c r="W112" s="86">
        <f t="shared" si="33"/>
        <v>-7.700709308325537E-3</v>
      </c>
      <c r="X112" s="86">
        <f t="shared" si="34"/>
        <v>-1.4735886155160706E-2</v>
      </c>
      <c r="Y112" s="86">
        <f t="shared" si="35"/>
        <v>-6.6998758890007282E-3</v>
      </c>
      <c r="Z112" s="86">
        <f t="shared" si="36"/>
        <v>7.9972454415398984E-3</v>
      </c>
      <c r="AA112" s="86">
        <f t="shared" si="37"/>
        <v>3.3060936079644297E-2</v>
      </c>
      <c r="AB112" s="304">
        <f t="shared" si="38"/>
        <v>-2.0649500698108607E-2</v>
      </c>
    </row>
    <row r="113" spans="2:28" x14ac:dyDescent="0.3">
      <c r="B113" s="271">
        <v>43959</v>
      </c>
      <c r="C113" s="292">
        <v>77.400000000000006</v>
      </c>
      <c r="D113" s="292">
        <v>212.25</v>
      </c>
      <c r="E113" s="292">
        <v>4255.8</v>
      </c>
      <c r="F113" s="292">
        <v>929.04998799999998</v>
      </c>
      <c r="G113" s="292">
        <v>1578.4</v>
      </c>
      <c r="H113" s="292">
        <v>1547.130005</v>
      </c>
      <c r="I113" s="292">
        <v>27.05</v>
      </c>
      <c r="J113" s="197">
        <v>2089.4499510000001</v>
      </c>
      <c r="L113" s="297">
        <f t="shared" si="23"/>
        <v>-1.4748584105948591E-2</v>
      </c>
      <c r="M113" s="298">
        <f t="shared" si="24"/>
        <v>8.0416563351229393E-3</v>
      </c>
      <c r="N113" s="298">
        <f t="shared" si="25"/>
        <v>-2.2456146489488998E-2</v>
      </c>
      <c r="O113" s="298">
        <f t="shared" si="26"/>
        <v>4.368808249918448E-3</v>
      </c>
      <c r="P113" s="298">
        <f t="shared" si="27"/>
        <v>-1.0023092704913968E-2</v>
      </c>
      <c r="Q113" s="298">
        <f t="shared" si="28"/>
        <v>3.5748020970373932E-2</v>
      </c>
      <c r="R113" s="298">
        <f t="shared" si="29"/>
        <v>-3.80825710472096E-2</v>
      </c>
      <c r="S113" s="299">
        <f t="shared" si="30"/>
        <v>4.7736566151941544E-2</v>
      </c>
      <c r="U113" s="303">
        <f t="shared" si="31"/>
        <v>-1.3189878685440061E-2</v>
      </c>
      <c r="V113" s="86">
        <f t="shared" si="32"/>
        <v>1.9439276366623051E-3</v>
      </c>
      <c r="W113" s="86">
        <f t="shared" si="33"/>
        <v>-2.5304649834555167E-2</v>
      </c>
      <c r="X113" s="86">
        <f t="shared" si="34"/>
        <v>3.9974807374039386E-3</v>
      </c>
      <c r="Y113" s="86">
        <f t="shared" si="35"/>
        <v>-1.1132102696607598E-2</v>
      </c>
      <c r="Z113" s="86">
        <f t="shared" si="36"/>
        <v>3.4186228371196579E-2</v>
      </c>
      <c r="AA113" s="86">
        <f t="shared" si="37"/>
        <v>-3.2370650371666067E-2</v>
      </c>
      <c r="AB113" s="304">
        <f t="shared" si="38"/>
        <v>4.7124208275291984E-2</v>
      </c>
    </row>
    <row r="114" spans="2:28" x14ac:dyDescent="0.3">
      <c r="B114" s="271">
        <v>43958</v>
      </c>
      <c r="C114" s="292">
        <v>78.55</v>
      </c>
      <c r="D114" s="292">
        <v>210.550003</v>
      </c>
      <c r="E114" s="292">
        <v>4352.45</v>
      </c>
      <c r="F114" s="292">
        <v>925</v>
      </c>
      <c r="G114" s="292">
        <v>1594.3</v>
      </c>
      <c r="H114" s="292">
        <v>1492.8000489999999</v>
      </c>
      <c r="I114" s="292">
        <v>28.1</v>
      </c>
      <c r="J114" s="197">
        <v>1992.0500489999999</v>
      </c>
      <c r="L114" s="297">
        <f t="shared" si="23"/>
        <v>-1.1392528281094863E-2</v>
      </c>
      <c r="M114" s="298">
        <f t="shared" si="24"/>
        <v>-6.1553365381600356E-3</v>
      </c>
      <c r="N114" s="298">
        <f t="shared" si="25"/>
        <v>-1.4699187613887419E-2</v>
      </c>
      <c r="O114" s="298">
        <f t="shared" si="26"/>
        <v>-2.2871600511007659E-2</v>
      </c>
      <c r="P114" s="298">
        <f t="shared" si="27"/>
        <v>-1.0203055797564821E-2</v>
      </c>
      <c r="Q114" s="298">
        <f t="shared" si="28"/>
        <v>3.1140383909581165E-2</v>
      </c>
      <c r="R114" s="298">
        <f t="shared" si="29"/>
        <v>6.6200637155981137E-2</v>
      </c>
      <c r="S114" s="299">
        <f t="shared" si="30"/>
        <v>-9.069911386039145E-3</v>
      </c>
      <c r="U114" s="303">
        <f t="shared" si="31"/>
        <v>-9.8338228605863338E-3</v>
      </c>
      <c r="V114" s="86">
        <f t="shared" si="32"/>
        <v>-1.225306523662067E-2</v>
      </c>
      <c r="W114" s="86">
        <f t="shared" si="33"/>
        <v>-1.7547690958953588E-2</v>
      </c>
      <c r="X114" s="86">
        <f t="shared" si="34"/>
        <v>-2.3242928023522166E-2</v>
      </c>
      <c r="Y114" s="86">
        <f t="shared" si="35"/>
        <v>-1.131206578925845E-2</v>
      </c>
      <c r="Z114" s="86">
        <f t="shared" si="36"/>
        <v>2.9578591310403815E-2</v>
      </c>
      <c r="AA114" s="86">
        <f t="shared" si="37"/>
        <v>7.1912557831524671E-2</v>
      </c>
      <c r="AB114" s="304">
        <f t="shared" si="38"/>
        <v>-9.6822692626887061E-3</v>
      </c>
    </row>
    <row r="115" spans="2:28" x14ac:dyDescent="0.3">
      <c r="B115" s="271">
        <v>43957</v>
      </c>
      <c r="C115" s="292">
        <v>79.45</v>
      </c>
      <c r="D115" s="292">
        <v>211.85000600000001</v>
      </c>
      <c r="E115" s="292">
        <v>4416.8999999999996</v>
      </c>
      <c r="F115" s="292">
        <v>946.40002400000003</v>
      </c>
      <c r="G115" s="292">
        <v>1610.65</v>
      </c>
      <c r="H115" s="292">
        <v>1447.030029</v>
      </c>
      <c r="I115" s="292">
        <v>26.3</v>
      </c>
      <c r="J115" s="197">
        <v>2010.1999510000001</v>
      </c>
      <c r="L115" s="297">
        <f t="shared" si="23"/>
        <v>6.9466651308964693E-3</v>
      </c>
      <c r="M115" s="298">
        <f t="shared" si="24"/>
        <v>4.9686744957875848E-3</v>
      </c>
      <c r="N115" s="298">
        <f t="shared" si="25"/>
        <v>-2.1656968708259478E-2</v>
      </c>
      <c r="O115" s="298">
        <f t="shared" si="26"/>
        <v>3.7628586878667755E-2</v>
      </c>
      <c r="P115" s="298">
        <f t="shared" si="27"/>
        <v>-5.2634959588417811E-3</v>
      </c>
      <c r="Q115" s="298">
        <f t="shared" si="28"/>
        <v>6.909217623779852E-5</v>
      </c>
      <c r="R115" s="298">
        <f t="shared" si="29"/>
        <v>-1.1342276603934495E-2</v>
      </c>
      <c r="S115" s="299">
        <f t="shared" si="30"/>
        <v>-1.5450636544675307E-2</v>
      </c>
      <c r="U115" s="303">
        <f t="shared" si="31"/>
        <v>8.5053705514049997E-3</v>
      </c>
      <c r="V115" s="86">
        <f t="shared" si="32"/>
        <v>-1.1290542026730493E-3</v>
      </c>
      <c r="W115" s="86">
        <f t="shared" si="33"/>
        <v>-2.4505472053325646E-2</v>
      </c>
      <c r="X115" s="86">
        <f t="shared" si="34"/>
        <v>3.7257259366153248E-2</v>
      </c>
      <c r="Y115" s="86">
        <f t="shared" si="35"/>
        <v>-6.3725059505354096E-3</v>
      </c>
      <c r="Z115" s="86">
        <f t="shared" si="36"/>
        <v>-1.4927004229395521E-3</v>
      </c>
      <c r="AA115" s="86">
        <f t="shared" si="37"/>
        <v>-5.6303559283909588E-3</v>
      </c>
      <c r="AB115" s="304">
        <f t="shared" si="38"/>
        <v>-1.6062994421324868E-2</v>
      </c>
    </row>
    <row r="116" spans="2:28" x14ac:dyDescent="0.3">
      <c r="B116" s="271">
        <v>43956</v>
      </c>
      <c r="C116" s="292">
        <v>78.900000000000006</v>
      </c>
      <c r="D116" s="292">
        <v>210.800003</v>
      </c>
      <c r="E116" s="292">
        <v>4513.6000000000004</v>
      </c>
      <c r="F116" s="292">
        <v>911.45001200000002</v>
      </c>
      <c r="G116" s="292">
        <v>1619.15</v>
      </c>
      <c r="H116" s="292">
        <v>1446.9300539999999</v>
      </c>
      <c r="I116" s="292">
        <v>26.6</v>
      </c>
      <c r="J116" s="197">
        <v>2041.5</v>
      </c>
      <c r="L116" s="297">
        <f t="shared" si="23"/>
        <v>-1.3220211428134605E-2</v>
      </c>
      <c r="M116" s="298">
        <f t="shared" si="24"/>
        <v>5.9474422112335374E-3</v>
      </c>
      <c r="N116" s="298">
        <f t="shared" si="25"/>
        <v>-1.6076651011097159E-2</v>
      </c>
      <c r="O116" s="298">
        <f t="shared" si="26"/>
        <v>-1.2592483358087093E-2</v>
      </c>
      <c r="P116" s="298">
        <f t="shared" si="27"/>
        <v>-3.4985894956996805E-2</v>
      </c>
      <c r="Q116" s="298">
        <f t="shared" si="28"/>
        <v>1.7576722021136474E-2</v>
      </c>
      <c r="R116" s="298">
        <f t="shared" si="29"/>
        <v>-1.6775789504837126E-2</v>
      </c>
      <c r="S116" s="299">
        <f t="shared" si="30"/>
        <v>-1.9956242443506422E-2</v>
      </c>
      <c r="U116" s="303">
        <f t="shared" si="31"/>
        <v>-1.1661506007626075E-2</v>
      </c>
      <c r="V116" s="86">
        <f t="shared" si="32"/>
        <v>-1.5028648722709669E-4</v>
      </c>
      <c r="W116" s="86">
        <f t="shared" si="33"/>
        <v>-1.8925154356163328E-2</v>
      </c>
      <c r="X116" s="86">
        <f t="shared" si="34"/>
        <v>-1.2963810870601602E-2</v>
      </c>
      <c r="Y116" s="86">
        <f t="shared" si="35"/>
        <v>-3.6094904948690436E-2</v>
      </c>
      <c r="Z116" s="86">
        <f t="shared" si="36"/>
        <v>1.6014929421959125E-2</v>
      </c>
      <c r="AA116" s="86">
        <f t="shared" si="37"/>
        <v>-1.106386882929359E-2</v>
      </c>
      <c r="AB116" s="304">
        <f t="shared" si="38"/>
        <v>-2.0568600320155981E-2</v>
      </c>
    </row>
    <row r="117" spans="2:28" x14ac:dyDescent="0.3">
      <c r="B117" s="271">
        <v>43955</v>
      </c>
      <c r="C117" s="292">
        <v>79.95</v>
      </c>
      <c r="D117" s="292">
        <v>209.550003</v>
      </c>
      <c r="E117" s="292">
        <v>4586.75</v>
      </c>
      <c r="F117" s="292">
        <v>923</v>
      </c>
      <c r="G117" s="292">
        <v>1676.8</v>
      </c>
      <c r="H117" s="292">
        <v>1421.719971</v>
      </c>
      <c r="I117" s="292">
        <v>27.05</v>
      </c>
      <c r="J117" s="197">
        <v>2082.6499020000001</v>
      </c>
      <c r="L117" s="297">
        <f t="shared" si="23"/>
        <v>-0.11339568922675748</v>
      </c>
      <c r="M117" s="298">
        <f t="shared" si="24"/>
        <v>-4.2856922739393562E-3</v>
      </c>
      <c r="N117" s="298">
        <f t="shared" si="25"/>
        <v>3.3522085518102344E-3</v>
      </c>
      <c r="O117" s="298">
        <f t="shared" si="26"/>
        <v>-8.1924414442225341E-2</v>
      </c>
      <c r="P117" s="298">
        <f t="shared" si="27"/>
        <v>-4.7687684615595465E-2</v>
      </c>
      <c r="Q117" s="298">
        <f t="shared" si="28"/>
        <v>-2.1232906462024158E-2</v>
      </c>
      <c r="R117" s="298">
        <f t="shared" si="29"/>
        <v>-3.0939683534829312E-2</v>
      </c>
      <c r="S117" s="299">
        <f t="shared" si="30"/>
        <v>-5.2540972306134921E-2</v>
      </c>
      <c r="U117" s="303">
        <f t="shared" si="31"/>
        <v>-0.11183698380624896</v>
      </c>
      <c r="V117" s="86">
        <f t="shared" si="32"/>
        <v>-1.0383420972399991E-2</v>
      </c>
      <c r="W117" s="86">
        <f t="shared" si="33"/>
        <v>5.0370520674406513E-4</v>
      </c>
      <c r="X117" s="86">
        <f t="shared" si="34"/>
        <v>-8.2295741954739848E-2</v>
      </c>
      <c r="Y117" s="86">
        <f t="shared" si="35"/>
        <v>-4.8796694607289096E-2</v>
      </c>
      <c r="Z117" s="86">
        <f t="shared" si="36"/>
        <v>-2.2794699061201507E-2</v>
      </c>
      <c r="AA117" s="86">
        <f t="shared" si="37"/>
        <v>-2.5227762859285775E-2</v>
      </c>
      <c r="AB117" s="304">
        <f t="shared" si="38"/>
        <v>-5.3153330182784481E-2</v>
      </c>
    </row>
    <row r="118" spans="2:28" x14ac:dyDescent="0.3">
      <c r="B118" s="271">
        <v>43951</v>
      </c>
      <c r="C118" s="292">
        <v>89.55</v>
      </c>
      <c r="D118" s="292">
        <v>210.449997</v>
      </c>
      <c r="E118" s="292">
        <v>4571.3999999999996</v>
      </c>
      <c r="F118" s="292">
        <v>1001.799988</v>
      </c>
      <c r="G118" s="292">
        <v>1758.7</v>
      </c>
      <c r="H118" s="292">
        <v>1452.2299800000001</v>
      </c>
      <c r="I118" s="292">
        <v>27.9</v>
      </c>
      <c r="J118" s="197">
        <v>2195</v>
      </c>
      <c r="L118" s="297">
        <f t="shared" si="23"/>
        <v>0.12345234217969961</v>
      </c>
      <c r="M118" s="298">
        <f t="shared" si="24"/>
        <v>1.1950429199036354E-2</v>
      </c>
      <c r="N118" s="298">
        <f t="shared" si="25"/>
        <v>8.7679786319727573E-2</v>
      </c>
      <c r="O118" s="298">
        <f t="shared" si="26"/>
        <v>2.4964672557261206E-2</v>
      </c>
      <c r="P118" s="298">
        <f t="shared" si="27"/>
        <v>-4.9912190284092765E-3</v>
      </c>
      <c r="Q118" s="298">
        <f t="shared" si="28"/>
        <v>1.7561027290770023E-2</v>
      </c>
      <c r="R118" s="298">
        <f t="shared" si="29"/>
        <v>-5.3619431413853991E-3</v>
      </c>
      <c r="S118" s="299">
        <f t="shared" si="30"/>
        <v>-1.6603984550199728E-2</v>
      </c>
      <c r="U118" s="303">
        <f t="shared" si="31"/>
        <v>0.12501104760020815</v>
      </c>
      <c r="V118" s="86">
        <f t="shared" si="32"/>
        <v>5.8527005005757195E-3</v>
      </c>
      <c r="W118" s="86">
        <f t="shared" si="33"/>
        <v>8.4831282974661401E-2</v>
      </c>
      <c r="X118" s="86">
        <f t="shared" si="34"/>
        <v>2.4593345044746698E-2</v>
      </c>
      <c r="Y118" s="86">
        <f t="shared" si="35"/>
        <v>-6.1002290201029059E-3</v>
      </c>
      <c r="Z118" s="86">
        <f t="shared" si="36"/>
        <v>1.5999234691592673E-2</v>
      </c>
      <c r="AA118" s="86">
        <f t="shared" si="37"/>
        <v>3.4997753415813657E-4</v>
      </c>
      <c r="AB118" s="304">
        <f t="shared" si="38"/>
        <v>-1.7216342426849288E-2</v>
      </c>
    </row>
    <row r="119" spans="2:28" x14ac:dyDescent="0.3">
      <c r="B119" s="271">
        <v>43950</v>
      </c>
      <c r="C119" s="292">
        <v>79.150000000000006</v>
      </c>
      <c r="D119" s="292">
        <v>207.949997</v>
      </c>
      <c r="E119" s="292">
        <v>4187.6499999999996</v>
      </c>
      <c r="F119" s="292">
        <v>977.09997599999997</v>
      </c>
      <c r="G119" s="292">
        <v>1767.5</v>
      </c>
      <c r="H119" s="292">
        <v>1426.9499510000001</v>
      </c>
      <c r="I119" s="292">
        <v>28.05</v>
      </c>
      <c r="J119" s="197">
        <v>2231.75</v>
      </c>
      <c r="L119" s="297">
        <f t="shared" si="23"/>
        <v>2.9489316342416458E-2</v>
      </c>
      <c r="M119" s="298">
        <f t="shared" si="24"/>
        <v>2.0894847130267454E-2</v>
      </c>
      <c r="N119" s="298">
        <f t="shared" si="25"/>
        <v>-3.0733667447062935E-2</v>
      </c>
      <c r="O119" s="298">
        <f t="shared" si="26"/>
        <v>4.7900120071878216E-2</v>
      </c>
      <c r="P119" s="298">
        <f t="shared" si="27"/>
        <v>-3.1685047066817545E-2</v>
      </c>
      <c r="Q119" s="298">
        <f t="shared" si="28"/>
        <v>-8.4065222316701395E-4</v>
      </c>
      <c r="R119" s="298">
        <f t="shared" si="29"/>
        <v>2.8935110859452242E-2</v>
      </c>
      <c r="S119" s="299">
        <f t="shared" si="30"/>
        <v>-2.5743930791464573E-2</v>
      </c>
      <c r="U119" s="303">
        <f t="shared" si="31"/>
        <v>3.1048021762924989E-2</v>
      </c>
      <c r="V119" s="86">
        <f t="shared" si="32"/>
        <v>1.4797118431806821E-2</v>
      </c>
      <c r="W119" s="86">
        <f t="shared" si="33"/>
        <v>-3.3582170792129107E-2</v>
      </c>
      <c r="X119" s="86">
        <f t="shared" si="34"/>
        <v>4.7528792559363708E-2</v>
      </c>
      <c r="Y119" s="86">
        <f t="shared" si="35"/>
        <v>-3.2794057058511177E-2</v>
      </c>
      <c r="Z119" s="86">
        <f t="shared" si="36"/>
        <v>-2.4024448223443646E-3</v>
      </c>
      <c r="AA119" s="86">
        <f t="shared" si="37"/>
        <v>3.4647031534995779E-2</v>
      </c>
      <c r="AB119" s="304">
        <f t="shared" si="38"/>
        <v>-2.6356288668114132E-2</v>
      </c>
    </row>
    <row r="120" spans="2:28" x14ac:dyDescent="0.3">
      <c r="B120" s="271">
        <v>43949</v>
      </c>
      <c r="C120" s="292">
        <v>76.849999999999994</v>
      </c>
      <c r="D120" s="292">
        <v>203.64999399999999</v>
      </c>
      <c r="E120" s="292">
        <v>4318.3500000000004</v>
      </c>
      <c r="F120" s="292">
        <v>931.40002400000003</v>
      </c>
      <c r="G120" s="292">
        <v>1824.4</v>
      </c>
      <c r="H120" s="292">
        <v>1428.150024</v>
      </c>
      <c r="I120" s="292">
        <v>27.25</v>
      </c>
      <c r="J120" s="197">
        <v>2289.9499510000001</v>
      </c>
      <c r="L120" s="297">
        <f t="shared" si="23"/>
        <v>-2.0606009194436885E-2</v>
      </c>
      <c r="M120" s="298">
        <f t="shared" si="24"/>
        <v>1.4840737821998866E-2</v>
      </c>
      <c r="N120" s="298">
        <f t="shared" si="25"/>
        <v>2.7634109632520772E-2</v>
      </c>
      <c r="O120" s="298">
        <f t="shared" si="26"/>
        <v>1.8268899467364919E-3</v>
      </c>
      <c r="P120" s="298">
        <f t="shared" si="27"/>
        <v>-1.4663936841273043E-2</v>
      </c>
      <c r="Q120" s="298">
        <f t="shared" si="28"/>
        <v>-1.1196865906581718E-3</v>
      </c>
      <c r="R120" s="298">
        <f t="shared" si="29"/>
        <v>7.3665158167624256E-3</v>
      </c>
      <c r="S120" s="299">
        <f t="shared" si="30"/>
        <v>-1.3231149401188224E-2</v>
      </c>
      <c r="U120" s="303">
        <f t="shared" si="31"/>
        <v>-1.9047303773928353E-2</v>
      </c>
      <c r="V120" s="86">
        <f t="shared" si="32"/>
        <v>8.7430091235382312E-3</v>
      </c>
      <c r="W120" s="86">
        <f t="shared" si="33"/>
        <v>2.4785606287454603E-2</v>
      </c>
      <c r="X120" s="86">
        <f t="shared" si="34"/>
        <v>1.4555624342219827E-3</v>
      </c>
      <c r="Y120" s="86">
        <f t="shared" si="35"/>
        <v>-1.5772946832966671E-2</v>
      </c>
      <c r="Z120" s="86">
        <f t="shared" si="36"/>
        <v>-2.6814791898355224E-3</v>
      </c>
      <c r="AA120" s="86">
        <f t="shared" si="37"/>
        <v>1.3078436492305962E-2</v>
      </c>
      <c r="AB120" s="304">
        <f t="shared" si="38"/>
        <v>-1.3843507277837785E-2</v>
      </c>
    </row>
    <row r="121" spans="2:28" x14ac:dyDescent="0.3">
      <c r="B121" s="271">
        <v>43948</v>
      </c>
      <c r="C121" s="292">
        <v>78.45</v>
      </c>
      <c r="D121" s="292">
        <v>200.64999399999999</v>
      </c>
      <c r="E121" s="292">
        <v>4200.6499999999996</v>
      </c>
      <c r="F121" s="292">
        <v>929.70001200000002</v>
      </c>
      <c r="G121" s="292">
        <v>1851.35</v>
      </c>
      <c r="H121" s="292">
        <v>1429.75</v>
      </c>
      <c r="I121" s="292">
        <v>27.05</v>
      </c>
      <c r="J121" s="197">
        <v>2320.4499510000001</v>
      </c>
      <c r="L121" s="297">
        <f t="shared" si="23"/>
        <v>6.3938836752560017E-3</v>
      </c>
      <c r="M121" s="298">
        <f t="shared" si="24"/>
        <v>2.3702557474497218E-2</v>
      </c>
      <c r="N121" s="298">
        <f t="shared" si="25"/>
        <v>-4.1651543791838689E-4</v>
      </c>
      <c r="O121" s="298">
        <f t="shared" si="26"/>
        <v>-8.941273327923124E-3</v>
      </c>
      <c r="P121" s="298">
        <f t="shared" si="27"/>
        <v>1.2938830648035112E-2</v>
      </c>
      <c r="Q121" s="298">
        <f t="shared" si="28"/>
        <v>8.9576431047452033E-3</v>
      </c>
      <c r="R121" s="298">
        <f t="shared" si="29"/>
        <v>1.6775789504837206E-2</v>
      </c>
      <c r="S121" s="299">
        <f t="shared" si="30"/>
        <v>1.6226899742622803E-2</v>
      </c>
      <c r="U121" s="303">
        <f t="shared" si="31"/>
        <v>7.9525890957645312E-3</v>
      </c>
      <c r="V121" s="86">
        <f t="shared" si="32"/>
        <v>1.7604828776036585E-2</v>
      </c>
      <c r="W121" s="86">
        <f t="shared" si="33"/>
        <v>-3.2650187829845563E-3</v>
      </c>
      <c r="X121" s="86">
        <f t="shared" si="34"/>
        <v>-9.3126008404376334E-3</v>
      </c>
      <c r="Y121" s="86">
        <f t="shared" si="35"/>
        <v>1.1829820656341482E-2</v>
      </c>
      <c r="Z121" s="86">
        <f t="shared" si="36"/>
        <v>7.395850505567853E-3</v>
      </c>
      <c r="AA121" s="86">
        <f t="shared" si="37"/>
        <v>2.2487710180380743E-2</v>
      </c>
      <c r="AB121" s="304">
        <f t="shared" si="38"/>
        <v>1.5614541865973242E-2</v>
      </c>
    </row>
    <row r="122" spans="2:28" x14ac:dyDescent="0.3">
      <c r="B122" s="271">
        <v>43945</v>
      </c>
      <c r="C122" s="292">
        <v>77.95</v>
      </c>
      <c r="D122" s="292">
        <v>195.949997</v>
      </c>
      <c r="E122" s="292">
        <v>4202.3999999999996</v>
      </c>
      <c r="F122" s="292">
        <v>938.04998799999998</v>
      </c>
      <c r="G122" s="292">
        <v>1827.55</v>
      </c>
      <c r="H122" s="292">
        <v>1417</v>
      </c>
      <c r="I122" s="292">
        <v>26.6</v>
      </c>
      <c r="J122" s="197">
        <v>2283.1000979999999</v>
      </c>
      <c r="L122" s="297">
        <f t="shared" si="23"/>
        <v>4.5001683146126646E-3</v>
      </c>
      <c r="M122" s="298">
        <f t="shared" si="24"/>
        <v>-2.0457857212424407E-2</v>
      </c>
      <c r="N122" s="298">
        <f t="shared" si="25"/>
        <v>7.6558255153524142E-3</v>
      </c>
      <c r="O122" s="298">
        <f t="shared" si="26"/>
        <v>-1.7855755958141643E-2</v>
      </c>
      <c r="P122" s="298">
        <f t="shared" si="27"/>
        <v>3.2335882609401383E-3</v>
      </c>
      <c r="Q122" s="298">
        <f t="shared" si="28"/>
        <v>3.3074484742078525E-2</v>
      </c>
      <c r="R122" s="298">
        <f t="shared" si="29"/>
        <v>-6.1950588861538529E-2</v>
      </c>
      <c r="S122" s="299">
        <f t="shared" si="30"/>
        <v>-1.4954806930508742E-2</v>
      </c>
      <c r="U122" s="303">
        <f t="shared" si="31"/>
        <v>6.058873735121195E-3</v>
      </c>
      <c r="V122" s="86">
        <f t="shared" si="32"/>
        <v>-2.6555585910885041E-2</v>
      </c>
      <c r="W122" s="86">
        <f t="shared" si="33"/>
        <v>4.8073221702862445E-3</v>
      </c>
      <c r="X122" s="86">
        <f t="shared" si="34"/>
        <v>-1.8227083470656151E-2</v>
      </c>
      <c r="Y122" s="86">
        <f t="shared" si="35"/>
        <v>2.1245782692465094E-3</v>
      </c>
      <c r="Z122" s="86">
        <f t="shared" si="36"/>
        <v>3.1512692142901172E-2</v>
      </c>
      <c r="AA122" s="86">
        <f t="shared" si="37"/>
        <v>-5.6238668185994996E-2</v>
      </c>
      <c r="AB122" s="304">
        <f t="shared" si="38"/>
        <v>-1.5567164807158303E-2</v>
      </c>
    </row>
    <row r="123" spans="2:28" x14ac:dyDescent="0.3">
      <c r="B123" s="271">
        <v>43944</v>
      </c>
      <c r="C123" s="292">
        <v>77.599999999999994</v>
      </c>
      <c r="D123" s="292">
        <v>200</v>
      </c>
      <c r="E123" s="292">
        <v>4170.3500000000004</v>
      </c>
      <c r="F123" s="292">
        <v>954.95001200000002</v>
      </c>
      <c r="G123" s="292">
        <v>1821.65</v>
      </c>
      <c r="H123" s="292">
        <v>1370.900024</v>
      </c>
      <c r="I123" s="292">
        <v>28.3</v>
      </c>
      <c r="J123" s="197">
        <v>2317.5</v>
      </c>
      <c r="L123" s="297">
        <f t="shared" si="23"/>
        <v>1.9519162321532911E-2</v>
      </c>
      <c r="M123" s="298">
        <f t="shared" si="24"/>
        <v>1.4098939592483595E-2</v>
      </c>
      <c r="N123" s="298">
        <f t="shared" si="25"/>
        <v>-5.4761244504650565E-3</v>
      </c>
      <c r="O123" s="298">
        <f t="shared" si="26"/>
        <v>2.7980945914803983E-2</v>
      </c>
      <c r="P123" s="298">
        <f t="shared" si="27"/>
        <v>4.7597520149920422E-3</v>
      </c>
      <c r="Q123" s="298">
        <f t="shared" si="28"/>
        <v>5.3392322853233962E-3</v>
      </c>
      <c r="R123" s="298">
        <f t="shared" si="29"/>
        <v>-4.49125566808228E-2</v>
      </c>
      <c r="S123" s="299">
        <f t="shared" si="30"/>
        <v>-2.9192128894025591E-2</v>
      </c>
      <c r="U123" s="303">
        <f t="shared" si="31"/>
        <v>2.1077867742041442E-2</v>
      </c>
      <c r="V123" s="86">
        <f t="shared" si="32"/>
        <v>8.0012108940229615E-3</v>
      </c>
      <c r="W123" s="86">
        <f t="shared" si="33"/>
        <v>-8.3246277955312253E-3</v>
      </c>
      <c r="X123" s="86">
        <f t="shared" si="34"/>
        <v>2.7609618402289475E-2</v>
      </c>
      <c r="Y123" s="86">
        <f t="shared" si="35"/>
        <v>3.6507420232984133E-3</v>
      </c>
      <c r="Z123" s="86">
        <f t="shared" si="36"/>
        <v>3.7774396861460459E-3</v>
      </c>
      <c r="AA123" s="86">
        <f t="shared" si="37"/>
        <v>-3.9200636005279267E-2</v>
      </c>
      <c r="AB123" s="304">
        <f t="shared" si="38"/>
        <v>-2.980448677067515E-2</v>
      </c>
    </row>
    <row r="124" spans="2:28" x14ac:dyDescent="0.3">
      <c r="B124" s="271">
        <v>43943</v>
      </c>
      <c r="C124" s="292">
        <v>76.099999999999994</v>
      </c>
      <c r="D124" s="292">
        <v>197.199997</v>
      </c>
      <c r="E124" s="292">
        <v>4193.25</v>
      </c>
      <c r="F124" s="292">
        <v>928.59997599999997</v>
      </c>
      <c r="G124" s="292">
        <v>1813</v>
      </c>
      <c r="H124" s="292">
        <v>1363.599976</v>
      </c>
      <c r="I124" s="292">
        <v>29.6</v>
      </c>
      <c r="J124" s="197">
        <v>2386.1499020000001</v>
      </c>
      <c r="L124" s="297">
        <f t="shared" si="23"/>
        <v>-3.0413214311401517E-2</v>
      </c>
      <c r="M124" s="298">
        <f t="shared" si="24"/>
        <v>3.0375534827171556E-2</v>
      </c>
      <c r="N124" s="298">
        <f t="shared" si="25"/>
        <v>2.0138222861596899E-2</v>
      </c>
      <c r="O124" s="298">
        <f t="shared" si="26"/>
        <v>7.5124817580261849E-3</v>
      </c>
      <c r="P124" s="298">
        <f t="shared" si="27"/>
        <v>4.9176339111477757E-2</v>
      </c>
      <c r="Q124" s="298">
        <f t="shared" si="28"/>
        <v>9.7156267084718709E-2</v>
      </c>
      <c r="R124" s="298">
        <f t="shared" si="29"/>
        <v>-1.6877641137196297E-3</v>
      </c>
      <c r="S124" s="299">
        <f t="shared" si="30"/>
        <v>2.9235322059846611E-2</v>
      </c>
      <c r="U124" s="303">
        <f t="shared" si="31"/>
        <v>-2.8854508890892985E-2</v>
      </c>
      <c r="V124" s="86">
        <f t="shared" si="32"/>
        <v>2.4277806128710923E-2</v>
      </c>
      <c r="W124" s="86">
        <f t="shared" si="33"/>
        <v>1.728971951653073E-2</v>
      </c>
      <c r="X124" s="86">
        <f t="shared" si="34"/>
        <v>7.1411542455116755E-3</v>
      </c>
      <c r="Y124" s="86">
        <f t="shared" si="35"/>
        <v>4.8067329119784126E-2</v>
      </c>
      <c r="Z124" s="86">
        <f t="shared" si="36"/>
        <v>9.5594474485541356E-2</v>
      </c>
      <c r="AA124" s="86">
        <f t="shared" si="37"/>
        <v>4.0241565618239061E-3</v>
      </c>
      <c r="AB124" s="304">
        <f t="shared" si="38"/>
        <v>2.8622964183197052E-2</v>
      </c>
    </row>
    <row r="125" spans="2:28" x14ac:dyDescent="0.3">
      <c r="B125" s="271">
        <v>43942</v>
      </c>
      <c r="C125" s="292">
        <v>78.45</v>
      </c>
      <c r="D125" s="292">
        <v>191.300003</v>
      </c>
      <c r="E125" s="292">
        <v>4109.6499999999996</v>
      </c>
      <c r="F125" s="292">
        <v>921.65002400000003</v>
      </c>
      <c r="G125" s="292">
        <v>1726</v>
      </c>
      <c r="H125" s="292">
        <v>1237.349976</v>
      </c>
      <c r="I125" s="292">
        <v>29.65</v>
      </c>
      <c r="J125" s="197">
        <v>2317.3999020000001</v>
      </c>
      <c r="L125" s="297">
        <f t="shared" si="23"/>
        <v>-3.7527855869012555E-2</v>
      </c>
      <c r="M125" s="298">
        <f t="shared" si="24"/>
        <v>-4.8217460698489346E-2</v>
      </c>
      <c r="N125" s="298">
        <f t="shared" si="25"/>
        <v>3.5554622629667187E-2</v>
      </c>
      <c r="O125" s="298">
        <f t="shared" si="26"/>
        <v>-2.4860591352753876E-2</v>
      </c>
      <c r="P125" s="298">
        <f t="shared" si="27"/>
        <v>-2.5748976311886474E-3</v>
      </c>
      <c r="Q125" s="298">
        <f t="shared" si="28"/>
        <v>-5.19927248662958E-3</v>
      </c>
      <c r="R125" s="298">
        <f t="shared" si="29"/>
        <v>6.7682153461388105E-3</v>
      </c>
      <c r="S125" s="299">
        <f t="shared" si="30"/>
        <v>-8.2296781376249885E-3</v>
      </c>
      <c r="U125" s="303">
        <f t="shared" si="31"/>
        <v>-3.5969150448504024E-2</v>
      </c>
      <c r="V125" s="86">
        <f t="shared" si="32"/>
        <v>-5.431518939694998E-2</v>
      </c>
      <c r="W125" s="86">
        <f t="shared" si="33"/>
        <v>3.2706119284601015E-2</v>
      </c>
      <c r="X125" s="86">
        <f t="shared" si="34"/>
        <v>-2.5231918865268384E-2</v>
      </c>
      <c r="Y125" s="86">
        <f t="shared" si="35"/>
        <v>-3.6839076228822763E-3</v>
      </c>
      <c r="Z125" s="86">
        <f t="shared" si="36"/>
        <v>-6.7610650858069303E-3</v>
      </c>
      <c r="AA125" s="86">
        <f t="shared" si="37"/>
        <v>1.2480136021682346E-2</v>
      </c>
      <c r="AB125" s="304">
        <f t="shared" si="38"/>
        <v>-8.8420360142745496E-3</v>
      </c>
    </row>
    <row r="126" spans="2:28" x14ac:dyDescent="0.3">
      <c r="B126" s="271">
        <v>43941</v>
      </c>
      <c r="C126" s="292">
        <v>81.45</v>
      </c>
      <c r="D126" s="292">
        <v>200.75</v>
      </c>
      <c r="E126" s="292">
        <v>3966.1</v>
      </c>
      <c r="F126" s="292">
        <v>944.84997599999997</v>
      </c>
      <c r="G126" s="292">
        <v>1730.45</v>
      </c>
      <c r="H126" s="292">
        <v>1243.8000489999999</v>
      </c>
      <c r="I126" s="292">
        <v>29.45</v>
      </c>
      <c r="J126" s="197">
        <v>2336.5500489999999</v>
      </c>
      <c r="L126" s="297">
        <f t="shared" si="23"/>
        <v>-3.2017231930848086E-2</v>
      </c>
      <c r="M126" s="298">
        <f t="shared" si="24"/>
        <v>9.0068310330992541E-3</v>
      </c>
      <c r="N126" s="298">
        <f t="shared" si="25"/>
        <v>1.7627540591267497E-2</v>
      </c>
      <c r="O126" s="298">
        <f t="shared" si="26"/>
        <v>3.725195700641442E-2</v>
      </c>
      <c r="P126" s="298">
        <f t="shared" si="27"/>
        <v>-1.4799363807493951E-2</v>
      </c>
      <c r="Q126" s="298">
        <f t="shared" si="28"/>
        <v>1.604706499291797E-2</v>
      </c>
      <c r="R126" s="298">
        <f t="shared" si="29"/>
        <v>0.15982606395985738</v>
      </c>
      <c r="S126" s="299">
        <f t="shared" si="30"/>
        <v>-2.0523620910627427E-2</v>
      </c>
      <c r="U126" s="303">
        <f t="shared" si="31"/>
        <v>-3.0458526510339555E-2</v>
      </c>
      <c r="V126" s="86">
        <f t="shared" si="32"/>
        <v>2.90910233463862E-3</v>
      </c>
      <c r="W126" s="86">
        <f t="shared" si="33"/>
        <v>1.4779037246201328E-2</v>
      </c>
      <c r="X126" s="86">
        <f t="shared" si="34"/>
        <v>3.6880629493899912E-2</v>
      </c>
      <c r="Y126" s="86">
        <f t="shared" si="35"/>
        <v>-1.5908373799187581E-2</v>
      </c>
      <c r="Z126" s="86">
        <f t="shared" si="36"/>
        <v>1.4485272393740619E-2</v>
      </c>
      <c r="AA126" s="86">
        <f t="shared" si="37"/>
        <v>0.16553798463540093</v>
      </c>
      <c r="AB126" s="304">
        <f t="shared" si="38"/>
        <v>-2.1135978787276986E-2</v>
      </c>
    </row>
    <row r="127" spans="2:28" x14ac:dyDescent="0.3">
      <c r="B127" s="271">
        <v>43938</v>
      </c>
      <c r="C127" s="292">
        <v>84.1</v>
      </c>
      <c r="D127" s="292">
        <v>198.949997</v>
      </c>
      <c r="E127" s="292">
        <v>3896.8</v>
      </c>
      <c r="F127" s="292">
        <v>910.29998799999998</v>
      </c>
      <c r="G127" s="292">
        <v>1756.25</v>
      </c>
      <c r="H127" s="292">
        <v>1224</v>
      </c>
      <c r="I127" s="292">
        <v>25.1</v>
      </c>
      <c r="J127" s="197">
        <v>2385</v>
      </c>
      <c r="L127" s="297">
        <f t="shared" si="23"/>
        <v>1.6786964949256692E-2</v>
      </c>
      <c r="M127" s="298">
        <f t="shared" si="24"/>
        <v>2.5968826725067427E-2</v>
      </c>
      <c r="N127" s="298">
        <f t="shared" si="25"/>
        <v>-3.4967533788549318E-3</v>
      </c>
      <c r="O127" s="298">
        <f t="shared" si="26"/>
        <v>3.4136426127081121E-2</v>
      </c>
      <c r="P127" s="298">
        <f t="shared" si="27"/>
        <v>7.5157168612361583E-3</v>
      </c>
      <c r="Q127" s="298">
        <f t="shared" si="28"/>
        <v>4.6788450430908492E-2</v>
      </c>
      <c r="R127" s="298">
        <f t="shared" si="29"/>
        <v>2.0121403199421028E-2</v>
      </c>
      <c r="S127" s="299">
        <f t="shared" si="30"/>
        <v>-2.1199315796133503E-2</v>
      </c>
      <c r="U127" s="303">
        <f t="shared" si="31"/>
        <v>1.8345670369765223E-2</v>
      </c>
      <c r="V127" s="86">
        <f t="shared" si="32"/>
        <v>1.9871098026606793E-2</v>
      </c>
      <c r="W127" s="86">
        <f t="shared" si="33"/>
        <v>-6.3452567239211007E-3</v>
      </c>
      <c r="X127" s="86">
        <f t="shared" si="34"/>
        <v>3.3765098614566613E-2</v>
      </c>
      <c r="Y127" s="86">
        <f t="shared" si="35"/>
        <v>6.4067068695425299E-3</v>
      </c>
      <c r="Z127" s="86">
        <f t="shared" si="36"/>
        <v>4.5226657831731139E-2</v>
      </c>
      <c r="AA127" s="86">
        <f t="shared" si="37"/>
        <v>2.5833323874964564E-2</v>
      </c>
      <c r="AB127" s="304">
        <f t="shared" si="38"/>
        <v>-2.1811673672783062E-2</v>
      </c>
    </row>
    <row r="128" spans="2:28" x14ac:dyDescent="0.3">
      <c r="B128" s="271">
        <v>43937</v>
      </c>
      <c r="C128" s="292">
        <v>82.7</v>
      </c>
      <c r="D128" s="292">
        <v>193.85000600000001</v>
      </c>
      <c r="E128" s="292">
        <v>3910.45</v>
      </c>
      <c r="F128" s="292">
        <v>879.75</v>
      </c>
      <c r="G128" s="292">
        <v>1743.1</v>
      </c>
      <c r="H128" s="292">
        <v>1168.0500489999999</v>
      </c>
      <c r="I128" s="292">
        <v>24.6</v>
      </c>
      <c r="J128" s="197">
        <v>2436.1000979999999</v>
      </c>
      <c r="L128" s="297">
        <f t="shared" si="23"/>
        <v>5.0847902594484976E-2</v>
      </c>
      <c r="M128" s="298">
        <f t="shared" si="24"/>
        <v>3.1707112320101129E-2</v>
      </c>
      <c r="N128" s="298">
        <f t="shared" si="25"/>
        <v>5.5508844326593379E-2</v>
      </c>
      <c r="O128" s="298">
        <f t="shared" si="26"/>
        <v>1.8875534860368227E-2</v>
      </c>
      <c r="P128" s="298">
        <f t="shared" si="27"/>
        <v>1.4387906016863607E-2</v>
      </c>
      <c r="Q128" s="298">
        <f t="shared" si="28"/>
        <v>1.5704255446319784E-2</v>
      </c>
      <c r="R128" s="298">
        <f t="shared" si="29"/>
        <v>4.0733253876358688E-3</v>
      </c>
      <c r="S128" s="299">
        <f t="shared" si="30"/>
        <v>-2.0899869912769244E-2</v>
      </c>
      <c r="U128" s="303">
        <f t="shared" si="31"/>
        <v>5.2406608014993507E-2</v>
      </c>
      <c r="V128" s="86">
        <f t="shared" si="32"/>
        <v>2.5609383621640495E-2</v>
      </c>
      <c r="W128" s="86">
        <f t="shared" si="33"/>
        <v>5.2660340981527207E-2</v>
      </c>
      <c r="X128" s="86">
        <f t="shared" si="34"/>
        <v>1.850420734785372E-2</v>
      </c>
      <c r="Y128" s="86">
        <f t="shared" si="35"/>
        <v>1.3278896025169977E-2</v>
      </c>
      <c r="Z128" s="86">
        <f t="shared" si="36"/>
        <v>1.4142462847142432E-2</v>
      </c>
      <c r="AA128" s="86">
        <f t="shared" si="37"/>
        <v>9.7852460631794036E-3</v>
      </c>
      <c r="AB128" s="304">
        <f t="shared" si="38"/>
        <v>-2.1512227789418803E-2</v>
      </c>
    </row>
    <row r="129" spans="2:28" x14ac:dyDescent="0.3">
      <c r="B129" s="271">
        <v>43936</v>
      </c>
      <c r="C129" s="292">
        <v>78.599999999999994</v>
      </c>
      <c r="D129" s="292">
        <v>187.800003</v>
      </c>
      <c r="E129" s="292">
        <v>3699.3</v>
      </c>
      <c r="F129" s="292">
        <v>863.29998799999998</v>
      </c>
      <c r="G129" s="292">
        <v>1718.2</v>
      </c>
      <c r="H129" s="292">
        <v>1149.849976</v>
      </c>
      <c r="I129" s="292">
        <v>24.5</v>
      </c>
      <c r="J129" s="197">
        <v>2487.5500489999999</v>
      </c>
      <c r="L129" s="297">
        <f t="shared" si="23"/>
        <v>3.8240964384034758E-3</v>
      </c>
      <c r="M129" s="298">
        <f t="shared" si="24"/>
        <v>2.3980655506970934E-2</v>
      </c>
      <c r="N129" s="298">
        <f t="shared" si="25"/>
        <v>3.1270965844361043E-3</v>
      </c>
      <c r="O129" s="298">
        <f t="shared" si="26"/>
        <v>-3.6452435136281922E-2</v>
      </c>
      <c r="P129" s="298">
        <f t="shared" si="27"/>
        <v>2.1977613376449025E-2</v>
      </c>
      <c r="Q129" s="298">
        <f t="shared" si="28"/>
        <v>-3.3607308155146266E-2</v>
      </c>
      <c r="R129" s="298">
        <f t="shared" si="29"/>
        <v>1.6461277054071931E-2</v>
      </c>
      <c r="S129" s="299">
        <f t="shared" si="30"/>
        <v>5.8394783238065399E-2</v>
      </c>
      <c r="U129" s="303">
        <f t="shared" si="31"/>
        <v>5.3828018589120062E-3</v>
      </c>
      <c r="V129" s="86">
        <f t="shared" si="32"/>
        <v>1.7882926808510301E-2</v>
      </c>
      <c r="W129" s="86">
        <f t="shared" si="33"/>
        <v>2.7859323936993505E-4</v>
      </c>
      <c r="X129" s="86">
        <f t="shared" si="34"/>
        <v>-3.6823762648796429E-2</v>
      </c>
      <c r="Y129" s="86">
        <f t="shared" si="35"/>
        <v>2.0868603384755397E-2</v>
      </c>
      <c r="Z129" s="86">
        <f t="shared" si="36"/>
        <v>-3.5169100754323619E-2</v>
      </c>
      <c r="AA129" s="86">
        <f t="shared" si="37"/>
        <v>2.2173197729615467E-2</v>
      </c>
      <c r="AB129" s="304">
        <f t="shared" si="38"/>
        <v>5.778242536141584E-2</v>
      </c>
    </row>
    <row r="130" spans="2:28" x14ac:dyDescent="0.3">
      <c r="B130" s="271">
        <v>43934</v>
      </c>
      <c r="C130" s="292">
        <v>78.3</v>
      </c>
      <c r="D130" s="292">
        <v>183.35000600000001</v>
      </c>
      <c r="E130" s="292">
        <v>3687.75</v>
      </c>
      <c r="F130" s="292">
        <v>895.34997599999997</v>
      </c>
      <c r="G130" s="292">
        <v>1680.85</v>
      </c>
      <c r="H130" s="292">
        <v>1189.150024</v>
      </c>
      <c r="I130" s="292">
        <v>24.1</v>
      </c>
      <c r="J130" s="197">
        <v>2346.4499510000001</v>
      </c>
      <c r="L130" s="297">
        <f t="shared" si="23"/>
        <v>1.9342962843130935E-2</v>
      </c>
      <c r="M130" s="298">
        <f t="shared" si="24"/>
        <v>4.804054612771274E-2</v>
      </c>
      <c r="N130" s="298">
        <f t="shared" si="25"/>
        <v>-3.9557009284743844E-2</v>
      </c>
      <c r="O130" s="298">
        <f t="shared" si="26"/>
        <v>-3.2633100655731467E-2</v>
      </c>
      <c r="P130" s="298">
        <f t="shared" si="27"/>
        <v>1.7706482642985483E-2</v>
      </c>
      <c r="Q130" s="298">
        <f t="shared" si="28"/>
        <v>-2.5571047765123183E-2</v>
      </c>
      <c r="R130" s="298">
        <f t="shared" si="29"/>
        <v>-3.265596297405246E-2</v>
      </c>
      <c r="S130" s="299">
        <f t="shared" si="30"/>
        <v>-1.0935345060589033E-2</v>
      </c>
      <c r="U130" s="303">
        <f t="shared" si="31"/>
        <v>2.0901668263639466E-2</v>
      </c>
      <c r="V130" s="86">
        <f t="shared" si="32"/>
        <v>4.1942817429252106E-2</v>
      </c>
      <c r="W130" s="86">
        <f t="shared" si="33"/>
        <v>-4.2405512629810016E-2</v>
      </c>
      <c r="X130" s="86">
        <f t="shared" si="34"/>
        <v>-3.3004428168245975E-2</v>
      </c>
      <c r="Y130" s="86">
        <f t="shared" si="35"/>
        <v>1.6597472651291856E-2</v>
      </c>
      <c r="Z130" s="86">
        <f t="shared" si="36"/>
        <v>-2.7132840364300533E-2</v>
      </c>
      <c r="AA130" s="86">
        <f t="shared" si="37"/>
        <v>-2.6944042298508924E-2</v>
      </c>
      <c r="AB130" s="304">
        <f t="shared" si="38"/>
        <v>-1.1547702937238594E-2</v>
      </c>
    </row>
    <row r="131" spans="2:28" x14ac:dyDescent="0.3">
      <c r="B131" s="271">
        <v>43930</v>
      </c>
      <c r="C131" s="292">
        <v>76.8</v>
      </c>
      <c r="D131" s="292">
        <v>174.75</v>
      </c>
      <c r="E131" s="292">
        <v>3836.55</v>
      </c>
      <c r="F131" s="292">
        <v>925.04998799999998</v>
      </c>
      <c r="G131" s="292">
        <v>1651.35</v>
      </c>
      <c r="H131" s="292">
        <v>1219.9499510000001</v>
      </c>
      <c r="I131" s="292">
        <v>24.9</v>
      </c>
      <c r="J131" s="197">
        <v>2372.25</v>
      </c>
      <c r="L131" s="297">
        <f t="shared" si="23"/>
        <v>8.8432841337007365E-2</v>
      </c>
      <c r="M131" s="298">
        <f t="shared" si="24"/>
        <v>4.8661435116316279E-2</v>
      </c>
      <c r="N131" s="298">
        <f t="shared" si="25"/>
        <v>1.7697482585874461E-2</v>
      </c>
      <c r="O131" s="298">
        <f t="shared" si="26"/>
        <v>3.9863006886048324E-2</v>
      </c>
      <c r="P131" s="298">
        <f t="shared" si="27"/>
        <v>2.6011342876971447E-2</v>
      </c>
      <c r="Q131" s="298">
        <f t="shared" si="28"/>
        <v>2.3051414349201878E-2</v>
      </c>
      <c r="R131" s="298">
        <f t="shared" si="29"/>
        <v>6.0423144559626617E-3</v>
      </c>
      <c r="S131" s="299">
        <f t="shared" si="30"/>
        <v>-3.6667986670253082E-2</v>
      </c>
      <c r="U131" s="303">
        <f t="shared" si="31"/>
        <v>8.9991546757515889E-2</v>
      </c>
      <c r="V131" s="86">
        <f t="shared" si="32"/>
        <v>4.2563706417855646E-2</v>
      </c>
      <c r="W131" s="86">
        <f t="shared" si="33"/>
        <v>1.4848979240808292E-2</v>
      </c>
      <c r="X131" s="86">
        <f t="shared" si="34"/>
        <v>3.9491679373533817E-2</v>
      </c>
      <c r="Y131" s="86">
        <f t="shared" si="35"/>
        <v>2.4902332885277819E-2</v>
      </c>
      <c r="Z131" s="86">
        <f t="shared" si="36"/>
        <v>2.1489621750024529E-2</v>
      </c>
      <c r="AA131" s="86">
        <f t="shared" si="37"/>
        <v>1.1754235131506197E-2</v>
      </c>
      <c r="AB131" s="304">
        <f t="shared" si="38"/>
        <v>-3.7280344546902641E-2</v>
      </c>
    </row>
    <row r="132" spans="2:28" x14ac:dyDescent="0.3">
      <c r="B132" s="271">
        <v>43929</v>
      </c>
      <c r="C132" s="292">
        <v>70.3</v>
      </c>
      <c r="D132" s="292">
        <v>166.449997</v>
      </c>
      <c r="E132" s="292">
        <v>3769.25</v>
      </c>
      <c r="F132" s="292">
        <v>888.90002400000003</v>
      </c>
      <c r="G132" s="292">
        <v>1608.95</v>
      </c>
      <c r="H132" s="292">
        <v>1192.150024</v>
      </c>
      <c r="I132" s="292">
        <v>24.75</v>
      </c>
      <c r="J132" s="197">
        <v>2460.8500979999999</v>
      </c>
      <c r="L132" s="297">
        <f t="shared" ref="L132:L195" si="39">LN(C132/C133)</f>
        <v>5.1817501536260177E-2</v>
      </c>
      <c r="M132" s="298">
        <f t="shared" ref="M132:M195" si="40">LN(D132/D133)</f>
        <v>4.6105277514651426E-2</v>
      </c>
      <c r="N132" s="298">
        <f t="shared" ref="N132:N195" si="41">LN(E132/E133)</f>
        <v>3.8143889738637298E-3</v>
      </c>
      <c r="O132" s="298">
        <f t="shared" ref="O132:O195" si="42">LN(F132/F133)</f>
        <v>-8.0672168601568974E-3</v>
      </c>
      <c r="P132" s="298">
        <f t="shared" ref="P132:P195" si="43">LN(G132/G133)</f>
        <v>-9.1872891207957202E-3</v>
      </c>
      <c r="Q132" s="298">
        <f t="shared" ref="Q132:Q195" si="44">LN(H132/H133)</f>
        <v>-1.1633573924238806E-2</v>
      </c>
      <c r="R132" s="298">
        <f t="shared" ref="R132:R195" si="45">LN(I132/I133)</f>
        <v>8.113634774169631E-3</v>
      </c>
      <c r="S132" s="299">
        <f t="shared" ref="S132:S195" si="46">LN(J132/J133)</f>
        <v>6.5026763305086983E-3</v>
      </c>
      <c r="U132" s="303">
        <f t="shared" ref="U132:U195" si="47">L132-L$494</f>
        <v>5.3376206956768708E-2</v>
      </c>
      <c r="V132" s="86">
        <f t="shared" ref="V132:V195" si="48">M132-M$494</f>
        <v>4.0007548816190792E-2</v>
      </c>
      <c r="W132" s="86">
        <f t="shared" ref="W132:W195" si="49">N132-N$494</f>
        <v>9.6588562879756056E-4</v>
      </c>
      <c r="X132" s="86">
        <f t="shared" ref="X132:X195" si="50">O132-O$494</f>
        <v>-8.4385443726714068E-3</v>
      </c>
      <c r="Y132" s="86">
        <f t="shared" ref="Y132:Y195" si="51">P132-P$494</f>
        <v>-1.029629911248935E-2</v>
      </c>
      <c r="Z132" s="86">
        <f t="shared" ref="Z132:Z195" si="52">Q132-Q$494</f>
        <v>-1.3195366523416158E-2</v>
      </c>
      <c r="AA132" s="86">
        <f t="shared" ref="AA132:AA195" si="53">R132-R$494</f>
        <v>1.3825555449713166E-2</v>
      </c>
      <c r="AB132" s="304">
        <f t="shared" ref="AB132:AB195" si="54">S132-S$494</f>
        <v>5.8903184538591372E-3</v>
      </c>
    </row>
    <row r="133" spans="2:28" x14ac:dyDescent="0.3">
      <c r="B133" s="271">
        <v>43928</v>
      </c>
      <c r="C133" s="292">
        <v>66.75</v>
      </c>
      <c r="D133" s="292">
        <v>158.949997</v>
      </c>
      <c r="E133" s="292">
        <v>3754.9</v>
      </c>
      <c r="F133" s="292">
        <v>896.09997599999997</v>
      </c>
      <c r="G133" s="292">
        <v>1623.8</v>
      </c>
      <c r="H133" s="292">
        <v>1206.099976</v>
      </c>
      <c r="I133" s="292">
        <v>24.55</v>
      </c>
      <c r="J133" s="197">
        <v>2444.8999020000001</v>
      </c>
      <c r="L133" s="297">
        <f t="shared" si="39"/>
        <v>6.0999223806205982E-2</v>
      </c>
      <c r="M133" s="298">
        <f t="shared" si="40"/>
        <v>4.5367298380896197E-2</v>
      </c>
      <c r="N133" s="298">
        <f t="shared" si="41"/>
        <v>9.0690914856579014E-2</v>
      </c>
      <c r="O133" s="298">
        <f t="shared" si="42"/>
        <v>9.6275942759405139E-2</v>
      </c>
      <c r="P133" s="298">
        <f t="shared" si="43"/>
        <v>6.5466816550022872E-2</v>
      </c>
      <c r="Q133" s="298">
        <f t="shared" si="44"/>
        <v>0.11279490097917863</v>
      </c>
      <c r="R133" s="298">
        <f t="shared" si="45"/>
        <v>1.8500013743920209E-2</v>
      </c>
      <c r="S133" s="299">
        <f t="shared" si="46"/>
        <v>0.12663113380492108</v>
      </c>
      <c r="U133" s="303">
        <f t="shared" si="47"/>
        <v>6.2557929226714507E-2</v>
      </c>
      <c r="V133" s="86">
        <f t="shared" si="48"/>
        <v>3.9269569682435564E-2</v>
      </c>
      <c r="W133" s="86">
        <f t="shared" si="49"/>
        <v>8.7842411511512841E-2</v>
      </c>
      <c r="X133" s="86">
        <f t="shared" si="50"/>
        <v>9.5904615246890632E-2</v>
      </c>
      <c r="Y133" s="86">
        <f t="shared" si="51"/>
        <v>6.4357806558329247E-2</v>
      </c>
      <c r="Z133" s="86">
        <f t="shared" si="52"/>
        <v>0.11123310838000128</v>
      </c>
      <c r="AA133" s="86">
        <f t="shared" si="53"/>
        <v>2.4211934419463746E-2</v>
      </c>
      <c r="AB133" s="304">
        <f t="shared" si="54"/>
        <v>0.12601877592827151</v>
      </c>
    </row>
    <row r="134" spans="2:28" x14ac:dyDescent="0.3">
      <c r="B134" s="271">
        <v>43924</v>
      </c>
      <c r="C134" s="292">
        <v>62.8</v>
      </c>
      <c r="D134" s="292">
        <v>151.89999399999999</v>
      </c>
      <c r="E134" s="292">
        <v>3429.35</v>
      </c>
      <c r="F134" s="292">
        <v>813.84997599999997</v>
      </c>
      <c r="G134" s="292">
        <v>1520.9</v>
      </c>
      <c r="H134" s="292">
        <v>1077.4499510000001</v>
      </c>
      <c r="I134" s="292">
        <v>24.1</v>
      </c>
      <c r="J134" s="197">
        <v>2154.1000979999999</v>
      </c>
      <c r="L134" s="297">
        <f t="shared" si="39"/>
        <v>2.3913921320757054E-3</v>
      </c>
      <c r="M134" s="298">
        <f t="shared" si="40"/>
        <v>-6.5617035916261416E-3</v>
      </c>
      <c r="N134" s="298">
        <f t="shared" si="41"/>
        <v>-4.1020846254200563E-2</v>
      </c>
      <c r="O134" s="298">
        <f t="shared" si="42"/>
        <v>-1.9227909688614375E-2</v>
      </c>
      <c r="P134" s="298">
        <f t="shared" si="43"/>
        <v>-5.2699367012222539E-2</v>
      </c>
      <c r="Q134" s="298">
        <f t="shared" si="44"/>
        <v>-2.7804829408357322E-3</v>
      </c>
      <c r="R134" s="298">
        <f t="shared" si="45"/>
        <v>6.2435166396852407E-3</v>
      </c>
      <c r="S134" s="299">
        <f t="shared" si="46"/>
        <v>-1.179122008477557E-2</v>
      </c>
      <c r="U134" s="303">
        <f t="shared" si="47"/>
        <v>3.9500975525842358E-3</v>
      </c>
      <c r="V134" s="86">
        <f t="shared" si="48"/>
        <v>-1.2659432290086776E-2</v>
      </c>
      <c r="W134" s="86">
        <f t="shared" si="49"/>
        <v>-4.3869349599266735E-2</v>
      </c>
      <c r="X134" s="86">
        <f t="shared" si="50"/>
        <v>-1.9599237201128883E-2</v>
      </c>
      <c r="Y134" s="86">
        <f t="shared" si="51"/>
        <v>-5.380837700391617E-2</v>
      </c>
      <c r="Z134" s="86">
        <f t="shared" si="52"/>
        <v>-4.3422755400130825E-3</v>
      </c>
      <c r="AA134" s="86">
        <f t="shared" si="53"/>
        <v>1.1955437315228776E-2</v>
      </c>
      <c r="AB134" s="304">
        <f t="shared" si="54"/>
        <v>-1.2403577961425131E-2</v>
      </c>
    </row>
    <row r="135" spans="2:28" x14ac:dyDescent="0.3">
      <c r="B135" s="271">
        <v>43922</v>
      </c>
      <c r="C135" s="292">
        <v>62.65</v>
      </c>
      <c r="D135" s="292">
        <v>152.89999399999999</v>
      </c>
      <c r="E135" s="292">
        <v>3572.95</v>
      </c>
      <c r="F135" s="292">
        <v>829.65002400000003</v>
      </c>
      <c r="G135" s="292">
        <v>1603.2</v>
      </c>
      <c r="H135" s="292">
        <v>1080.4499510000001</v>
      </c>
      <c r="I135" s="292">
        <v>23.95</v>
      </c>
      <c r="J135" s="197">
        <v>2179.6499020000001</v>
      </c>
      <c r="L135" s="297">
        <f t="shared" si="39"/>
        <v>-3.2197520164777622E-2</v>
      </c>
      <c r="M135" s="298">
        <f t="shared" si="40"/>
        <v>-2.2865011226391916E-3</v>
      </c>
      <c r="N135" s="298">
        <f t="shared" si="41"/>
        <v>-1.9293149928132506E-3</v>
      </c>
      <c r="O135" s="298">
        <f t="shared" si="42"/>
        <v>-3.8135328462153402E-2</v>
      </c>
      <c r="P135" s="298">
        <f t="shared" si="43"/>
        <v>-3.8723986857248739E-2</v>
      </c>
      <c r="Q135" s="298">
        <f t="shared" si="44"/>
        <v>-3.0355124133012393E-2</v>
      </c>
      <c r="R135" s="298">
        <f t="shared" si="45"/>
        <v>6.4677709668660877E-2</v>
      </c>
      <c r="S135" s="299">
        <f t="shared" si="46"/>
        <v>-5.3092467772816079E-2</v>
      </c>
      <c r="U135" s="303">
        <f t="shared" si="47"/>
        <v>-3.0638814744269091E-2</v>
      </c>
      <c r="V135" s="86">
        <f t="shared" si="48"/>
        <v>-8.3842298210998253E-3</v>
      </c>
      <c r="W135" s="86">
        <f t="shared" si="49"/>
        <v>-4.7778183378794203E-3</v>
      </c>
      <c r="X135" s="86">
        <f t="shared" si="50"/>
        <v>-3.850665597466791E-2</v>
      </c>
      <c r="Y135" s="86">
        <f t="shared" si="51"/>
        <v>-3.983299684894237E-2</v>
      </c>
      <c r="Z135" s="86">
        <f t="shared" si="52"/>
        <v>-3.1916916732189743E-2</v>
      </c>
      <c r="AA135" s="86">
        <f t="shared" si="53"/>
        <v>7.038963034420441E-2</v>
      </c>
      <c r="AB135" s="304">
        <f t="shared" si="54"/>
        <v>-5.3704825649465639E-2</v>
      </c>
    </row>
    <row r="136" spans="2:28" x14ac:dyDescent="0.3">
      <c r="B136" s="271">
        <v>43921</v>
      </c>
      <c r="C136" s="292">
        <v>64.7</v>
      </c>
      <c r="D136" s="292">
        <v>153.25</v>
      </c>
      <c r="E136" s="292">
        <v>3579.85</v>
      </c>
      <c r="F136" s="292">
        <v>861.90002400000003</v>
      </c>
      <c r="G136" s="292">
        <v>1666.5</v>
      </c>
      <c r="H136" s="292">
        <v>1113.75</v>
      </c>
      <c r="I136" s="292">
        <v>22.45</v>
      </c>
      <c r="J136" s="197">
        <v>2298.5</v>
      </c>
      <c r="L136" s="297">
        <f t="shared" si="39"/>
        <v>4.9911348876392356E-2</v>
      </c>
      <c r="M136" s="298">
        <f t="shared" si="40"/>
        <v>4.1978202366501745E-2</v>
      </c>
      <c r="N136" s="298">
        <f t="shared" si="41"/>
        <v>0.1159271391654934</v>
      </c>
      <c r="O136" s="298">
        <f t="shared" si="42"/>
        <v>3.5727574403973679E-2</v>
      </c>
      <c r="P136" s="298">
        <f t="shared" si="43"/>
        <v>4.3883230982589436E-2</v>
      </c>
      <c r="Q136" s="298">
        <f t="shared" si="44"/>
        <v>7.7737147319542954E-2</v>
      </c>
      <c r="R136" s="298">
        <f t="shared" si="45"/>
        <v>-0.10357718928239863</v>
      </c>
      <c r="S136" s="299">
        <f t="shared" si="46"/>
        <v>5.09383899463135E-2</v>
      </c>
      <c r="U136" s="303">
        <f t="shared" si="47"/>
        <v>5.1470054296900887E-2</v>
      </c>
      <c r="V136" s="86">
        <f t="shared" si="48"/>
        <v>3.5880473668041112E-2</v>
      </c>
      <c r="W136" s="86">
        <f t="shared" si="49"/>
        <v>0.11307863582042722</v>
      </c>
      <c r="X136" s="86">
        <f t="shared" si="50"/>
        <v>3.5356246891459171E-2</v>
      </c>
      <c r="Y136" s="86">
        <f t="shared" si="51"/>
        <v>4.2774220990895805E-2</v>
      </c>
      <c r="Z136" s="86">
        <f t="shared" si="52"/>
        <v>7.6175354720365601E-2</v>
      </c>
      <c r="AA136" s="86">
        <f t="shared" si="53"/>
        <v>-9.7865268606855099E-2</v>
      </c>
      <c r="AB136" s="304">
        <f t="shared" si="54"/>
        <v>5.0326032069663941E-2</v>
      </c>
    </row>
    <row r="137" spans="2:28" x14ac:dyDescent="0.3">
      <c r="B137" s="271">
        <v>43920</v>
      </c>
      <c r="C137" s="292">
        <v>61.55</v>
      </c>
      <c r="D137" s="292">
        <v>146.949997</v>
      </c>
      <c r="E137" s="292">
        <v>3188</v>
      </c>
      <c r="F137" s="292">
        <v>831.65002400000003</v>
      </c>
      <c r="G137" s="292">
        <v>1594.95</v>
      </c>
      <c r="H137" s="292">
        <v>1030.4499510000001</v>
      </c>
      <c r="I137" s="292">
        <v>24.9</v>
      </c>
      <c r="J137" s="197">
        <v>2184.3500979999999</v>
      </c>
      <c r="L137" s="297">
        <f t="shared" si="39"/>
        <v>-3.5119331408073044E-2</v>
      </c>
      <c r="M137" s="298">
        <f t="shared" si="40"/>
        <v>-1.217467197592016E-2</v>
      </c>
      <c r="N137" s="298">
        <f t="shared" si="41"/>
        <v>-6.183431128032929E-2</v>
      </c>
      <c r="O137" s="298">
        <f t="shared" si="42"/>
        <v>-8.3915329320538357E-2</v>
      </c>
      <c r="P137" s="298">
        <f t="shared" si="43"/>
        <v>-5.7516334983631779E-3</v>
      </c>
      <c r="Q137" s="298">
        <f t="shared" si="44"/>
        <v>-3.3542445798125833E-2</v>
      </c>
      <c r="R137" s="298">
        <f t="shared" si="45"/>
        <v>-5.6600471516709543E-2</v>
      </c>
      <c r="S137" s="299">
        <f t="shared" si="46"/>
        <v>2.0255518068209175E-2</v>
      </c>
      <c r="U137" s="303">
        <f t="shared" si="47"/>
        <v>-3.3560625987564513E-2</v>
      </c>
      <c r="V137" s="86">
        <f t="shared" si="48"/>
        <v>-1.8272400674380795E-2</v>
      </c>
      <c r="W137" s="86">
        <f t="shared" si="49"/>
        <v>-6.4682814625395463E-2</v>
      </c>
      <c r="X137" s="86">
        <f t="shared" si="50"/>
        <v>-8.4286656833052864E-2</v>
      </c>
      <c r="Y137" s="86">
        <f t="shared" si="51"/>
        <v>-6.8606434900568072E-3</v>
      </c>
      <c r="Z137" s="86">
        <f t="shared" si="52"/>
        <v>-3.5104238397303186E-2</v>
      </c>
      <c r="AA137" s="86">
        <f t="shared" si="53"/>
        <v>-5.088855084116601E-2</v>
      </c>
      <c r="AB137" s="304">
        <f t="shared" si="54"/>
        <v>1.9643160191559615E-2</v>
      </c>
    </row>
    <row r="138" spans="2:28" x14ac:dyDescent="0.3">
      <c r="B138" s="271">
        <v>43917</v>
      </c>
      <c r="C138" s="292">
        <v>63.75</v>
      </c>
      <c r="D138" s="292">
        <v>148.75</v>
      </c>
      <c r="E138" s="292">
        <v>3391.35</v>
      </c>
      <c r="F138" s="292">
        <v>904.45001200000002</v>
      </c>
      <c r="G138" s="292">
        <v>1604.15</v>
      </c>
      <c r="H138" s="292">
        <v>1065.599976</v>
      </c>
      <c r="I138" s="292">
        <v>26.35</v>
      </c>
      <c r="J138" s="197">
        <v>2140.5500489999999</v>
      </c>
      <c r="L138" s="297">
        <f t="shared" si="39"/>
        <v>-3.1650654292735961E-2</v>
      </c>
      <c r="M138" s="298">
        <f t="shared" si="40"/>
        <v>-2.2271194287239015E-2</v>
      </c>
      <c r="N138" s="298">
        <f t="shared" si="41"/>
        <v>1.7700366924245519E-2</v>
      </c>
      <c r="O138" s="298">
        <f t="shared" si="42"/>
        <v>3.7108248084983739E-3</v>
      </c>
      <c r="P138" s="298">
        <f t="shared" si="43"/>
        <v>-7.9476373759678077E-3</v>
      </c>
      <c r="Q138" s="298">
        <f t="shared" si="44"/>
        <v>-5.6288116745134965E-4</v>
      </c>
      <c r="R138" s="298">
        <f t="shared" si="45"/>
        <v>-9.4429408002820719E-3</v>
      </c>
      <c r="S138" s="299">
        <f t="shared" si="46"/>
        <v>-2.5073614504190257E-2</v>
      </c>
      <c r="U138" s="303">
        <f t="shared" si="47"/>
        <v>-3.0091948872227429E-2</v>
      </c>
      <c r="V138" s="86">
        <f t="shared" si="48"/>
        <v>-2.8368922985699648E-2</v>
      </c>
      <c r="W138" s="86">
        <f t="shared" si="49"/>
        <v>1.485186357917935E-2</v>
      </c>
      <c r="X138" s="86">
        <f t="shared" si="50"/>
        <v>3.3394972959838645E-3</v>
      </c>
      <c r="Y138" s="86">
        <f t="shared" si="51"/>
        <v>-9.056647367661437E-3</v>
      </c>
      <c r="Z138" s="86">
        <f t="shared" si="52"/>
        <v>-2.1246737666287003E-3</v>
      </c>
      <c r="AA138" s="86">
        <f t="shared" si="53"/>
        <v>-3.7310201247385362E-3</v>
      </c>
      <c r="AB138" s="304">
        <f t="shared" si="54"/>
        <v>-2.5685972380839816E-2</v>
      </c>
    </row>
    <row r="139" spans="2:28" x14ac:dyDescent="0.3">
      <c r="B139" s="271">
        <v>43916</v>
      </c>
      <c r="C139" s="292">
        <v>65.8</v>
      </c>
      <c r="D139" s="292">
        <v>152.10000600000001</v>
      </c>
      <c r="E139" s="292">
        <v>3331.85</v>
      </c>
      <c r="F139" s="292">
        <v>901.09997599999997</v>
      </c>
      <c r="G139" s="292">
        <v>1616.95</v>
      </c>
      <c r="H139" s="292">
        <v>1066.1999510000001</v>
      </c>
      <c r="I139" s="292">
        <v>26.6</v>
      </c>
      <c r="J139" s="197">
        <v>2194.8999020000001</v>
      </c>
      <c r="L139" s="297">
        <f t="shared" si="39"/>
        <v>2.461662763535603E-2</v>
      </c>
      <c r="M139" s="298">
        <f t="shared" si="40"/>
        <v>2.6650476926059152E-2</v>
      </c>
      <c r="N139" s="298">
        <f t="shared" si="41"/>
        <v>2.141714781525127E-2</v>
      </c>
      <c r="O139" s="298">
        <f t="shared" si="42"/>
        <v>5.0470051852159137E-2</v>
      </c>
      <c r="P139" s="298">
        <f t="shared" si="43"/>
        <v>1.4828470203877422E-2</v>
      </c>
      <c r="Q139" s="298">
        <f t="shared" si="44"/>
        <v>-1.4941327891036792E-2</v>
      </c>
      <c r="R139" s="298">
        <f t="shared" si="45"/>
        <v>-0.10686314554236126</v>
      </c>
      <c r="S139" s="299">
        <f t="shared" si="46"/>
        <v>4.9857983164759888E-2</v>
      </c>
      <c r="U139" s="303">
        <f t="shared" si="47"/>
        <v>2.6175333055864562E-2</v>
      </c>
      <c r="V139" s="86">
        <f t="shared" si="48"/>
        <v>2.0552748227598519E-2</v>
      </c>
      <c r="W139" s="86">
        <f t="shared" si="49"/>
        <v>1.8568644470185101E-2</v>
      </c>
      <c r="X139" s="86">
        <f t="shared" si="50"/>
        <v>5.0098724339644629E-2</v>
      </c>
      <c r="Y139" s="86">
        <f t="shared" si="51"/>
        <v>1.3719460212183792E-2</v>
      </c>
      <c r="Z139" s="86">
        <f t="shared" si="52"/>
        <v>-1.6503120490214143E-2</v>
      </c>
      <c r="AA139" s="86">
        <f t="shared" si="53"/>
        <v>-0.10115122486681773</v>
      </c>
      <c r="AB139" s="304">
        <f t="shared" si="54"/>
        <v>4.9245625288110328E-2</v>
      </c>
    </row>
    <row r="140" spans="2:28" x14ac:dyDescent="0.3">
      <c r="B140" s="271">
        <v>43915</v>
      </c>
      <c r="C140" s="292">
        <v>64.2</v>
      </c>
      <c r="D140" s="292">
        <v>148.10000600000001</v>
      </c>
      <c r="E140" s="292">
        <v>3261.25</v>
      </c>
      <c r="F140" s="292">
        <v>856.75</v>
      </c>
      <c r="G140" s="292">
        <v>1593.15</v>
      </c>
      <c r="H140" s="292">
        <v>1082.25</v>
      </c>
      <c r="I140" s="292">
        <v>29.6</v>
      </c>
      <c r="J140" s="197">
        <v>2088.1499020000001</v>
      </c>
      <c r="L140" s="297">
        <f t="shared" si="39"/>
        <v>2.20481372217626E-2</v>
      </c>
      <c r="M140" s="298">
        <f t="shared" si="40"/>
        <v>4.700245086501495E-2</v>
      </c>
      <c r="N140" s="298">
        <f t="shared" si="41"/>
        <v>2.3956586092375446E-2</v>
      </c>
      <c r="O140" s="298">
        <f t="shared" si="42"/>
        <v>0.10974711328975961</v>
      </c>
      <c r="P140" s="298">
        <f t="shared" si="43"/>
        <v>4.3817143887610634E-2</v>
      </c>
      <c r="Q140" s="298">
        <f t="shared" si="44"/>
        <v>0.13730709003203062</v>
      </c>
      <c r="R140" s="298">
        <f t="shared" si="45"/>
        <v>-0.16757370015939896</v>
      </c>
      <c r="S140" s="299">
        <f t="shared" si="46"/>
        <v>2.9302352927861489E-2</v>
      </c>
      <c r="U140" s="303">
        <f t="shared" si="47"/>
        <v>2.3606842642271132E-2</v>
      </c>
      <c r="V140" s="86">
        <f t="shared" si="48"/>
        <v>4.0904722166554316E-2</v>
      </c>
      <c r="W140" s="86">
        <f t="shared" si="49"/>
        <v>2.1108082747309277E-2</v>
      </c>
      <c r="X140" s="86">
        <f t="shared" si="50"/>
        <v>0.1093757857772451</v>
      </c>
      <c r="Y140" s="86">
        <f t="shared" si="51"/>
        <v>4.2708133895917003E-2</v>
      </c>
      <c r="Z140" s="86">
        <f t="shared" si="52"/>
        <v>0.13574529743285327</v>
      </c>
      <c r="AA140" s="86">
        <f t="shared" si="53"/>
        <v>-0.16186177948385541</v>
      </c>
      <c r="AB140" s="304">
        <f t="shared" si="54"/>
        <v>2.868999505121193E-2</v>
      </c>
    </row>
    <row r="141" spans="2:28" x14ac:dyDescent="0.3">
      <c r="B141" s="271">
        <v>43914</v>
      </c>
      <c r="C141" s="292">
        <v>62.8</v>
      </c>
      <c r="D141" s="292">
        <v>141.300003</v>
      </c>
      <c r="E141" s="292">
        <v>3184.05</v>
      </c>
      <c r="F141" s="292">
        <v>767.70001200000002</v>
      </c>
      <c r="G141" s="292">
        <v>1524.85</v>
      </c>
      <c r="H141" s="292">
        <v>943.40002400000003</v>
      </c>
      <c r="I141" s="292">
        <v>35</v>
      </c>
      <c r="J141" s="197">
        <v>2027.849976</v>
      </c>
      <c r="L141" s="297">
        <f t="shared" si="39"/>
        <v>2.3913921320757054E-3</v>
      </c>
      <c r="M141" s="298">
        <f t="shared" si="40"/>
        <v>4.3760393195313128E-2</v>
      </c>
      <c r="N141" s="298">
        <f t="shared" si="41"/>
        <v>-1.024864850086904E-2</v>
      </c>
      <c r="O141" s="298">
        <f t="shared" si="42"/>
        <v>-5.0024154991475918E-3</v>
      </c>
      <c r="P141" s="298">
        <f t="shared" si="43"/>
        <v>1.746480404804383E-2</v>
      </c>
      <c r="Q141" s="298">
        <f t="shared" si="44"/>
        <v>6.497678773985395E-2</v>
      </c>
      <c r="R141" s="298">
        <f t="shared" si="45"/>
        <v>-0.12726177961092719</v>
      </c>
      <c r="S141" s="299">
        <f t="shared" si="46"/>
        <v>8.1198142679513891E-2</v>
      </c>
      <c r="U141" s="303">
        <f t="shared" si="47"/>
        <v>3.9500975525842358E-3</v>
      </c>
      <c r="V141" s="86">
        <f t="shared" si="48"/>
        <v>3.7662664496852495E-2</v>
      </c>
      <c r="W141" s="86">
        <f t="shared" si="49"/>
        <v>-1.3097151845935209E-2</v>
      </c>
      <c r="X141" s="86">
        <f t="shared" si="50"/>
        <v>-5.3737430116621012E-3</v>
      </c>
      <c r="Y141" s="86">
        <f t="shared" si="51"/>
        <v>1.6355794056350202E-2</v>
      </c>
      <c r="Z141" s="86">
        <f t="shared" si="52"/>
        <v>6.3414995140676597E-2</v>
      </c>
      <c r="AA141" s="86">
        <f t="shared" si="53"/>
        <v>-0.12154985893538366</v>
      </c>
      <c r="AB141" s="304">
        <f t="shared" si="54"/>
        <v>8.0585784802864324E-2</v>
      </c>
    </row>
    <row r="142" spans="2:28" x14ac:dyDescent="0.3">
      <c r="B142" s="271">
        <v>43913</v>
      </c>
      <c r="C142" s="292">
        <v>62.65</v>
      </c>
      <c r="D142" s="292">
        <v>135.25</v>
      </c>
      <c r="E142" s="292">
        <v>3216.85</v>
      </c>
      <c r="F142" s="292">
        <v>771.54998799999998</v>
      </c>
      <c r="G142" s="292">
        <v>1498.45</v>
      </c>
      <c r="H142" s="292">
        <v>884.04998799999998</v>
      </c>
      <c r="I142" s="292">
        <v>39.75</v>
      </c>
      <c r="J142" s="197">
        <v>1869.6999510000001</v>
      </c>
      <c r="L142" s="297">
        <f t="shared" si="39"/>
        <v>-0.18590650387178068</v>
      </c>
      <c r="M142" s="298">
        <f t="shared" si="40"/>
        <v>-5.116393814708603E-2</v>
      </c>
      <c r="N142" s="298">
        <f t="shared" si="41"/>
        <v>-0.10416297591425304</v>
      </c>
      <c r="O142" s="298">
        <f t="shared" si="42"/>
        <v>-0.13475382060001453</v>
      </c>
      <c r="P142" s="298">
        <f t="shared" si="43"/>
        <v>-0.15114783943529647</v>
      </c>
      <c r="Q142" s="298">
        <f t="shared" si="44"/>
        <v>-0.14103248322887893</v>
      </c>
      <c r="R142" s="298">
        <f t="shared" si="45"/>
        <v>-0.14276535760213302</v>
      </c>
      <c r="S142" s="299">
        <f t="shared" si="46"/>
        <v>-9.2890729925710708E-2</v>
      </c>
      <c r="U142" s="303">
        <f t="shared" si="47"/>
        <v>-0.18434779845127214</v>
      </c>
      <c r="V142" s="86">
        <f t="shared" si="48"/>
        <v>-5.7261666845546663E-2</v>
      </c>
      <c r="W142" s="86">
        <f t="shared" si="49"/>
        <v>-0.10701147925931921</v>
      </c>
      <c r="X142" s="86">
        <f t="shared" si="50"/>
        <v>-0.13512514811252904</v>
      </c>
      <c r="Y142" s="86">
        <f t="shared" si="51"/>
        <v>-0.15225684942699011</v>
      </c>
      <c r="Z142" s="86">
        <f t="shared" si="52"/>
        <v>-0.14259427582805628</v>
      </c>
      <c r="AA142" s="86">
        <f t="shared" si="53"/>
        <v>-0.13705343692658947</v>
      </c>
      <c r="AB142" s="304">
        <f t="shared" si="54"/>
        <v>-9.3503087802360274E-2</v>
      </c>
    </row>
    <row r="143" spans="2:28" x14ac:dyDescent="0.3">
      <c r="B143" s="271">
        <v>43910</v>
      </c>
      <c r="C143" s="292">
        <v>75.45</v>
      </c>
      <c r="D143" s="292">
        <v>142.35000600000001</v>
      </c>
      <c r="E143" s="292">
        <v>3570</v>
      </c>
      <c r="F143" s="292">
        <v>882.84997599999997</v>
      </c>
      <c r="G143" s="292">
        <v>1742.95</v>
      </c>
      <c r="H143" s="292">
        <v>1017.950012</v>
      </c>
      <c r="I143" s="292">
        <v>45.85</v>
      </c>
      <c r="J143" s="197">
        <v>2051.6999510000001</v>
      </c>
      <c r="L143" s="297">
        <f t="shared" si="39"/>
        <v>8.4304038453017413E-2</v>
      </c>
      <c r="M143" s="298">
        <f t="shared" si="40"/>
        <v>4.8210861000215287E-2</v>
      </c>
      <c r="N143" s="298">
        <f t="shared" si="41"/>
        <v>9.4264508222070026E-2</v>
      </c>
      <c r="O143" s="298">
        <f t="shared" si="42"/>
        <v>-1.4282757707559724E-2</v>
      </c>
      <c r="P143" s="298">
        <f t="shared" si="43"/>
        <v>8.48257318168818E-2</v>
      </c>
      <c r="Q143" s="298">
        <f t="shared" si="44"/>
        <v>0.10367553887794824</v>
      </c>
      <c r="R143" s="298">
        <f t="shared" si="45"/>
        <v>-0.16082720489992372</v>
      </c>
      <c r="S143" s="299">
        <f t="shared" si="46"/>
        <v>0.10982743574563848</v>
      </c>
      <c r="U143" s="303">
        <f t="shared" si="47"/>
        <v>8.5862743873525937E-2</v>
      </c>
      <c r="V143" s="86">
        <f t="shared" si="48"/>
        <v>4.2113132301754654E-2</v>
      </c>
      <c r="W143" s="86">
        <f t="shared" si="49"/>
        <v>9.1416004877003854E-2</v>
      </c>
      <c r="X143" s="86">
        <f t="shared" si="50"/>
        <v>-1.4654085220074234E-2</v>
      </c>
      <c r="Y143" s="86">
        <f t="shared" si="51"/>
        <v>8.3716721825188176E-2</v>
      </c>
      <c r="Z143" s="86">
        <f t="shared" si="52"/>
        <v>0.10211374627877089</v>
      </c>
      <c r="AA143" s="86">
        <f t="shared" si="53"/>
        <v>-0.15511528422438017</v>
      </c>
      <c r="AB143" s="304">
        <f t="shared" si="54"/>
        <v>0.10921507786898892</v>
      </c>
    </row>
    <row r="144" spans="2:28" x14ac:dyDescent="0.3">
      <c r="B144" s="271">
        <v>43909</v>
      </c>
      <c r="C144" s="292">
        <v>69.349999999999994</v>
      </c>
      <c r="D144" s="292">
        <v>135.64999399999999</v>
      </c>
      <c r="E144" s="292">
        <v>3248.85</v>
      </c>
      <c r="F144" s="292">
        <v>895.54998799999998</v>
      </c>
      <c r="G144" s="292">
        <v>1601.2</v>
      </c>
      <c r="H144" s="292">
        <v>917.70001200000002</v>
      </c>
      <c r="I144" s="292">
        <v>53.85</v>
      </c>
      <c r="J144" s="197">
        <v>1838.3000489999999</v>
      </c>
      <c r="L144" s="297">
        <f t="shared" si="39"/>
        <v>-5.0608128207954184E-2</v>
      </c>
      <c r="M144" s="298">
        <f t="shared" si="40"/>
        <v>4.7169659174514142E-2</v>
      </c>
      <c r="N144" s="298">
        <f t="shared" si="41"/>
        <v>-0.10211873691754897</v>
      </c>
      <c r="O144" s="298">
        <f t="shared" si="42"/>
        <v>2.104505311722963E-2</v>
      </c>
      <c r="P144" s="298">
        <f t="shared" si="43"/>
        <v>-1.0561072255320722E-2</v>
      </c>
      <c r="Q144" s="298">
        <f t="shared" si="44"/>
        <v>-5.3877929945914484E-2</v>
      </c>
      <c r="R144" s="298">
        <f t="shared" si="45"/>
        <v>-0.11561417345840415</v>
      </c>
      <c r="S144" s="299">
        <f t="shared" si="46"/>
        <v>-4.5461164045050594E-2</v>
      </c>
      <c r="U144" s="303">
        <f t="shared" si="47"/>
        <v>-4.9049422787445653E-2</v>
      </c>
      <c r="V144" s="86">
        <f t="shared" si="48"/>
        <v>4.1071930476053509E-2</v>
      </c>
      <c r="W144" s="86">
        <f t="shared" si="49"/>
        <v>-0.10496724026261514</v>
      </c>
      <c r="X144" s="86">
        <f t="shared" si="50"/>
        <v>2.0673725604715122E-2</v>
      </c>
      <c r="Y144" s="86">
        <f t="shared" si="51"/>
        <v>-1.1670082247014352E-2</v>
      </c>
      <c r="Z144" s="86">
        <f t="shared" si="52"/>
        <v>-5.5439722545091837E-2</v>
      </c>
      <c r="AA144" s="86">
        <f t="shared" si="53"/>
        <v>-0.10990225278286062</v>
      </c>
      <c r="AB144" s="304">
        <f t="shared" si="54"/>
        <v>-4.6073521921700153E-2</v>
      </c>
    </row>
    <row r="145" spans="2:28" x14ac:dyDescent="0.3">
      <c r="B145" s="271">
        <v>43908</v>
      </c>
      <c r="C145" s="292">
        <v>72.95</v>
      </c>
      <c r="D145" s="292">
        <v>129.39999399999999</v>
      </c>
      <c r="E145" s="292">
        <v>3598.15</v>
      </c>
      <c r="F145" s="292">
        <v>876.90002400000003</v>
      </c>
      <c r="G145" s="292">
        <v>1618.2</v>
      </c>
      <c r="H145" s="292">
        <v>968.5</v>
      </c>
      <c r="I145" s="292">
        <v>60.45</v>
      </c>
      <c r="J145" s="197">
        <v>1923.8000489999999</v>
      </c>
      <c r="L145" s="297">
        <f t="shared" si="39"/>
        <v>-2.7713838567515775E-2</v>
      </c>
      <c r="M145" s="298">
        <f t="shared" si="40"/>
        <v>4.7477208020204761E-2</v>
      </c>
      <c r="N145" s="298">
        <f t="shared" si="41"/>
        <v>-6.2614677099674623E-2</v>
      </c>
      <c r="O145" s="298">
        <f t="shared" si="42"/>
        <v>-0.10614701707376191</v>
      </c>
      <c r="P145" s="298">
        <f t="shared" si="43"/>
        <v>-6.7731416194086125E-2</v>
      </c>
      <c r="Q145" s="298">
        <f t="shared" si="44"/>
        <v>-3.9974965784263329E-2</v>
      </c>
      <c r="R145" s="298">
        <f t="shared" si="45"/>
        <v>3.0229001961317292E-2</v>
      </c>
      <c r="S145" s="299">
        <f t="shared" si="46"/>
        <v>-4.0867735254856735E-2</v>
      </c>
      <c r="U145" s="303">
        <f t="shared" si="47"/>
        <v>-2.6155133147007244E-2</v>
      </c>
      <c r="V145" s="86">
        <f t="shared" si="48"/>
        <v>4.1379479321744128E-2</v>
      </c>
      <c r="W145" s="86">
        <f t="shared" si="49"/>
        <v>-6.5463180444740796E-2</v>
      </c>
      <c r="X145" s="86">
        <f t="shared" si="50"/>
        <v>-0.10651834458627642</v>
      </c>
      <c r="Y145" s="86">
        <f t="shared" si="51"/>
        <v>-6.8840426185779749E-2</v>
      </c>
      <c r="Z145" s="86">
        <f t="shared" si="52"/>
        <v>-4.1536758383440682E-2</v>
      </c>
      <c r="AA145" s="86">
        <f t="shared" si="53"/>
        <v>3.5940922636860828E-2</v>
      </c>
      <c r="AB145" s="304">
        <f t="shared" si="54"/>
        <v>-4.1480093131506295E-2</v>
      </c>
    </row>
    <row r="146" spans="2:28" x14ac:dyDescent="0.3">
      <c r="B146" s="271">
        <v>43907</v>
      </c>
      <c r="C146" s="292">
        <v>75</v>
      </c>
      <c r="D146" s="292">
        <v>123.400002</v>
      </c>
      <c r="E146" s="292">
        <v>3830.65</v>
      </c>
      <c r="F146" s="292">
        <v>975.09997599999997</v>
      </c>
      <c r="G146" s="292">
        <v>1731.6</v>
      </c>
      <c r="H146" s="292">
        <v>1008</v>
      </c>
      <c r="I146" s="292">
        <v>58.65</v>
      </c>
      <c r="J146" s="197">
        <v>2004.0500489999999</v>
      </c>
      <c r="L146" s="297">
        <f t="shared" si="39"/>
        <v>2.0020026706731903E-3</v>
      </c>
      <c r="M146" s="298">
        <f t="shared" si="40"/>
        <v>4.7292138901042141E-2</v>
      </c>
      <c r="N146" s="298">
        <f t="shared" si="41"/>
        <v>-1.4358715986749681E-2</v>
      </c>
      <c r="O146" s="298">
        <f t="shared" si="42"/>
        <v>-2.471514871224198E-2</v>
      </c>
      <c r="P146" s="298">
        <f t="shared" si="43"/>
        <v>2.8230278790349735E-2</v>
      </c>
      <c r="Q146" s="298">
        <f t="shared" si="44"/>
        <v>-7.6098721286536278E-3</v>
      </c>
      <c r="R146" s="298">
        <f t="shared" si="45"/>
        <v>0.45797060548609492</v>
      </c>
      <c r="S146" s="299">
        <f t="shared" si="46"/>
        <v>3.1503269865190774E-2</v>
      </c>
      <c r="U146" s="303">
        <f t="shared" si="47"/>
        <v>3.5607080911817203E-3</v>
      </c>
      <c r="V146" s="86">
        <f t="shared" si="48"/>
        <v>4.1194410202581508E-2</v>
      </c>
      <c r="W146" s="86">
        <f t="shared" si="49"/>
        <v>-1.7207219331815852E-2</v>
      </c>
      <c r="X146" s="86">
        <f t="shared" si="50"/>
        <v>-2.5086476224756488E-2</v>
      </c>
      <c r="Y146" s="86">
        <f t="shared" si="51"/>
        <v>2.7121268798656107E-2</v>
      </c>
      <c r="Z146" s="86">
        <f t="shared" si="52"/>
        <v>-9.171664727830979E-3</v>
      </c>
      <c r="AA146" s="86">
        <f t="shared" si="53"/>
        <v>0.46368252616163846</v>
      </c>
      <c r="AB146" s="304">
        <f t="shared" si="54"/>
        <v>3.0890911988541214E-2</v>
      </c>
    </row>
    <row r="147" spans="2:28" x14ac:dyDescent="0.3">
      <c r="B147" s="271">
        <v>43906</v>
      </c>
      <c r="C147" s="292">
        <v>74.849999999999994</v>
      </c>
      <c r="D147" s="292">
        <v>117.699997</v>
      </c>
      <c r="E147" s="292">
        <v>3886.05</v>
      </c>
      <c r="F147" s="292">
        <v>999.5</v>
      </c>
      <c r="G147" s="292">
        <v>1683.4</v>
      </c>
      <c r="H147" s="292">
        <v>1015.700012</v>
      </c>
      <c r="I147" s="292">
        <v>37.1</v>
      </c>
      <c r="J147" s="197">
        <v>1941.900024</v>
      </c>
      <c r="L147" s="297">
        <f t="shared" si="39"/>
        <v>-0.11592574898898726</v>
      </c>
      <c r="M147" s="298">
        <f t="shared" si="40"/>
        <v>-4.7292138901042231E-2</v>
      </c>
      <c r="N147" s="298">
        <f t="shared" si="41"/>
        <v>-8.6601701906621874E-3</v>
      </c>
      <c r="O147" s="298">
        <f t="shared" si="42"/>
        <v>-6.7971885959647732E-2</v>
      </c>
      <c r="P147" s="298">
        <f t="shared" si="43"/>
        <v>-6.5692512274894588E-2</v>
      </c>
      <c r="Q147" s="298">
        <f t="shared" si="44"/>
        <v>-8.4538793888796662E-2</v>
      </c>
      <c r="R147" s="298">
        <f t="shared" si="45"/>
        <v>0.37297965296367602</v>
      </c>
      <c r="S147" s="299">
        <f t="shared" si="46"/>
        <v>-4.59439948942022E-2</v>
      </c>
      <c r="U147" s="303">
        <f t="shared" si="47"/>
        <v>-0.11436704356847874</v>
      </c>
      <c r="V147" s="86">
        <f t="shared" si="48"/>
        <v>-5.3389867599502865E-2</v>
      </c>
      <c r="W147" s="86">
        <f t="shared" si="49"/>
        <v>-1.1508673535728356E-2</v>
      </c>
      <c r="X147" s="86">
        <f t="shared" si="50"/>
        <v>-6.834321347216224E-2</v>
      </c>
      <c r="Y147" s="86">
        <f t="shared" si="51"/>
        <v>-6.6801522266588212E-2</v>
      </c>
      <c r="Z147" s="86">
        <f t="shared" si="52"/>
        <v>-8.6100586487974015E-2</v>
      </c>
      <c r="AA147" s="86">
        <f t="shared" si="53"/>
        <v>0.37869157363921957</v>
      </c>
      <c r="AB147" s="304">
        <f t="shared" si="54"/>
        <v>-4.655635277085176E-2</v>
      </c>
    </row>
    <row r="148" spans="2:28" x14ac:dyDescent="0.3">
      <c r="B148" s="271">
        <v>43903</v>
      </c>
      <c r="C148" s="292">
        <v>84.05</v>
      </c>
      <c r="D148" s="292">
        <v>123.400002</v>
      </c>
      <c r="E148" s="292">
        <v>3919.85</v>
      </c>
      <c r="F148" s="292">
        <v>1069.8000489999999</v>
      </c>
      <c r="G148" s="292">
        <v>1797.7</v>
      </c>
      <c r="H148" s="292">
        <v>1105.3000489999999</v>
      </c>
      <c r="I148" s="292">
        <v>25.55</v>
      </c>
      <c r="J148" s="197">
        <v>2033.1999510000001</v>
      </c>
      <c r="L148" s="297">
        <f t="shared" si="39"/>
        <v>5.1261985193603289E-2</v>
      </c>
      <c r="M148" s="298">
        <f t="shared" si="40"/>
        <v>-7.6690264870359452E-3</v>
      </c>
      <c r="N148" s="298">
        <f t="shared" si="41"/>
        <v>-2.3996412857194664E-2</v>
      </c>
      <c r="O148" s="298">
        <f t="shared" si="42"/>
        <v>4.6395447065780047E-2</v>
      </c>
      <c r="P148" s="298">
        <f t="shared" si="43"/>
        <v>-2.5076498346345431E-2</v>
      </c>
      <c r="Q148" s="298">
        <f t="shared" si="44"/>
        <v>3.9021736306816372E-2</v>
      </c>
      <c r="R148" s="298">
        <f t="shared" si="45"/>
        <v>1.9763489118839718E-2</v>
      </c>
      <c r="S148" s="299">
        <f t="shared" si="46"/>
        <v>-1.1127121907123663E-2</v>
      </c>
      <c r="U148" s="303">
        <f t="shared" si="47"/>
        <v>5.282069061411182E-2</v>
      </c>
      <c r="V148" s="86">
        <f t="shared" si="48"/>
        <v>-1.3766755185496578E-2</v>
      </c>
      <c r="W148" s="86">
        <f t="shared" si="49"/>
        <v>-2.6844916202260833E-2</v>
      </c>
      <c r="X148" s="86">
        <f t="shared" si="50"/>
        <v>4.602411955326554E-2</v>
      </c>
      <c r="Y148" s="86">
        <f t="shared" si="51"/>
        <v>-2.6185508338039058E-2</v>
      </c>
      <c r="Z148" s="86">
        <f t="shared" si="52"/>
        <v>3.7459943707639019E-2</v>
      </c>
      <c r="AA148" s="86">
        <f t="shared" si="53"/>
        <v>2.5475409794383255E-2</v>
      </c>
      <c r="AB148" s="304">
        <f t="shared" si="54"/>
        <v>-1.1739479783773224E-2</v>
      </c>
    </row>
    <row r="149" spans="2:28" x14ac:dyDescent="0.3">
      <c r="B149" s="271">
        <v>43902</v>
      </c>
      <c r="C149" s="292">
        <v>79.849999999999994</v>
      </c>
      <c r="D149" s="292">
        <v>124.349998</v>
      </c>
      <c r="E149" s="292">
        <v>4015.05</v>
      </c>
      <c r="F149" s="292">
        <v>1021.299988</v>
      </c>
      <c r="G149" s="292">
        <v>1843.35</v>
      </c>
      <c r="H149" s="292">
        <v>1063</v>
      </c>
      <c r="I149" s="292">
        <v>25.05</v>
      </c>
      <c r="J149" s="197">
        <v>2055.9499510000001</v>
      </c>
      <c r="L149" s="297">
        <f t="shared" si="39"/>
        <v>-0.14163870238801893</v>
      </c>
      <c r="M149" s="298">
        <f t="shared" si="40"/>
        <v>-5.0951520664406565E-2</v>
      </c>
      <c r="N149" s="298">
        <f t="shared" si="41"/>
        <v>-6.7809122353351931E-2</v>
      </c>
      <c r="O149" s="298">
        <f t="shared" si="42"/>
        <v>-8.6701322314780407E-2</v>
      </c>
      <c r="P149" s="298">
        <f t="shared" si="43"/>
        <v>-2.1202017968566019E-2</v>
      </c>
      <c r="Q149" s="298">
        <f t="shared" si="44"/>
        <v>-8.17490871472379E-2</v>
      </c>
      <c r="R149" s="298">
        <f t="shared" si="45"/>
        <v>-0.13950155961102648</v>
      </c>
      <c r="S149" s="299">
        <f t="shared" si="46"/>
        <v>-4.7052719157918255E-2</v>
      </c>
      <c r="U149" s="303">
        <f t="shared" si="47"/>
        <v>-0.14007999696751039</v>
      </c>
      <c r="V149" s="86">
        <f t="shared" si="48"/>
        <v>-5.7049249362867198E-2</v>
      </c>
      <c r="W149" s="86">
        <f t="shared" si="49"/>
        <v>-7.0657625698418103E-2</v>
      </c>
      <c r="X149" s="86">
        <f t="shared" si="50"/>
        <v>-8.7072649827294915E-2</v>
      </c>
      <c r="Y149" s="86">
        <f t="shared" si="51"/>
        <v>-2.2311027960259647E-2</v>
      </c>
      <c r="Z149" s="86">
        <f t="shared" si="52"/>
        <v>-8.3310879746415253E-2</v>
      </c>
      <c r="AA149" s="86">
        <f t="shared" si="53"/>
        <v>-0.13378963893548293</v>
      </c>
      <c r="AB149" s="304">
        <f t="shared" si="54"/>
        <v>-4.7665077034567814E-2</v>
      </c>
    </row>
    <row r="150" spans="2:28" x14ac:dyDescent="0.3">
      <c r="B150" s="271">
        <v>43901</v>
      </c>
      <c r="C150" s="292">
        <v>92</v>
      </c>
      <c r="D150" s="292">
        <v>130.85000600000001</v>
      </c>
      <c r="E150" s="292">
        <v>4296.75</v>
      </c>
      <c r="F150" s="292">
        <v>1113.8000489999999</v>
      </c>
      <c r="G150" s="292">
        <v>1882.85</v>
      </c>
      <c r="H150" s="292">
        <v>1153.5500489999999</v>
      </c>
      <c r="I150" s="292">
        <v>28.8</v>
      </c>
      <c r="J150" s="197">
        <v>2155</v>
      </c>
      <c r="L150" s="297">
        <f t="shared" si="39"/>
        <v>-3.1035128566841944E-2</v>
      </c>
      <c r="M150" s="298">
        <f t="shared" si="40"/>
        <v>-5.1025709117931299E-2</v>
      </c>
      <c r="N150" s="298">
        <f t="shared" si="41"/>
        <v>2.8900743799619931E-3</v>
      </c>
      <c r="O150" s="298">
        <f t="shared" si="42"/>
        <v>5.8529721932576812E-3</v>
      </c>
      <c r="P150" s="298">
        <f t="shared" si="43"/>
        <v>8.3733822569396193E-3</v>
      </c>
      <c r="Q150" s="298">
        <f t="shared" si="44"/>
        <v>3.4752382615123575E-2</v>
      </c>
      <c r="R150" s="298">
        <f t="shared" si="45"/>
        <v>0.30401849177147439</v>
      </c>
      <c r="S150" s="299">
        <f t="shared" si="46"/>
        <v>1.5667337895468706E-2</v>
      </c>
      <c r="U150" s="303">
        <f t="shared" si="47"/>
        <v>-2.9476423146333412E-2</v>
      </c>
      <c r="V150" s="86">
        <f t="shared" si="48"/>
        <v>-5.7123437816391932E-2</v>
      </c>
      <c r="W150" s="86">
        <f t="shared" si="49"/>
        <v>4.1571034895823873E-5</v>
      </c>
      <c r="X150" s="86">
        <f t="shared" si="50"/>
        <v>5.4816446807431718E-3</v>
      </c>
      <c r="Y150" s="86">
        <f t="shared" si="51"/>
        <v>7.2643722652459899E-3</v>
      </c>
      <c r="Z150" s="86">
        <f t="shared" si="52"/>
        <v>3.3190590015946222E-2</v>
      </c>
      <c r="AA150" s="86">
        <f t="shared" si="53"/>
        <v>0.30973041244701793</v>
      </c>
      <c r="AB150" s="304">
        <f t="shared" si="54"/>
        <v>1.5054980018819145E-2</v>
      </c>
    </row>
    <row r="151" spans="2:28" x14ac:dyDescent="0.3">
      <c r="B151" s="271">
        <v>43899</v>
      </c>
      <c r="C151" s="292">
        <v>94.9</v>
      </c>
      <c r="D151" s="292">
        <v>137.699997</v>
      </c>
      <c r="E151" s="292">
        <v>4284.3500000000004</v>
      </c>
      <c r="F151" s="292">
        <v>1107.3000489999999</v>
      </c>
      <c r="G151" s="292">
        <v>1867.15</v>
      </c>
      <c r="H151" s="292">
        <v>1114.150024</v>
      </c>
      <c r="I151" s="292">
        <v>21.25</v>
      </c>
      <c r="J151" s="197">
        <v>2121.5</v>
      </c>
      <c r="L151" s="297">
        <f t="shared" si="39"/>
        <v>-0.15715684472455424</v>
      </c>
      <c r="M151" s="298">
        <f t="shared" si="40"/>
        <v>-5.096642397065175E-2</v>
      </c>
      <c r="N151" s="298">
        <f t="shared" si="41"/>
        <v>-3.3566166471740259E-2</v>
      </c>
      <c r="O151" s="298">
        <f t="shared" si="42"/>
        <v>-2.4619898498485542E-2</v>
      </c>
      <c r="P151" s="298">
        <f t="shared" si="43"/>
        <v>-5.5012690148764417E-3</v>
      </c>
      <c r="Q151" s="298">
        <f t="shared" si="44"/>
        <v>-0.13171218831539194</v>
      </c>
      <c r="R151" s="298">
        <f t="shared" si="45"/>
        <v>0.27443684570176036</v>
      </c>
      <c r="S151" s="299">
        <f t="shared" si="46"/>
        <v>-3.1275704105382073E-2</v>
      </c>
      <c r="U151" s="303">
        <f t="shared" si="47"/>
        <v>-0.1555981393040457</v>
      </c>
      <c r="V151" s="86">
        <f t="shared" si="48"/>
        <v>-5.7064152669112383E-2</v>
      </c>
      <c r="W151" s="86">
        <f t="shared" si="49"/>
        <v>-3.6414669816806432E-2</v>
      </c>
      <c r="X151" s="86">
        <f t="shared" si="50"/>
        <v>-2.499122601100005E-2</v>
      </c>
      <c r="Y151" s="86">
        <f t="shared" si="51"/>
        <v>-6.610279006570071E-3</v>
      </c>
      <c r="Z151" s="86">
        <f t="shared" si="52"/>
        <v>-0.1332739809145693</v>
      </c>
      <c r="AA151" s="86">
        <f t="shared" si="53"/>
        <v>0.2801487663773039</v>
      </c>
      <c r="AB151" s="304">
        <f t="shared" si="54"/>
        <v>-3.1888061982031632E-2</v>
      </c>
    </row>
    <row r="152" spans="2:28" x14ac:dyDescent="0.3">
      <c r="B152" s="271">
        <v>43896</v>
      </c>
      <c r="C152" s="292">
        <v>111.05</v>
      </c>
      <c r="D152" s="292">
        <v>144.89999399999999</v>
      </c>
      <c r="E152" s="292">
        <v>4430.6000000000004</v>
      </c>
      <c r="F152" s="292">
        <v>1134.900024</v>
      </c>
      <c r="G152" s="292">
        <v>1877.45</v>
      </c>
      <c r="H152" s="292">
        <v>1271</v>
      </c>
      <c r="I152" s="292">
        <v>16.149999999999999</v>
      </c>
      <c r="J152" s="197">
        <v>2188.8999020000001</v>
      </c>
      <c r="L152" s="297">
        <f t="shared" si="39"/>
        <v>-5.3047720263235142E-2</v>
      </c>
      <c r="M152" s="298">
        <f t="shared" si="40"/>
        <v>-5.1120788128697997E-2</v>
      </c>
      <c r="N152" s="298">
        <f t="shared" si="41"/>
        <v>7.7194445342030321E-2</v>
      </c>
      <c r="O152" s="298">
        <f t="shared" si="42"/>
        <v>-1.4390583604202496E-2</v>
      </c>
      <c r="P152" s="298">
        <f t="shared" si="43"/>
        <v>1.5991900846781845E-3</v>
      </c>
      <c r="Q152" s="298">
        <f t="shared" si="44"/>
        <v>-3.1100640809694251E-2</v>
      </c>
      <c r="R152" s="298">
        <f t="shared" si="45"/>
        <v>-0.82357779550621979</v>
      </c>
      <c r="S152" s="299">
        <f t="shared" si="46"/>
        <v>-1.3206799162550773E-2</v>
      </c>
      <c r="U152" s="303">
        <f t="shared" si="47"/>
        <v>-5.148901484272661E-2</v>
      </c>
      <c r="V152" s="86">
        <f t="shared" si="48"/>
        <v>-5.721851682715863E-2</v>
      </c>
      <c r="W152" s="86">
        <f t="shared" si="49"/>
        <v>7.4345941996964149E-2</v>
      </c>
      <c r="X152" s="86">
        <f t="shared" si="50"/>
        <v>-1.4761911116717005E-2</v>
      </c>
      <c r="Y152" s="86">
        <f t="shared" si="51"/>
        <v>4.901800929845556E-4</v>
      </c>
      <c r="Z152" s="86">
        <f t="shared" si="52"/>
        <v>-3.2662433408871601E-2</v>
      </c>
      <c r="AA152" s="86">
        <f t="shared" si="53"/>
        <v>-0.8178658748306763</v>
      </c>
      <c r="AB152" s="304">
        <f t="shared" si="54"/>
        <v>-1.3819157039200334E-2</v>
      </c>
    </row>
    <row r="153" spans="2:28" x14ac:dyDescent="0.3">
      <c r="B153" s="271">
        <v>43895</v>
      </c>
      <c r="C153" s="292">
        <v>117.1</v>
      </c>
      <c r="D153" s="292">
        <v>152.5</v>
      </c>
      <c r="E153" s="292">
        <v>4101.45</v>
      </c>
      <c r="F153" s="292">
        <v>1151.349976</v>
      </c>
      <c r="G153" s="292">
        <v>1874.45</v>
      </c>
      <c r="H153" s="292">
        <v>1311.150024</v>
      </c>
      <c r="I153" s="292">
        <v>36.799999999999997</v>
      </c>
      <c r="J153" s="197">
        <v>2218</v>
      </c>
      <c r="L153" s="297">
        <f t="shared" si="39"/>
        <v>-1.9032082181167444E-2</v>
      </c>
      <c r="M153" s="298">
        <f t="shared" si="40"/>
        <v>3.2840752011900187E-3</v>
      </c>
      <c r="N153" s="298">
        <f t="shared" si="41"/>
        <v>5.2250410095398298E-2</v>
      </c>
      <c r="O153" s="298">
        <f t="shared" si="42"/>
        <v>2.1737249252770036E-3</v>
      </c>
      <c r="P153" s="298">
        <f t="shared" si="43"/>
        <v>1.4238366481994979E-2</v>
      </c>
      <c r="Q153" s="298">
        <f t="shared" si="44"/>
        <v>-2.1541038708438522E-2</v>
      </c>
      <c r="R153" s="298">
        <f t="shared" si="45"/>
        <v>0.22791032915186346</v>
      </c>
      <c r="S153" s="299">
        <f t="shared" si="46"/>
        <v>1.9186451094185306E-2</v>
      </c>
      <c r="U153" s="303">
        <f t="shared" si="47"/>
        <v>-1.7473376760658913E-2</v>
      </c>
      <c r="V153" s="86">
        <f t="shared" si="48"/>
        <v>-2.8136534972706155E-3</v>
      </c>
      <c r="W153" s="86">
        <f t="shared" si="49"/>
        <v>4.9401906750332125E-2</v>
      </c>
      <c r="X153" s="86">
        <f t="shared" si="50"/>
        <v>1.8023974127624942E-3</v>
      </c>
      <c r="Y153" s="86">
        <f t="shared" si="51"/>
        <v>1.312935649030135E-2</v>
      </c>
      <c r="Z153" s="86">
        <f t="shared" si="52"/>
        <v>-2.3102831307615871E-2</v>
      </c>
      <c r="AA153" s="86">
        <f t="shared" si="53"/>
        <v>0.23362224982740701</v>
      </c>
      <c r="AB153" s="304">
        <f t="shared" si="54"/>
        <v>1.8574093217535746E-2</v>
      </c>
    </row>
    <row r="154" spans="2:28" x14ac:dyDescent="0.3">
      <c r="B154" s="271">
        <v>43894</v>
      </c>
      <c r="C154" s="292">
        <v>119.35</v>
      </c>
      <c r="D154" s="292">
        <v>152</v>
      </c>
      <c r="E154" s="292">
        <v>3892.65</v>
      </c>
      <c r="F154" s="292">
        <v>1148.849976</v>
      </c>
      <c r="G154" s="292">
        <v>1847.95</v>
      </c>
      <c r="H154" s="292">
        <v>1339.6999510000001</v>
      </c>
      <c r="I154" s="292">
        <v>29.3</v>
      </c>
      <c r="J154" s="197">
        <v>2175.8500979999999</v>
      </c>
      <c r="L154" s="297">
        <f t="shared" si="39"/>
        <v>-1.6743411194946863E-3</v>
      </c>
      <c r="M154" s="298">
        <f t="shared" si="40"/>
        <v>-4.8163401378622898E-2</v>
      </c>
      <c r="N154" s="298">
        <f t="shared" si="41"/>
        <v>-3.5903750442396541E-2</v>
      </c>
      <c r="O154" s="298">
        <f t="shared" si="42"/>
        <v>-2.8277320240493377E-2</v>
      </c>
      <c r="P154" s="298">
        <f t="shared" si="43"/>
        <v>2.5984742791325639E-2</v>
      </c>
      <c r="Q154" s="298">
        <f t="shared" si="44"/>
        <v>-2.3485314596765894E-3</v>
      </c>
      <c r="R154" s="298">
        <f t="shared" si="45"/>
        <v>-6.2830578792415062E-2</v>
      </c>
      <c r="S154" s="299">
        <f t="shared" si="46"/>
        <v>4.2372871689046396E-3</v>
      </c>
      <c r="U154" s="303">
        <f t="shared" si="47"/>
        <v>-1.1563569898615607E-4</v>
      </c>
      <c r="V154" s="86">
        <f t="shared" si="48"/>
        <v>-5.4261130077083532E-2</v>
      </c>
      <c r="W154" s="86">
        <f t="shared" si="49"/>
        <v>-3.8752253787462713E-2</v>
      </c>
      <c r="X154" s="86">
        <f t="shared" si="50"/>
        <v>-2.8648647753007885E-2</v>
      </c>
      <c r="Y154" s="86">
        <f t="shared" si="51"/>
        <v>2.4875732799632011E-2</v>
      </c>
      <c r="Z154" s="86">
        <f t="shared" si="52"/>
        <v>-3.9103240588539397E-3</v>
      </c>
      <c r="AA154" s="86">
        <f t="shared" si="53"/>
        <v>-5.7118658116871529E-2</v>
      </c>
      <c r="AB154" s="304">
        <f t="shared" si="54"/>
        <v>3.6249292922550785E-3</v>
      </c>
    </row>
    <row r="155" spans="2:28" x14ac:dyDescent="0.3">
      <c r="B155" s="271">
        <v>43893</v>
      </c>
      <c r="C155" s="292">
        <v>119.55</v>
      </c>
      <c r="D155" s="292">
        <v>159.5</v>
      </c>
      <c r="E155" s="292">
        <v>4034.95</v>
      </c>
      <c r="F155" s="292">
        <v>1181.8000489999999</v>
      </c>
      <c r="G155" s="292">
        <v>1800.55</v>
      </c>
      <c r="H155" s="292">
        <v>1342.849976</v>
      </c>
      <c r="I155" s="292">
        <v>31.2</v>
      </c>
      <c r="J155" s="197">
        <v>2166.6499020000001</v>
      </c>
      <c r="L155" s="297">
        <f t="shared" si="39"/>
        <v>7.4655044525730865E-2</v>
      </c>
      <c r="M155" s="298">
        <f t="shared" si="40"/>
        <v>2.1867434283503455E-2</v>
      </c>
      <c r="N155" s="298">
        <f t="shared" si="41"/>
        <v>2.5057615564333491E-2</v>
      </c>
      <c r="O155" s="298">
        <f t="shared" si="42"/>
        <v>1.8633637785085639E-3</v>
      </c>
      <c r="P155" s="298">
        <f t="shared" si="43"/>
        <v>7.6658632892564506E-3</v>
      </c>
      <c r="Q155" s="298">
        <f t="shared" si="44"/>
        <v>2.0083376779507112E-2</v>
      </c>
      <c r="R155" s="298">
        <f t="shared" si="45"/>
        <v>-1.115549417178551E-2</v>
      </c>
      <c r="S155" s="299">
        <f t="shared" si="46"/>
        <v>3.3286137132328567E-3</v>
      </c>
      <c r="U155" s="303">
        <f t="shared" si="47"/>
        <v>7.621374994623939E-2</v>
      </c>
      <c r="V155" s="86">
        <f t="shared" si="48"/>
        <v>1.5769705585042822E-2</v>
      </c>
      <c r="W155" s="86">
        <f t="shared" si="49"/>
        <v>2.2209112219267323E-2</v>
      </c>
      <c r="X155" s="86">
        <f t="shared" si="50"/>
        <v>1.4920362659940544E-3</v>
      </c>
      <c r="Y155" s="86">
        <f t="shared" si="51"/>
        <v>6.5568532975628212E-3</v>
      </c>
      <c r="Z155" s="86">
        <f t="shared" si="52"/>
        <v>1.8521584180329762E-2</v>
      </c>
      <c r="AA155" s="86">
        <f t="shared" si="53"/>
        <v>-5.4435734962419739E-3</v>
      </c>
      <c r="AB155" s="304">
        <f t="shared" si="54"/>
        <v>2.7162558365832956E-3</v>
      </c>
    </row>
    <row r="156" spans="2:28" x14ac:dyDescent="0.3">
      <c r="B156" s="271">
        <v>43892</v>
      </c>
      <c r="C156" s="292">
        <v>110.95</v>
      </c>
      <c r="D156" s="292">
        <v>156.050003</v>
      </c>
      <c r="E156" s="292">
        <v>3935.1</v>
      </c>
      <c r="F156" s="292">
        <v>1179.599976</v>
      </c>
      <c r="G156" s="292">
        <v>1786.8</v>
      </c>
      <c r="H156" s="292">
        <v>1316.150024</v>
      </c>
      <c r="I156" s="292">
        <v>31.55</v>
      </c>
      <c r="J156" s="197">
        <v>2159.4499510000001</v>
      </c>
      <c r="L156" s="297">
        <f t="shared" si="39"/>
        <v>-2.7118799015892564E-2</v>
      </c>
      <c r="M156" s="298">
        <f t="shared" si="40"/>
        <v>7.0740230687228733E-3</v>
      </c>
      <c r="N156" s="298">
        <f t="shared" si="41"/>
        <v>2.7580759350674642E-2</v>
      </c>
      <c r="O156" s="298">
        <f t="shared" si="42"/>
        <v>1.6544299032975067E-3</v>
      </c>
      <c r="P156" s="298">
        <f t="shared" si="43"/>
        <v>-6.2208164906266423E-3</v>
      </c>
      <c r="Q156" s="298">
        <f t="shared" si="44"/>
        <v>-9.452580797983532E-3</v>
      </c>
      <c r="R156" s="298">
        <f t="shared" si="45"/>
        <v>-9.2280093076456376E-2</v>
      </c>
      <c r="S156" s="299">
        <f t="shared" si="46"/>
        <v>-7.0601784536605582E-3</v>
      </c>
      <c r="U156" s="303">
        <f t="shared" si="47"/>
        <v>-2.5560093595384033E-2</v>
      </c>
      <c r="V156" s="86">
        <f t="shared" si="48"/>
        <v>9.7629437026223922E-4</v>
      </c>
      <c r="W156" s="86">
        <f t="shared" si="49"/>
        <v>2.4732256005608473E-2</v>
      </c>
      <c r="X156" s="86">
        <f t="shared" si="50"/>
        <v>1.2831023907829975E-3</v>
      </c>
      <c r="Y156" s="86">
        <f t="shared" si="51"/>
        <v>-7.3298264823202716E-3</v>
      </c>
      <c r="Z156" s="86">
        <f t="shared" si="52"/>
        <v>-1.1014373397160883E-2</v>
      </c>
      <c r="AA156" s="86">
        <f t="shared" si="53"/>
        <v>-8.6568172400912843E-2</v>
      </c>
      <c r="AB156" s="304">
        <f t="shared" si="54"/>
        <v>-7.6725363303101193E-3</v>
      </c>
    </row>
    <row r="157" spans="2:28" x14ac:dyDescent="0.3">
      <c r="B157" s="271">
        <v>43889</v>
      </c>
      <c r="C157" s="292">
        <v>114</v>
      </c>
      <c r="D157" s="292">
        <v>154.949997</v>
      </c>
      <c r="E157" s="292">
        <v>3828.05</v>
      </c>
      <c r="F157" s="292">
        <v>1177.650024</v>
      </c>
      <c r="G157" s="292">
        <v>1797.95</v>
      </c>
      <c r="H157" s="292">
        <v>1328.650024</v>
      </c>
      <c r="I157" s="292">
        <v>34.6</v>
      </c>
      <c r="J157" s="197">
        <v>2174.75</v>
      </c>
      <c r="L157" s="297">
        <f t="shared" si="39"/>
        <v>-0.13555784675064245</v>
      </c>
      <c r="M157" s="298">
        <f t="shared" si="40"/>
        <v>-5.0647735934089499E-2</v>
      </c>
      <c r="N157" s="298">
        <f t="shared" si="41"/>
        <v>-4.8341619428284077E-2</v>
      </c>
      <c r="O157" s="298">
        <f t="shared" si="42"/>
        <v>-1.8342129831929562E-2</v>
      </c>
      <c r="P157" s="298">
        <f t="shared" si="43"/>
        <v>-2.5181532395903712E-2</v>
      </c>
      <c r="Q157" s="298">
        <f t="shared" si="44"/>
        <v>-4.2438852478837011E-2</v>
      </c>
      <c r="R157" s="298">
        <f t="shared" si="45"/>
        <v>-6.1644163111206601E-2</v>
      </c>
      <c r="S157" s="299">
        <f t="shared" si="46"/>
        <v>-3.6214062624330814E-2</v>
      </c>
      <c r="U157" s="303">
        <f t="shared" si="47"/>
        <v>-0.13399914133013391</v>
      </c>
      <c r="V157" s="86">
        <f t="shared" si="48"/>
        <v>-5.6745464632550133E-2</v>
      </c>
      <c r="W157" s="86">
        <f t="shared" si="49"/>
        <v>-5.119012277335025E-2</v>
      </c>
      <c r="X157" s="86">
        <f t="shared" si="50"/>
        <v>-1.871345734444407E-2</v>
      </c>
      <c r="Y157" s="86">
        <f t="shared" si="51"/>
        <v>-2.629054238759734E-2</v>
      </c>
      <c r="Z157" s="86">
        <f t="shared" si="52"/>
        <v>-4.4000645078014364E-2</v>
      </c>
      <c r="AA157" s="86">
        <f t="shared" si="53"/>
        <v>-5.5932242435663068E-2</v>
      </c>
      <c r="AB157" s="304">
        <f t="shared" si="54"/>
        <v>-3.6826420500980374E-2</v>
      </c>
    </row>
    <row r="158" spans="2:28" x14ac:dyDescent="0.3">
      <c r="B158" s="271">
        <v>43888</v>
      </c>
      <c r="C158" s="292">
        <v>130.55000000000001</v>
      </c>
      <c r="D158" s="292">
        <v>163</v>
      </c>
      <c r="E158" s="292">
        <v>4017.65</v>
      </c>
      <c r="F158" s="292">
        <v>1199.4499510000001</v>
      </c>
      <c r="G158" s="292">
        <v>1843.8</v>
      </c>
      <c r="H158" s="292">
        <v>1386.25</v>
      </c>
      <c r="I158" s="292">
        <v>36.799999999999997</v>
      </c>
      <c r="J158" s="197">
        <v>2254.9499510000001</v>
      </c>
      <c r="L158" s="297">
        <f t="shared" si="39"/>
        <v>2.3006145116615732E-3</v>
      </c>
      <c r="M158" s="298">
        <f t="shared" si="40"/>
        <v>-5.1124585985309168E-2</v>
      </c>
      <c r="N158" s="298">
        <f t="shared" si="41"/>
        <v>-5.9063838863590203E-3</v>
      </c>
      <c r="O158" s="298">
        <f t="shared" si="42"/>
        <v>1.6671614169993328E-4</v>
      </c>
      <c r="P158" s="298">
        <f t="shared" si="43"/>
        <v>9.3449712197584568E-3</v>
      </c>
      <c r="Q158" s="298">
        <f t="shared" si="44"/>
        <v>-4.1393022297881799E-3</v>
      </c>
      <c r="R158" s="298">
        <f t="shared" si="45"/>
        <v>6.8166589790977202E-3</v>
      </c>
      <c r="S158" s="299">
        <f t="shared" si="46"/>
        <v>8.3498032108859661E-3</v>
      </c>
      <c r="U158" s="303">
        <f t="shared" si="47"/>
        <v>3.8593199321701032E-3</v>
      </c>
      <c r="V158" s="86">
        <f t="shared" si="48"/>
        <v>-5.7222314683769801E-2</v>
      </c>
      <c r="W158" s="86">
        <f t="shared" si="49"/>
        <v>-8.7548872314251892E-3</v>
      </c>
      <c r="X158" s="86">
        <f t="shared" si="50"/>
        <v>-2.0461137081457604E-4</v>
      </c>
      <c r="Y158" s="86">
        <f t="shared" si="51"/>
        <v>8.2359612280648274E-3</v>
      </c>
      <c r="Z158" s="86">
        <f t="shared" si="52"/>
        <v>-5.7010948289655302E-3</v>
      </c>
      <c r="AA158" s="86">
        <f t="shared" si="53"/>
        <v>1.2528579654641256E-2</v>
      </c>
      <c r="AB158" s="304">
        <f t="shared" si="54"/>
        <v>7.737445334236405E-3</v>
      </c>
    </row>
    <row r="159" spans="2:28" x14ac:dyDescent="0.3">
      <c r="B159" s="271">
        <v>43887</v>
      </c>
      <c r="C159" s="292">
        <v>130.25</v>
      </c>
      <c r="D159" s="292">
        <v>171.550003</v>
      </c>
      <c r="E159" s="292">
        <v>4041.45</v>
      </c>
      <c r="F159" s="292">
        <v>1199.25</v>
      </c>
      <c r="G159" s="292">
        <v>1826.65</v>
      </c>
      <c r="H159" s="292">
        <v>1392</v>
      </c>
      <c r="I159" s="292">
        <v>36.549999999999997</v>
      </c>
      <c r="J159" s="197">
        <v>2236.1999510000001</v>
      </c>
      <c r="L159" s="297">
        <f t="shared" si="39"/>
        <v>-1.8635260704685484E-2</v>
      </c>
      <c r="M159" s="298">
        <f t="shared" si="40"/>
        <v>-5.1132977547291021E-2</v>
      </c>
      <c r="N159" s="298">
        <f t="shared" si="41"/>
        <v>-2.6119179262400982E-2</v>
      </c>
      <c r="O159" s="298">
        <f t="shared" si="42"/>
        <v>-8.7520497225237462E-4</v>
      </c>
      <c r="P159" s="298">
        <f t="shared" si="43"/>
        <v>3.0114297674718569E-4</v>
      </c>
      <c r="Q159" s="298">
        <f t="shared" si="44"/>
        <v>-1.7376896287749608E-2</v>
      </c>
      <c r="R159" s="298">
        <f t="shared" si="45"/>
        <v>3.9056567939113544E-2</v>
      </c>
      <c r="S159" s="299">
        <f t="shared" si="46"/>
        <v>1.1632973576846662E-3</v>
      </c>
      <c r="U159" s="303">
        <f t="shared" si="47"/>
        <v>-1.7076555284176953E-2</v>
      </c>
      <c r="V159" s="86">
        <f t="shared" si="48"/>
        <v>-5.7230706245751654E-2</v>
      </c>
      <c r="W159" s="86">
        <f t="shared" si="49"/>
        <v>-2.8967682607467151E-2</v>
      </c>
      <c r="X159" s="86">
        <f t="shared" si="50"/>
        <v>-1.246532484766884E-3</v>
      </c>
      <c r="Y159" s="86">
        <f t="shared" si="51"/>
        <v>-8.0786701494644326E-4</v>
      </c>
      <c r="Z159" s="86">
        <f t="shared" si="52"/>
        <v>-1.8938688886926958E-2</v>
      </c>
      <c r="AA159" s="86">
        <f t="shared" si="53"/>
        <v>4.4768488614657077E-2</v>
      </c>
      <c r="AB159" s="304">
        <f t="shared" si="54"/>
        <v>5.5093948103510527E-4</v>
      </c>
    </row>
    <row r="160" spans="2:28" x14ac:dyDescent="0.3">
      <c r="B160" s="271">
        <v>43886</v>
      </c>
      <c r="C160" s="292">
        <v>132.69999999999999</v>
      </c>
      <c r="D160" s="292">
        <v>180.550003</v>
      </c>
      <c r="E160" s="292">
        <v>4148.3999999999996</v>
      </c>
      <c r="F160" s="292">
        <v>1200.3000489999999</v>
      </c>
      <c r="G160" s="292">
        <v>1826.1</v>
      </c>
      <c r="H160" s="292">
        <v>1416.400024</v>
      </c>
      <c r="I160" s="292">
        <v>35.15</v>
      </c>
      <c r="J160" s="197">
        <v>2233.6000979999999</v>
      </c>
      <c r="L160" s="297">
        <f t="shared" si="39"/>
        <v>-3.7608167681269355E-3</v>
      </c>
      <c r="M160" s="298">
        <f t="shared" si="40"/>
        <v>-2.9201098112618406E-2</v>
      </c>
      <c r="N160" s="298">
        <f t="shared" si="41"/>
        <v>6.0689041042049571E-3</v>
      </c>
      <c r="O160" s="298">
        <f t="shared" si="42"/>
        <v>-8.0074295709790921E-3</v>
      </c>
      <c r="P160" s="298">
        <f t="shared" si="43"/>
        <v>3.9231336582242655E-3</v>
      </c>
      <c r="Q160" s="298">
        <f t="shared" si="44"/>
        <v>-1.9956226778419236E-2</v>
      </c>
      <c r="R160" s="298">
        <f t="shared" si="45"/>
        <v>5.7061495768544685E-3</v>
      </c>
      <c r="S160" s="299">
        <f t="shared" si="46"/>
        <v>8.2946004075801789E-3</v>
      </c>
      <c r="U160" s="303">
        <f t="shared" si="47"/>
        <v>-2.2021113476184051E-3</v>
      </c>
      <c r="V160" s="86">
        <f t="shared" si="48"/>
        <v>-3.5298826811079043E-2</v>
      </c>
      <c r="W160" s="86">
        <f t="shared" si="49"/>
        <v>3.2204007591387879E-3</v>
      </c>
      <c r="X160" s="86">
        <f t="shared" si="50"/>
        <v>-8.3787570834936015E-3</v>
      </c>
      <c r="Y160" s="86">
        <f t="shared" si="51"/>
        <v>2.8141236665306366E-3</v>
      </c>
      <c r="Z160" s="86">
        <f t="shared" si="52"/>
        <v>-2.1518019377596585E-2</v>
      </c>
      <c r="AA160" s="86">
        <f t="shared" si="53"/>
        <v>1.1418070252398004E-2</v>
      </c>
      <c r="AB160" s="304">
        <f t="shared" si="54"/>
        <v>7.6822425309306178E-3</v>
      </c>
    </row>
    <row r="161" spans="2:28" x14ac:dyDescent="0.3">
      <c r="B161" s="271">
        <v>43885</v>
      </c>
      <c r="C161" s="292">
        <v>133.19999999999999</v>
      </c>
      <c r="D161" s="292">
        <v>185.89999399999999</v>
      </c>
      <c r="E161" s="292">
        <v>4123.3</v>
      </c>
      <c r="F161" s="292">
        <v>1209.9499510000001</v>
      </c>
      <c r="G161" s="292">
        <v>1818.95</v>
      </c>
      <c r="H161" s="292">
        <v>1444.9499510000001</v>
      </c>
      <c r="I161" s="292">
        <v>34.950000000000003</v>
      </c>
      <c r="J161" s="197">
        <v>2215.1499020000001</v>
      </c>
      <c r="L161" s="297">
        <f t="shared" si="39"/>
        <v>-6.6437055617757798E-2</v>
      </c>
      <c r="M161" s="298">
        <f t="shared" si="40"/>
        <v>-4.7021200125654493E-2</v>
      </c>
      <c r="N161" s="298">
        <f t="shared" si="41"/>
        <v>-5.4027650750818119E-2</v>
      </c>
      <c r="O161" s="298">
        <f t="shared" si="42"/>
        <v>-5.8919642361019951E-3</v>
      </c>
      <c r="P161" s="298">
        <f t="shared" si="43"/>
        <v>-1.2728239137344501E-2</v>
      </c>
      <c r="Q161" s="298">
        <f t="shared" si="44"/>
        <v>-2.797958040004235E-2</v>
      </c>
      <c r="R161" s="298">
        <f t="shared" si="45"/>
        <v>-1.420478429831722E-2</v>
      </c>
      <c r="S161" s="299">
        <f t="shared" si="46"/>
        <v>-1.4832058758794413E-2</v>
      </c>
      <c r="U161" s="303">
        <f t="shared" si="47"/>
        <v>-6.4878350197249274E-2</v>
      </c>
      <c r="V161" s="86">
        <f t="shared" si="48"/>
        <v>-5.3118928824115126E-2</v>
      </c>
      <c r="W161" s="86">
        <f t="shared" si="49"/>
        <v>-5.6876154095884292E-2</v>
      </c>
      <c r="X161" s="86">
        <f t="shared" si="50"/>
        <v>-6.2632917486165045E-3</v>
      </c>
      <c r="Y161" s="86">
        <f t="shared" si="51"/>
        <v>-1.383724912903813E-2</v>
      </c>
      <c r="Z161" s="86">
        <f t="shared" si="52"/>
        <v>-2.95413729992197E-2</v>
      </c>
      <c r="AA161" s="86">
        <f t="shared" si="53"/>
        <v>-8.4928636227736831E-3</v>
      </c>
      <c r="AB161" s="304">
        <f t="shared" si="54"/>
        <v>-1.5444416635443974E-2</v>
      </c>
    </row>
    <row r="162" spans="2:28" x14ac:dyDescent="0.3">
      <c r="B162" s="271">
        <v>43881</v>
      </c>
      <c r="C162" s="292">
        <v>142.35</v>
      </c>
      <c r="D162" s="292">
        <v>194.85000600000001</v>
      </c>
      <c r="E162" s="292">
        <v>4352.2</v>
      </c>
      <c r="F162" s="292">
        <v>1217.099976</v>
      </c>
      <c r="G162" s="292">
        <v>1842.25</v>
      </c>
      <c r="H162" s="292">
        <v>1485.9499510000001</v>
      </c>
      <c r="I162" s="292">
        <v>35.450000000000003</v>
      </c>
      <c r="J162" s="197">
        <v>2248.25</v>
      </c>
      <c r="L162" s="297">
        <f t="shared" si="39"/>
        <v>-2.1052639354625386E-3</v>
      </c>
      <c r="M162" s="298">
        <f t="shared" si="40"/>
        <v>-1.5279135579801964E-2</v>
      </c>
      <c r="N162" s="298">
        <f t="shared" si="41"/>
        <v>-2.8137687581679727E-2</v>
      </c>
      <c r="O162" s="298">
        <f t="shared" si="42"/>
        <v>-8.2641515231921016E-3</v>
      </c>
      <c r="P162" s="298">
        <f t="shared" si="43"/>
        <v>-2.2887118429902341E-2</v>
      </c>
      <c r="Q162" s="298">
        <f t="shared" si="44"/>
        <v>-1.1941005167470072E-2</v>
      </c>
      <c r="R162" s="298">
        <f t="shared" si="45"/>
        <v>4.2402890388856633E-3</v>
      </c>
      <c r="S162" s="299">
        <f t="shared" si="46"/>
        <v>-1.9338063170131113E-2</v>
      </c>
      <c r="U162" s="303">
        <f t="shared" si="47"/>
        <v>-5.4655851495400841E-4</v>
      </c>
      <c r="V162" s="86">
        <f t="shared" si="48"/>
        <v>-2.1376864278262599E-2</v>
      </c>
      <c r="W162" s="86">
        <f t="shared" si="49"/>
        <v>-3.0986190926745896E-2</v>
      </c>
      <c r="X162" s="86">
        <f t="shared" si="50"/>
        <v>-8.635479035706611E-3</v>
      </c>
      <c r="Y162" s="86">
        <f t="shared" si="51"/>
        <v>-2.3996128421595968E-2</v>
      </c>
      <c r="Z162" s="86">
        <f t="shared" si="52"/>
        <v>-1.3502797766647423E-2</v>
      </c>
      <c r="AA162" s="86">
        <f t="shared" si="53"/>
        <v>9.9522097144291999E-3</v>
      </c>
      <c r="AB162" s="304">
        <f t="shared" si="54"/>
        <v>-1.9950421046780673E-2</v>
      </c>
    </row>
    <row r="163" spans="2:28" x14ac:dyDescent="0.3">
      <c r="B163" s="271">
        <v>43880</v>
      </c>
      <c r="C163" s="292">
        <v>142.65</v>
      </c>
      <c r="D163" s="292">
        <v>197.85000600000001</v>
      </c>
      <c r="E163" s="292">
        <v>4476.3999999999996</v>
      </c>
      <c r="F163" s="292">
        <v>1227.1999510000001</v>
      </c>
      <c r="G163" s="292">
        <v>1884.9</v>
      </c>
      <c r="H163" s="292">
        <v>1503.8000489999999</v>
      </c>
      <c r="I163" s="292">
        <v>35.299999999999997</v>
      </c>
      <c r="J163" s="197">
        <v>2292.1499020000001</v>
      </c>
      <c r="L163" s="297">
        <f t="shared" si="39"/>
        <v>1.4830780306968003E-2</v>
      </c>
      <c r="M163" s="298">
        <f t="shared" si="40"/>
        <v>4.4440305839879235E-2</v>
      </c>
      <c r="N163" s="298">
        <f t="shared" si="41"/>
        <v>-6.0468226941456267E-3</v>
      </c>
      <c r="O163" s="298">
        <f t="shared" si="42"/>
        <v>1.1432402399373293E-2</v>
      </c>
      <c r="P163" s="298">
        <f t="shared" si="43"/>
        <v>1.1337838702480896E-2</v>
      </c>
      <c r="Q163" s="298">
        <f t="shared" si="44"/>
        <v>2.4503126892693686E-2</v>
      </c>
      <c r="R163" s="298">
        <f t="shared" si="45"/>
        <v>7.1073504586520184E-3</v>
      </c>
      <c r="S163" s="299">
        <f t="shared" si="46"/>
        <v>2.5517507193439024E-2</v>
      </c>
      <c r="U163" s="303">
        <f t="shared" si="47"/>
        <v>1.6389485727476533E-2</v>
      </c>
      <c r="V163" s="86">
        <f t="shared" si="48"/>
        <v>3.8342577141418602E-2</v>
      </c>
      <c r="W163" s="86">
        <f t="shared" si="49"/>
        <v>-8.8953260392117955E-3</v>
      </c>
      <c r="X163" s="86">
        <f t="shared" si="50"/>
        <v>1.1061074886858783E-2</v>
      </c>
      <c r="Y163" s="86">
        <f t="shared" si="51"/>
        <v>1.0228828710787266E-2</v>
      </c>
      <c r="Z163" s="86">
        <f t="shared" si="52"/>
        <v>2.2941334293516337E-2</v>
      </c>
      <c r="AA163" s="86">
        <f t="shared" si="53"/>
        <v>1.2819271134195554E-2</v>
      </c>
      <c r="AB163" s="304">
        <f t="shared" si="54"/>
        <v>2.4905149316789464E-2</v>
      </c>
    </row>
    <row r="164" spans="2:28" x14ac:dyDescent="0.3">
      <c r="B164" s="271">
        <v>43879</v>
      </c>
      <c r="C164" s="292">
        <v>140.55000000000001</v>
      </c>
      <c r="D164" s="292">
        <v>189.25</v>
      </c>
      <c r="E164" s="292">
        <v>4503.55</v>
      </c>
      <c r="F164" s="292">
        <v>1213.25</v>
      </c>
      <c r="G164" s="292">
        <v>1863.65</v>
      </c>
      <c r="H164" s="292">
        <v>1467.400024</v>
      </c>
      <c r="I164" s="292">
        <v>35.049999999999997</v>
      </c>
      <c r="J164" s="197">
        <v>2234.3999020000001</v>
      </c>
      <c r="L164" s="297">
        <f t="shared" si="39"/>
        <v>-1.0967737750513901E-2</v>
      </c>
      <c r="M164" s="298">
        <f t="shared" si="40"/>
        <v>-4.6964284892339433E-2</v>
      </c>
      <c r="N164" s="298">
        <f t="shared" si="41"/>
        <v>-7.1465224397173743E-3</v>
      </c>
      <c r="O164" s="298">
        <f t="shared" si="42"/>
        <v>-3.2093707282976019E-3</v>
      </c>
      <c r="P164" s="298">
        <f t="shared" si="43"/>
        <v>-9.4792501633210111E-3</v>
      </c>
      <c r="Q164" s="298">
        <f t="shared" si="44"/>
        <v>-7.3668120655868471E-3</v>
      </c>
      <c r="R164" s="298">
        <f t="shared" si="45"/>
        <v>-5.8188157683169137E-2</v>
      </c>
      <c r="S164" s="299">
        <f t="shared" si="46"/>
        <v>-8.112456347560958E-3</v>
      </c>
      <c r="U164" s="303">
        <f t="shared" si="47"/>
        <v>-9.4090323300053715E-3</v>
      </c>
      <c r="V164" s="86">
        <f t="shared" si="48"/>
        <v>-5.3062013590800067E-2</v>
      </c>
      <c r="W164" s="86">
        <f t="shared" si="49"/>
        <v>-9.9950257847835431E-3</v>
      </c>
      <c r="X164" s="86">
        <f t="shared" si="50"/>
        <v>-3.5806982408121114E-3</v>
      </c>
      <c r="Y164" s="86">
        <f t="shared" si="51"/>
        <v>-1.058826015501464E-2</v>
      </c>
      <c r="Z164" s="86">
        <f t="shared" si="52"/>
        <v>-8.9286046647641983E-3</v>
      </c>
      <c r="AA164" s="86">
        <f t="shared" si="53"/>
        <v>-5.2476237007625604E-2</v>
      </c>
      <c r="AB164" s="304">
        <f t="shared" si="54"/>
        <v>-8.7248142242105191E-3</v>
      </c>
    </row>
    <row r="165" spans="2:28" x14ac:dyDescent="0.3">
      <c r="B165" s="271">
        <v>43878</v>
      </c>
      <c r="C165" s="292">
        <v>142.1</v>
      </c>
      <c r="D165" s="292">
        <v>198.35000600000001</v>
      </c>
      <c r="E165" s="292">
        <v>4535.8500000000004</v>
      </c>
      <c r="F165" s="292">
        <v>1217.150024</v>
      </c>
      <c r="G165" s="292">
        <v>1881.4</v>
      </c>
      <c r="H165" s="292">
        <v>1478.25</v>
      </c>
      <c r="I165" s="292">
        <v>37.15</v>
      </c>
      <c r="J165" s="197">
        <v>2252.6000979999999</v>
      </c>
      <c r="L165" s="297">
        <f t="shared" si="39"/>
        <v>7.0621762442865397E-3</v>
      </c>
      <c r="M165" s="298">
        <f t="shared" si="40"/>
        <v>-4.1718979931146226E-2</v>
      </c>
      <c r="N165" s="298">
        <f t="shared" si="41"/>
        <v>1.0226612718432504E-2</v>
      </c>
      <c r="O165" s="298">
        <f t="shared" si="42"/>
        <v>-1.8058301644498173E-3</v>
      </c>
      <c r="P165" s="298">
        <f t="shared" si="43"/>
        <v>2.3147850536035619E-3</v>
      </c>
      <c r="Q165" s="298">
        <f t="shared" si="44"/>
        <v>-6.3051112166063357E-3</v>
      </c>
      <c r="R165" s="298">
        <f t="shared" si="45"/>
        <v>-4.6030479460632497E-2</v>
      </c>
      <c r="S165" s="299">
        <f t="shared" si="46"/>
        <v>-1.0870192500948242E-3</v>
      </c>
      <c r="U165" s="303">
        <f t="shared" si="47"/>
        <v>8.6208816647950701E-3</v>
      </c>
      <c r="V165" s="86">
        <f t="shared" si="48"/>
        <v>-4.7816708629606859E-2</v>
      </c>
      <c r="W165" s="86">
        <f t="shared" si="49"/>
        <v>7.3781093733663351E-3</v>
      </c>
      <c r="X165" s="86">
        <f t="shared" si="50"/>
        <v>-2.1771576769643265E-3</v>
      </c>
      <c r="Y165" s="86">
        <f t="shared" si="51"/>
        <v>1.205775061909933E-3</v>
      </c>
      <c r="Z165" s="86">
        <f t="shared" si="52"/>
        <v>-7.8669038157836869E-3</v>
      </c>
      <c r="AA165" s="86">
        <f t="shared" si="53"/>
        <v>-4.0318558785088963E-2</v>
      </c>
      <c r="AB165" s="304">
        <f t="shared" si="54"/>
        <v>-1.6993771267443851E-3</v>
      </c>
    </row>
    <row r="166" spans="2:28" x14ac:dyDescent="0.3">
      <c r="B166" s="271">
        <v>43875</v>
      </c>
      <c r="C166" s="292">
        <v>141.1</v>
      </c>
      <c r="D166" s="292">
        <v>206.800003</v>
      </c>
      <c r="E166" s="292">
        <v>4489.7</v>
      </c>
      <c r="F166" s="292">
        <v>1219.349976</v>
      </c>
      <c r="G166" s="292">
        <v>1877.05</v>
      </c>
      <c r="H166" s="292">
        <v>1487.599976</v>
      </c>
      <c r="I166" s="292">
        <v>38.9</v>
      </c>
      <c r="J166" s="197">
        <v>2255.0500489999999</v>
      </c>
      <c r="L166" s="297">
        <f t="shared" si="39"/>
        <v>-9.8731408499369722E-3</v>
      </c>
      <c r="M166" s="298">
        <f t="shared" si="40"/>
        <v>3.3684836851967583E-2</v>
      </c>
      <c r="N166" s="298">
        <f t="shared" si="41"/>
        <v>-4.42115704934994E-2</v>
      </c>
      <c r="O166" s="298">
        <f t="shared" si="42"/>
        <v>-1.7921884134490321E-2</v>
      </c>
      <c r="P166" s="298">
        <f t="shared" si="43"/>
        <v>1.5995311453306899E-3</v>
      </c>
      <c r="Q166" s="298">
        <f t="shared" si="44"/>
        <v>9.0824981575565299E-3</v>
      </c>
      <c r="R166" s="298">
        <f t="shared" si="45"/>
        <v>4.46854893452997E-2</v>
      </c>
      <c r="S166" s="299">
        <f t="shared" si="46"/>
        <v>-1.2493349954798276E-2</v>
      </c>
      <c r="U166" s="303">
        <f t="shared" si="47"/>
        <v>-8.3144354294284427E-3</v>
      </c>
      <c r="V166" s="86">
        <f t="shared" si="48"/>
        <v>2.7587108153506949E-2</v>
      </c>
      <c r="W166" s="86">
        <f t="shared" si="49"/>
        <v>-4.7060073838565572E-2</v>
      </c>
      <c r="X166" s="86">
        <f t="shared" si="50"/>
        <v>-1.8293211647004828E-2</v>
      </c>
      <c r="Y166" s="86">
        <f t="shared" si="51"/>
        <v>4.9052115363706103E-4</v>
      </c>
      <c r="Z166" s="86">
        <f t="shared" si="52"/>
        <v>7.5207055583791796E-3</v>
      </c>
      <c r="AA166" s="86">
        <f t="shared" si="53"/>
        <v>5.0397410020843234E-2</v>
      </c>
      <c r="AB166" s="304">
        <f t="shared" si="54"/>
        <v>-1.3105707831447837E-2</v>
      </c>
    </row>
    <row r="167" spans="2:28" x14ac:dyDescent="0.3">
      <c r="B167" s="271">
        <v>43874</v>
      </c>
      <c r="C167" s="292">
        <v>142.5</v>
      </c>
      <c r="D167" s="292">
        <v>199.949997</v>
      </c>
      <c r="E167" s="292">
        <v>4692.6499999999996</v>
      </c>
      <c r="F167" s="292">
        <v>1241.400024</v>
      </c>
      <c r="G167" s="292">
        <v>1874.05</v>
      </c>
      <c r="H167" s="292">
        <v>1474.150024</v>
      </c>
      <c r="I167" s="292">
        <v>37.200000000000003</v>
      </c>
      <c r="J167" s="197">
        <v>2283.3999020000001</v>
      </c>
      <c r="L167" s="297">
        <f t="shared" si="39"/>
        <v>6.6889881507964889E-3</v>
      </c>
      <c r="M167" s="298">
        <f t="shared" si="40"/>
        <v>-3.778662089291096E-2</v>
      </c>
      <c r="N167" s="298">
        <f t="shared" si="41"/>
        <v>1.5646040757348351E-2</v>
      </c>
      <c r="O167" s="298">
        <f t="shared" si="42"/>
        <v>-6.1034368130143436E-3</v>
      </c>
      <c r="P167" s="298">
        <f t="shared" si="43"/>
        <v>-1.0430722929942581E-2</v>
      </c>
      <c r="Q167" s="298">
        <f t="shared" si="44"/>
        <v>2.6150738498463121E-3</v>
      </c>
      <c r="R167" s="298">
        <f t="shared" si="45"/>
        <v>5.5262678675049519E-2</v>
      </c>
      <c r="S167" s="299">
        <f t="shared" si="46"/>
        <v>1.0145805435381412E-2</v>
      </c>
      <c r="U167" s="303">
        <f t="shared" si="47"/>
        <v>8.2476935713050193E-3</v>
      </c>
      <c r="V167" s="86">
        <f t="shared" si="48"/>
        <v>-4.3884349591371594E-2</v>
      </c>
      <c r="W167" s="86">
        <f t="shared" si="49"/>
        <v>1.2797537412282182E-2</v>
      </c>
      <c r="X167" s="86">
        <f t="shared" si="50"/>
        <v>-6.474764325528853E-3</v>
      </c>
      <c r="Y167" s="86">
        <f t="shared" si="51"/>
        <v>-1.1539732921636211E-2</v>
      </c>
      <c r="Z167" s="86">
        <f t="shared" si="52"/>
        <v>1.0532812506689616E-3</v>
      </c>
      <c r="AA167" s="86">
        <f t="shared" si="53"/>
        <v>6.0974599350593052E-2</v>
      </c>
      <c r="AB167" s="304">
        <f t="shared" si="54"/>
        <v>9.5334475587318512E-3</v>
      </c>
    </row>
    <row r="168" spans="2:28" x14ac:dyDescent="0.3">
      <c r="B168" s="271">
        <v>43873</v>
      </c>
      <c r="C168" s="292">
        <v>141.55000000000001</v>
      </c>
      <c r="D168" s="292">
        <v>207.64999399999999</v>
      </c>
      <c r="E168" s="292">
        <v>4619.8</v>
      </c>
      <c r="F168" s="292">
        <v>1249</v>
      </c>
      <c r="G168" s="292">
        <v>1893.7</v>
      </c>
      <c r="H168" s="292">
        <v>1470.3000489999999</v>
      </c>
      <c r="I168" s="292">
        <v>35.200000000000003</v>
      </c>
      <c r="J168" s="197">
        <v>2260.3500979999999</v>
      </c>
      <c r="L168" s="297">
        <f t="shared" si="39"/>
        <v>5.6677445381088636E-3</v>
      </c>
      <c r="M168" s="298">
        <f t="shared" si="40"/>
        <v>-1.7188325055296005E-2</v>
      </c>
      <c r="N168" s="298">
        <f t="shared" si="41"/>
        <v>1.4070863054191607E-4</v>
      </c>
      <c r="O168" s="298">
        <f t="shared" si="42"/>
        <v>6.7481169320386678E-3</v>
      </c>
      <c r="P168" s="298">
        <f t="shared" si="43"/>
        <v>8.2719597819677308E-3</v>
      </c>
      <c r="Q168" s="298">
        <f t="shared" si="44"/>
        <v>1.2008182954927981E-2</v>
      </c>
      <c r="R168" s="298">
        <f t="shared" si="45"/>
        <v>-4.5809536031294104E-2</v>
      </c>
      <c r="S168" s="299">
        <f t="shared" si="46"/>
        <v>4.8820116128622748E-2</v>
      </c>
      <c r="U168" s="303">
        <f t="shared" si="47"/>
        <v>7.226449958617394E-3</v>
      </c>
      <c r="V168" s="86">
        <f t="shared" si="48"/>
        <v>-2.3286053753756638E-2</v>
      </c>
      <c r="W168" s="86">
        <f t="shared" si="49"/>
        <v>-2.707794714524253E-3</v>
      </c>
      <c r="X168" s="86">
        <f t="shared" si="50"/>
        <v>6.3767894195241584E-3</v>
      </c>
      <c r="Y168" s="86">
        <f t="shared" si="51"/>
        <v>7.1629497902741014E-3</v>
      </c>
      <c r="Z168" s="86">
        <f t="shared" si="52"/>
        <v>1.044639035575063E-2</v>
      </c>
      <c r="AA168" s="86">
        <f t="shared" si="53"/>
        <v>-4.0097615355750571E-2</v>
      </c>
      <c r="AB168" s="304">
        <f t="shared" si="54"/>
        <v>4.8207758251973189E-2</v>
      </c>
    </row>
    <row r="169" spans="2:28" x14ac:dyDescent="0.3">
      <c r="B169" s="271">
        <v>43872</v>
      </c>
      <c r="C169" s="292">
        <v>140.75</v>
      </c>
      <c r="D169" s="292">
        <v>211.25</v>
      </c>
      <c r="E169" s="292">
        <v>4619.1499999999996</v>
      </c>
      <c r="F169" s="292">
        <v>1240.599976</v>
      </c>
      <c r="G169" s="292">
        <v>1878.1</v>
      </c>
      <c r="H169" s="292">
        <v>1452.75</v>
      </c>
      <c r="I169" s="292">
        <v>36.85</v>
      </c>
      <c r="J169" s="197">
        <v>2152.6499020000001</v>
      </c>
      <c r="L169" s="297">
        <f t="shared" si="39"/>
        <v>3.2022799113843332E-3</v>
      </c>
      <c r="M169" s="298">
        <f t="shared" si="40"/>
        <v>-9.8917715195282786E-3</v>
      </c>
      <c r="N169" s="298">
        <f t="shared" si="41"/>
        <v>1.180567350924042E-3</v>
      </c>
      <c r="O169" s="298">
        <f t="shared" si="42"/>
        <v>2.4178886568489556E-4</v>
      </c>
      <c r="P169" s="298">
        <f t="shared" si="43"/>
        <v>4.5896120697232444E-3</v>
      </c>
      <c r="Q169" s="298">
        <f t="shared" si="44"/>
        <v>1.1875448399511592E-2</v>
      </c>
      <c r="R169" s="298">
        <f t="shared" si="45"/>
        <v>-1.8817759574797987E-2</v>
      </c>
      <c r="S169" s="299">
        <f t="shared" si="46"/>
        <v>-3.0845220135581513E-3</v>
      </c>
      <c r="U169" s="303">
        <f t="shared" si="47"/>
        <v>4.7609853318928636E-3</v>
      </c>
      <c r="V169" s="86">
        <f t="shared" si="48"/>
        <v>-1.5989500217988912E-2</v>
      </c>
      <c r="W169" s="86">
        <f t="shared" si="49"/>
        <v>-1.6679359941421273E-3</v>
      </c>
      <c r="X169" s="86">
        <f t="shared" si="50"/>
        <v>-1.2953864682961375E-4</v>
      </c>
      <c r="Y169" s="86">
        <f t="shared" si="51"/>
        <v>3.4806020780296155E-3</v>
      </c>
      <c r="Z169" s="86">
        <f t="shared" si="52"/>
        <v>1.0313655800334241E-2</v>
      </c>
      <c r="AA169" s="86">
        <f t="shared" si="53"/>
        <v>-1.310583889925445E-2</v>
      </c>
      <c r="AB169" s="304">
        <f t="shared" si="54"/>
        <v>-3.6968798902077124E-3</v>
      </c>
    </row>
    <row r="170" spans="2:28" x14ac:dyDescent="0.3">
      <c r="B170" s="271">
        <v>43871</v>
      </c>
      <c r="C170" s="292">
        <v>140.30000000000001</v>
      </c>
      <c r="D170" s="292">
        <v>213.35000600000001</v>
      </c>
      <c r="E170" s="292">
        <v>4613.7</v>
      </c>
      <c r="F170" s="292">
        <v>1240.3000489999999</v>
      </c>
      <c r="G170" s="292">
        <v>1869.5</v>
      </c>
      <c r="H170" s="292">
        <v>1435.599976</v>
      </c>
      <c r="I170" s="292">
        <v>37.549999999999997</v>
      </c>
      <c r="J170" s="197">
        <v>2159.3000489999999</v>
      </c>
      <c r="L170" s="297">
        <f t="shared" si="39"/>
        <v>-3.0188322616248948E-2</v>
      </c>
      <c r="M170" s="298">
        <f t="shared" si="40"/>
        <v>1.6418720473863316E-3</v>
      </c>
      <c r="N170" s="298">
        <f t="shared" si="41"/>
        <v>3.5500875951709776E-3</v>
      </c>
      <c r="O170" s="298">
        <f t="shared" si="42"/>
        <v>-1.5306363512039534E-3</v>
      </c>
      <c r="P170" s="298">
        <f t="shared" si="43"/>
        <v>5.7936968028610364E-3</v>
      </c>
      <c r="Q170" s="298">
        <f t="shared" si="44"/>
        <v>1.3592069706036263E-3</v>
      </c>
      <c r="R170" s="298">
        <f t="shared" si="45"/>
        <v>-3.0166221825592501E-2</v>
      </c>
      <c r="S170" s="299">
        <f t="shared" si="46"/>
        <v>-3.0093280310456859E-4</v>
      </c>
      <c r="U170" s="303">
        <f t="shared" si="47"/>
        <v>-2.8629617195740416E-2</v>
      </c>
      <c r="V170" s="86">
        <f t="shared" si="48"/>
        <v>-4.4558566510743023E-3</v>
      </c>
      <c r="W170" s="86">
        <f t="shared" si="49"/>
        <v>7.0158425010480828E-4</v>
      </c>
      <c r="X170" s="86">
        <f t="shared" si="50"/>
        <v>-1.9019638637184626E-3</v>
      </c>
      <c r="Y170" s="86">
        <f t="shared" si="51"/>
        <v>4.684686811167408E-3</v>
      </c>
      <c r="Z170" s="86">
        <f t="shared" si="52"/>
        <v>-2.0258562857372424E-4</v>
      </c>
      <c r="AA170" s="86">
        <f t="shared" si="53"/>
        <v>-2.4454301150048964E-2</v>
      </c>
      <c r="AB170" s="304">
        <f t="shared" si="54"/>
        <v>-9.1329067975412948E-4</v>
      </c>
    </row>
    <row r="171" spans="2:28" x14ac:dyDescent="0.3">
      <c r="B171" s="271">
        <v>43868</v>
      </c>
      <c r="C171" s="292">
        <v>144.6</v>
      </c>
      <c r="D171" s="292">
        <v>213</v>
      </c>
      <c r="E171" s="292">
        <v>4597.3500000000004</v>
      </c>
      <c r="F171" s="292">
        <v>1242.1999510000001</v>
      </c>
      <c r="G171" s="292">
        <v>1858.7</v>
      </c>
      <c r="H171" s="292">
        <v>1433.650024</v>
      </c>
      <c r="I171" s="292">
        <v>38.700000000000003</v>
      </c>
      <c r="J171" s="197">
        <v>2159.9499510000001</v>
      </c>
      <c r="L171" s="297">
        <f t="shared" si="39"/>
        <v>5.2002197271074982E-3</v>
      </c>
      <c r="M171" s="298">
        <f t="shared" si="40"/>
        <v>4.8578948448873879E-2</v>
      </c>
      <c r="N171" s="298">
        <f t="shared" si="41"/>
        <v>-1.4489877562232696E-2</v>
      </c>
      <c r="O171" s="298">
        <f t="shared" si="42"/>
        <v>1.9338458887361342E-3</v>
      </c>
      <c r="P171" s="298">
        <f t="shared" si="43"/>
        <v>1.0227426540799849E-3</v>
      </c>
      <c r="Q171" s="298">
        <f t="shared" si="44"/>
        <v>-1.6704826975304687E-2</v>
      </c>
      <c r="R171" s="298">
        <f t="shared" si="45"/>
        <v>3.8835000263978334E-3</v>
      </c>
      <c r="S171" s="299">
        <f t="shared" si="46"/>
        <v>1.6449314450306819E-3</v>
      </c>
      <c r="U171" s="303">
        <f t="shared" si="47"/>
        <v>6.7589251476160286E-3</v>
      </c>
      <c r="V171" s="86">
        <f t="shared" si="48"/>
        <v>4.2481219750413246E-2</v>
      </c>
      <c r="W171" s="86">
        <f t="shared" si="49"/>
        <v>-1.7338380907298865E-2</v>
      </c>
      <c r="X171" s="86">
        <f t="shared" si="50"/>
        <v>1.5625183762216248E-3</v>
      </c>
      <c r="Y171" s="86">
        <f t="shared" si="51"/>
        <v>-8.626733761364397E-5</v>
      </c>
      <c r="Z171" s="86">
        <f t="shared" si="52"/>
        <v>-1.8266619574482036E-2</v>
      </c>
      <c r="AA171" s="86">
        <f t="shared" si="53"/>
        <v>9.59542070194137E-3</v>
      </c>
      <c r="AB171" s="304">
        <f t="shared" si="54"/>
        <v>1.032573568381121E-3</v>
      </c>
    </row>
    <row r="172" spans="2:28" x14ac:dyDescent="0.3">
      <c r="B172" s="271">
        <v>43867</v>
      </c>
      <c r="C172" s="292">
        <v>143.85</v>
      </c>
      <c r="D172" s="292">
        <v>202.89999399999999</v>
      </c>
      <c r="E172" s="292">
        <v>4664.45</v>
      </c>
      <c r="F172" s="292">
        <v>1239.8000489999999</v>
      </c>
      <c r="G172" s="292">
        <v>1856.8</v>
      </c>
      <c r="H172" s="292">
        <v>1457.8000489999999</v>
      </c>
      <c r="I172" s="292">
        <v>38.549999999999997</v>
      </c>
      <c r="J172" s="197">
        <v>2156.3999020000001</v>
      </c>
      <c r="L172" s="297">
        <f t="shared" si="39"/>
        <v>5.22740343515173E-3</v>
      </c>
      <c r="M172" s="298">
        <f t="shared" si="40"/>
        <v>4.8728529793019955E-2</v>
      </c>
      <c r="N172" s="298">
        <f t="shared" si="41"/>
        <v>1.8239565590523919E-3</v>
      </c>
      <c r="O172" s="298">
        <f t="shared" si="42"/>
        <v>-3.9042693701241511E-3</v>
      </c>
      <c r="P172" s="298">
        <f t="shared" si="43"/>
        <v>-8.9537632735148271E-3</v>
      </c>
      <c r="Q172" s="298">
        <f t="shared" si="44"/>
        <v>6.3999453509993431E-3</v>
      </c>
      <c r="R172" s="298">
        <f t="shared" si="45"/>
        <v>2.495204961348953E-2</v>
      </c>
      <c r="S172" s="299">
        <f t="shared" si="46"/>
        <v>-1.8070044735666009E-3</v>
      </c>
      <c r="U172" s="303">
        <f t="shared" si="47"/>
        <v>6.7861088556602604E-3</v>
      </c>
      <c r="V172" s="86">
        <f t="shared" si="48"/>
        <v>4.2630801094559322E-2</v>
      </c>
      <c r="W172" s="86">
        <f t="shared" si="49"/>
        <v>-1.0245467860137774E-3</v>
      </c>
      <c r="X172" s="86">
        <f t="shared" si="50"/>
        <v>-4.2755968826386605E-3</v>
      </c>
      <c r="Y172" s="86">
        <f t="shared" si="51"/>
        <v>-1.0062773265208456E-2</v>
      </c>
      <c r="Z172" s="86">
        <f t="shared" si="52"/>
        <v>4.8381527518219928E-3</v>
      </c>
      <c r="AA172" s="86">
        <f t="shared" si="53"/>
        <v>3.0663970289033067E-2</v>
      </c>
      <c r="AB172" s="304">
        <f t="shared" si="54"/>
        <v>-2.419362350216162E-3</v>
      </c>
    </row>
    <row r="173" spans="2:28" x14ac:dyDescent="0.3">
      <c r="B173" s="271">
        <v>43866</v>
      </c>
      <c r="C173" s="292">
        <v>143.1</v>
      </c>
      <c r="D173" s="292">
        <v>193.25</v>
      </c>
      <c r="E173" s="292">
        <v>4655.95</v>
      </c>
      <c r="F173" s="292">
        <v>1244.650024</v>
      </c>
      <c r="G173" s="292">
        <v>1873.5</v>
      </c>
      <c r="H173" s="292">
        <v>1448.5</v>
      </c>
      <c r="I173" s="292">
        <v>37.6</v>
      </c>
      <c r="J173" s="197">
        <v>2160.3000489999999</v>
      </c>
      <c r="L173" s="297">
        <f t="shared" si="39"/>
        <v>3.2312415253417694E-2</v>
      </c>
      <c r="M173" s="298">
        <f t="shared" si="40"/>
        <v>-2.428234322700391E-2</v>
      </c>
      <c r="N173" s="298">
        <f t="shared" si="41"/>
        <v>-2.2847217053427484E-2</v>
      </c>
      <c r="O173" s="298">
        <f t="shared" si="42"/>
        <v>1.2002790797200494E-2</v>
      </c>
      <c r="P173" s="298">
        <f t="shared" si="43"/>
        <v>-9.4560840606666436E-3</v>
      </c>
      <c r="Q173" s="298">
        <f t="shared" si="44"/>
        <v>1.537473383489968E-2</v>
      </c>
      <c r="R173" s="298">
        <f t="shared" si="45"/>
        <v>7.3085581716029621E-2</v>
      </c>
      <c r="S173" s="299">
        <f t="shared" si="46"/>
        <v>2.1779710826448132E-3</v>
      </c>
      <c r="U173" s="303">
        <f t="shared" si="47"/>
        <v>3.3871120673926225E-2</v>
      </c>
      <c r="V173" s="86">
        <f t="shared" si="48"/>
        <v>-3.0380071925464543E-2</v>
      </c>
      <c r="W173" s="86">
        <f t="shared" si="49"/>
        <v>-2.5695720398493653E-2</v>
      </c>
      <c r="X173" s="86">
        <f t="shared" si="50"/>
        <v>1.1631463284685985E-2</v>
      </c>
      <c r="Y173" s="86">
        <f t="shared" si="51"/>
        <v>-1.0565094052360273E-2</v>
      </c>
      <c r="Z173" s="86">
        <f t="shared" si="52"/>
        <v>1.3812941235722329E-2</v>
      </c>
      <c r="AA173" s="86">
        <f t="shared" si="53"/>
        <v>7.8797502391573154E-2</v>
      </c>
      <c r="AB173" s="304">
        <f t="shared" si="54"/>
        <v>1.5656132059952523E-3</v>
      </c>
    </row>
    <row r="174" spans="2:28" x14ac:dyDescent="0.3">
      <c r="B174" s="271">
        <v>43865</v>
      </c>
      <c r="C174" s="292">
        <v>138.55000000000001</v>
      </c>
      <c r="D174" s="292">
        <v>198</v>
      </c>
      <c r="E174" s="292">
        <v>4763.55</v>
      </c>
      <c r="F174" s="292">
        <v>1229.8000489999999</v>
      </c>
      <c r="G174" s="292">
        <v>1891.3</v>
      </c>
      <c r="H174" s="292">
        <v>1426.400024</v>
      </c>
      <c r="I174" s="292">
        <v>34.950000000000003</v>
      </c>
      <c r="J174" s="197">
        <v>2155.6000979999999</v>
      </c>
      <c r="L174" s="297">
        <f t="shared" si="39"/>
        <v>3.2272694437354393E-2</v>
      </c>
      <c r="M174" s="298">
        <f t="shared" si="40"/>
        <v>9.38738862780919E-3</v>
      </c>
      <c r="N174" s="298">
        <f t="shared" si="41"/>
        <v>3.5751502313126266E-3</v>
      </c>
      <c r="O174" s="298">
        <f t="shared" si="42"/>
        <v>3.0548068832905589E-2</v>
      </c>
      <c r="P174" s="298">
        <f t="shared" si="43"/>
        <v>1.2583467227877378E-2</v>
      </c>
      <c r="Q174" s="298">
        <f t="shared" si="44"/>
        <v>2.909271907147238E-2</v>
      </c>
      <c r="R174" s="298">
        <f t="shared" si="45"/>
        <v>-2.9600469776290633E-2</v>
      </c>
      <c r="S174" s="299">
        <f t="shared" si="46"/>
        <v>-1.0773934365488133E-2</v>
      </c>
      <c r="U174" s="303">
        <f t="shared" si="47"/>
        <v>3.3831399857862925E-2</v>
      </c>
      <c r="V174" s="86">
        <f t="shared" si="48"/>
        <v>3.2896599293485559E-3</v>
      </c>
      <c r="W174" s="86">
        <f t="shared" si="49"/>
        <v>7.2664688624645736E-4</v>
      </c>
      <c r="X174" s="86">
        <f t="shared" si="50"/>
        <v>3.0176741320391082E-2</v>
      </c>
      <c r="Y174" s="86">
        <f t="shared" si="51"/>
        <v>1.1474457236183748E-2</v>
      </c>
      <c r="Z174" s="86">
        <f t="shared" si="52"/>
        <v>2.753092647229503E-2</v>
      </c>
      <c r="AA174" s="86">
        <f t="shared" si="53"/>
        <v>-2.3888549100747097E-2</v>
      </c>
      <c r="AB174" s="304">
        <f t="shared" si="54"/>
        <v>-1.1386292242137695E-2</v>
      </c>
    </row>
    <row r="175" spans="2:28" x14ac:dyDescent="0.3">
      <c r="B175" s="271">
        <v>43864</v>
      </c>
      <c r="C175" s="292">
        <v>134.15</v>
      </c>
      <c r="D175" s="292">
        <v>196.14999399999999</v>
      </c>
      <c r="E175" s="292">
        <v>4746.55</v>
      </c>
      <c r="F175" s="292">
        <v>1192.8000489999999</v>
      </c>
      <c r="G175" s="292">
        <v>1867.65</v>
      </c>
      <c r="H175" s="292">
        <v>1385.5</v>
      </c>
      <c r="I175" s="292">
        <v>36</v>
      </c>
      <c r="J175" s="197">
        <v>2178.9499510000001</v>
      </c>
      <c r="L175" s="297">
        <f t="shared" si="39"/>
        <v>-5.5751863420770266E-3</v>
      </c>
      <c r="M175" s="298">
        <f t="shared" si="40"/>
        <v>3.4754520437429083E-2</v>
      </c>
      <c r="N175" s="298">
        <f t="shared" si="41"/>
        <v>6.5267034675568089E-2</v>
      </c>
      <c r="O175" s="298">
        <f t="shared" si="42"/>
        <v>-2.7698020195235554E-2</v>
      </c>
      <c r="P175" s="298">
        <f t="shared" si="43"/>
        <v>6.2012688850693623E-2</v>
      </c>
      <c r="Q175" s="298">
        <f t="shared" si="44"/>
        <v>-1.8698164671254649E-2</v>
      </c>
      <c r="R175" s="298">
        <f t="shared" si="45"/>
        <v>-5.1432173632270588E-2</v>
      </c>
      <c r="S175" s="299">
        <f t="shared" si="46"/>
        <v>6.8715886311042251E-2</v>
      </c>
      <c r="U175" s="303">
        <f t="shared" si="47"/>
        <v>-4.0164809215684962E-3</v>
      </c>
      <c r="V175" s="86">
        <f t="shared" si="48"/>
        <v>2.865679173896845E-2</v>
      </c>
      <c r="W175" s="86">
        <f t="shared" si="49"/>
        <v>6.2418531330501917E-2</v>
      </c>
      <c r="X175" s="86">
        <f t="shared" si="50"/>
        <v>-2.8069347707750061E-2</v>
      </c>
      <c r="Y175" s="86">
        <f t="shared" si="51"/>
        <v>6.0903678858999992E-2</v>
      </c>
      <c r="Z175" s="86">
        <f t="shared" si="52"/>
        <v>-2.0259957270431998E-2</v>
      </c>
      <c r="AA175" s="86">
        <f t="shared" si="53"/>
        <v>-4.5720252956727055E-2</v>
      </c>
      <c r="AB175" s="304">
        <f t="shared" si="54"/>
        <v>6.8103528434392685E-2</v>
      </c>
    </row>
    <row r="176" spans="2:28" x14ac:dyDescent="0.3">
      <c r="B176" s="271">
        <v>43862</v>
      </c>
      <c r="C176" s="292">
        <v>134.9</v>
      </c>
      <c r="D176" s="292">
        <v>189.449997</v>
      </c>
      <c r="E176" s="292">
        <v>4446.6499999999996</v>
      </c>
      <c r="F176" s="292">
        <v>1226.3000489999999</v>
      </c>
      <c r="G176" s="292">
        <v>1755.35</v>
      </c>
      <c r="H176" s="292">
        <v>1411.650024</v>
      </c>
      <c r="I176" s="292">
        <v>37.9</v>
      </c>
      <c r="J176" s="197">
        <v>2034.25</v>
      </c>
      <c r="L176" s="297">
        <f t="shared" si="39"/>
        <v>-2.19950215855459E-2</v>
      </c>
      <c r="M176" s="298">
        <f t="shared" si="40"/>
        <v>0</v>
      </c>
      <c r="N176" s="298">
        <f t="shared" si="41"/>
        <v>-4.5629776983462711E-2</v>
      </c>
      <c r="O176" s="298">
        <f t="shared" si="42"/>
        <v>0</v>
      </c>
      <c r="P176" s="298">
        <f t="shared" si="43"/>
        <v>-2.2698806149650967E-2</v>
      </c>
      <c r="Q176" s="298">
        <f t="shared" si="44"/>
        <v>0</v>
      </c>
      <c r="R176" s="298">
        <f t="shared" si="45"/>
        <v>-3.5000332140036769E-2</v>
      </c>
      <c r="S176" s="299">
        <f t="shared" si="46"/>
        <v>0</v>
      </c>
      <c r="U176" s="303">
        <f t="shared" si="47"/>
        <v>-2.0436316165037369E-2</v>
      </c>
      <c r="V176" s="86">
        <f t="shared" si="48"/>
        <v>-6.0977286984606341E-3</v>
      </c>
      <c r="W176" s="86">
        <f t="shared" si="49"/>
        <v>-4.8478280328528883E-2</v>
      </c>
      <c r="X176" s="86">
        <f t="shared" si="50"/>
        <v>-3.7132751251450931E-4</v>
      </c>
      <c r="Y176" s="86">
        <f t="shared" si="51"/>
        <v>-2.3807816141344595E-2</v>
      </c>
      <c r="Z176" s="86">
        <f t="shared" si="52"/>
        <v>-1.5617925991773505E-3</v>
      </c>
      <c r="AA176" s="86">
        <f t="shared" si="53"/>
        <v>-2.9288411464493232E-2</v>
      </c>
      <c r="AB176" s="304">
        <f t="shared" si="54"/>
        <v>-6.1235787664956089E-4</v>
      </c>
    </row>
    <row r="177" spans="2:28" x14ac:dyDescent="0.3">
      <c r="B177" s="271">
        <v>43861</v>
      </c>
      <c r="C177" s="292">
        <v>137.9</v>
      </c>
      <c r="D177" s="292">
        <v>189.449997</v>
      </c>
      <c r="E177" s="292">
        <v>4654.25</v>
      </c>
      <c r="F177" s="292">
        <v>1226.3000489999999</v>
      </c>
      <c r="G177" s="292">
        <v>1795.65</v>
      </c>
      <c r="H177" s="292">
        <v>1411.650024</v>
      </c>
      <c r="I177" s="292">
        <v>39.25</v>
      </c>
      <c r="J177" s="197">
        <v>2034.25</v>
      </c>
      <c r="L177" s="297">
        <f t="shared" si="39"/>
        <v>-2.187643276086533E-2</v>
      </c>
      <c r="M177" s="298">
        <f t="shared" si="40"/>
        <v>4.8671407165603427E-2</v>
      </c>
      <c r="N177" s="298">
        <f t="shared" si="41"/>
        <v>3.3836726116607777E-2</v>
      </c>
      <c r="O177" s="298">
        <f t="shared" si="42"/>
        <v>2.0388606102370027E-4</v>
      </c>
      <c r="P177" s="298">
        <f t="shared" si="43"/>
        <v>-5.1935184014926779E-3</v>
      </c>
      <c r="Q177" s="298">
        <f t="shared" si="44"/>
        <v>-2.2484645295815901E-2</v>
      </c>
      <c r="R177" s="298">
        <f t="shared" si="45"/>
        <v>5.1085679427225802E-3</v>
      </c>
      <c r="S177" s="299">
        <f t="shared" si="46"/>
        <v>-1.1656074118380495E-2</v>
      </c>
      <c r="U177" s="303">
        <f t="shared" si="47"/>
        <v>-2.0317727340356799E-2</v>
      </c>
      <c r="V177" s="86">
        <f t="shared" si="48"/>
        <v>4.2573678467142793E-2</v>
      </c>
      <c r="W177" s="86">
        <f t="shared" si="49"/>
        <v>3.0988222771541608E-2</v>
      </c>
      <c r="X177" s="86">
        <f t="shared" si="50"/>
        <v>-1.6744145149080904E-4</v>
      </c>
      <c r="Y177" s="86">
        <f t="shared" si="51"/>
        <v>-6.3025283931863064E-3</v>
      </c>
      <c r="Z177" s="86">
        <f t="shared" si="52"/>
        <v>-2.404643789499325E-2</v>
      </c>
      <c r="AA177" s="86">
        <f t="shared" si="53"/>
        <v>1.0820488618266115E-2</v>
      </c>
      <c r="AB177" s="304">
        <f t="shared" si="54"/>
        <v>-1.2268431995030056E-2</v>
      </c>
    </row>
    <row r="178" spans="2:28" x14ac:dyDescent="0.3">
      <c r="B178" s="271">
        <v>43860</v>
      </c>
      <c r="C178" s="292">
        <v>140.94999999999999</v>
      </c>
      <c r="D178" s="292">
        <v>180.449997</v>
      </c>
      <c r="E178" s="292">
        <v>4499.3999999999996</v>
      </c>
      <c r="F178" s="292">
        <v>1226.0500489999999</v>
      </c>
      <c r="G178" s="292">
        <v>1805</v>
      </c>
      <c r="H178" s="292">
        <v>1443.75</v>
      </c>
      <c r="I178" s="292">
        <v>39.049999999999997</v>
      </c>
      <c r="J178" s="197">
        <v>2058.1000979999999</v>
      </c>
      <c r="L178" s="297">
        <f t="shared" si="39"/>
        <v>-8.8292998090189687E-3</v>
      </c>
      <c r="M178" s="298">
        <f t="shared" si="40"/>
        <v>-3.1904579246908732E-2</v>
      </c>
      <c r="N178" s="298">
        <f t="shared" si="41"/>
        <v>3.9693776979479498E-2</v>
      </c>
      <c r="O178" s="298">
        <f t="shared" si="42"/>
        <v>-7.9613133453240465E-3</v>
      </c>
      <c r="P178" s="298">
        <f t="shared" si="43"/>
        <v>4.4698085218845812E-3</v>
      </c>
      <c r="Q178" s="298">
        <f t="shared" si="44"/>
        <v>-2.4696819782450405E-2</v>
      </c>
      <c r="R178" s="298">
        <f t="shared" si="45"/>
        <v>-5.3595380069785883E-2</v>
      </c>
      <c r="S178" s="299">
        <f t="shared" si="46"/>
        <v>-7.7922388369207427E-3</v>
      </c>
      <c r="U178" s="303">
        <f t="shared" si="47"/>
        <v>-7.2705943885104382E-3</v>
      </c>
      <c r="V178" s="86">
        <f t="shared" si="48"/>
        <v>-3.8002307945369365E-2</v>
      </c>
      <c r="W178" s="86">
        <f t="shared" si="49"/>
        <v>3.6845273634413325E-2</v>
      </c>
      <c r="X178" s="86">
        <f t="shared" si="50"/>
        <v>-8.3326408578385559E-3</v>
      </c>
      <c r="Y178" s="86">
        <f t="shared" si="51"/>
        <v>3.3607985301909522E-3</v>
      </c>
      <c r="Z178" s="86">
        <f t="shared" si="52"/>
        <v>-2.6258612381627754E-2</v>
      </c>
      <c r="AA178" s="86">
        <f t="shared" si="53"/>
        <v>-4.788345939424235E-2</v>
      </c>
      <c r="AB178" s="304">
        <f t="shared" si="54"/>
        <v>-8.4045967135703038E-3</v>
      </c>
    </row>
    <row r="179" spans="2:28" x14ac:dyDescent="0.3">
      <c r="B179" s="271">
        <v>43859</v>
      </c>
      <c r="C179" s="292">
        <v>142.19999999999999</v>
      </c>
      <c r="D179" s="292">
        <v>186.300003</v>
      </c>
      <c r="E179" s="292">
        <v>4324.3</v>
      </c>
      <c r="F179" s="292">
        <v>1235.849976</v>
      </c>
      <c r="G179" s="292">
        <v>1796.95</v>
      </c>
      <c r="H179" s="292">
        <v>1479.849976</v>
      </c>
      <c r="I179" s="292">
        <v>41.2</v>
      </c>
      <c r="J179" s="197">
        <v>2074.1999510000001</v>
      </c>
      <c r="L179" s="297">
        <f t="shared" si="39"/>
        <v>0</v>
      </c>
      <c r="M179" s="298">
        <f t="shared" si="40"/>
        <v>-7.2201998960065633E-3</v>
      </c>
      <c r="N179" s="298">
        <f t="shared" si="41"/>
        <v>-2.2850494995375111E-2</v>
      </c>
      <c r="O179" s="298">
        <f t="shared" si="42"/>
        <v>1.0288637453886159E-2</v>
      </c>
      <c r="P179" s="298">
        <f t="shared" si="43"/>
        <v>9.9831648043671676E-3</v>
      </c>
      <c r="Q179" s="298">
        <f t="shared" si="44"/>
        <v>5.4885461441832794E-3</v>
      </c>
      <c r="R179" s="298">
        <f t="shared" si="45"/>
        <v>-1.0863112257370905E-2</v>
      </c>
      <c r="S179" s="299">
        <f t="shared" si="46"/>
        <v>6.5782634621379312E-3</v>
      </c>
      <c r="U179" s="303">
        <f t="shared" si="47"/>
        <v>1.5587054205085302E-3</v>
      </c>
      <c r="V179" s="86">
        <f t="shared" si="48"/>
        <v>-1.3317928594467197E-2</v>
      </c>
      <c r="W179" s="86">
        <f t="shared" si="49"/>
        <v>-2.569899834044128E-2</v>
      </c>
      <c r="X179" s="86">
        <f t="shared" si="50"/>
        <v>9.9173099413716499E-3</v>
      </c>
      <c r="Y179" s="86">
        <f t="shared" si="51"/>
        <v>8.8741548126735383E-3</v>
      </c>
      <c r="Z179" s="86">
        <f t="shared" si="52"/>
        <v>3.9267535450059291E-3</v>
      </c>
      <c r="AA179" s="86">
        <f t="shared" si="53"/>
        <v>-5.1511915818273695E-3</v>
      </c>
      <c r="AB179" s="304">
        <f t="shared" si="54"/>
        <v>5.9659055854883701E-3</v>
      </c>
    </row>
    <row r="180" spans="2:28" x14ac:dyDescent="0.3">
      <c r="B180" s="271">
        <v>43858</v>
      </c>
      <c r="C180" s="292">
        <v>142.19999999999999</v>
      </c>
      <c r="D180" s="292">
        <v>187.64999399999999</v>
      </c>
      <c r="E180" s="292">
        <v>4424.25</v>
      </c>
      <c r="F180" s="292">
        <v>1223.1999510000001</v>
      </c>
      <c r="G180" s="292">
        <v>1779.1</v>
      </c>
      <c r="H180" s="292">
        <v>1471.75</v>
      </c>
      <c r="I180" s="292">
        <v>41.65</v>
      </c>
      <c r="J180" s="197">
        <v>2060.6000979999999</v>
      </c>
      <c r="L180" s="297">
        <f t="shared" si="39"/>
        <v>-4.5704570092644982E-2</v>
      </c>
      <c r="M180" s="298">
        <f t="shared" si="40"/>
        <v>-1.6385176557957539E-2</v>
      </c>
      <c r="N180" s="298">
        <f t="shared" si="41"/>
        <v>2.4007420479594338E-2</v>
      </c>
      <c r="O180" s="298">
        <f t="shared" si="42"/>
        <v>8.2088791306182199E-3</v>
      </c>
      <c r="P180" s="298">
        <f t="shared" si="43"/>
        <v>-5.1857885770236149E-3</v>
      </c>
      <c r="Q180" s="298">
        <f t="shared" si="44"/>
        <v>-2.3370132147981566E-2</v>
      </c>
      <c r="R180" s="298">
        <f t="shared" si="45"/>
        <v>-1.7846993625060419E-2</v>
      </c>
      <c r="S180" s="299">
        <f t="shared" si="46"/>
        <v>-3.639054198202668E-4</v>
      </c>
      <c r="U180" s="303">
        <f t="shared" si="47"/>
        <v>-4.4145864672136451E-2</v>
      </c>
      <c r="V180" s="86">
        <f t="shared" si="48"/>
        <v>-2.2482905256418172E-2</v>
      </c>
      <c r="W180" s="86">
        <f t="shared" si="49"/>
        <v>2.1158917134528169E-2</v>
      </c>
      <c r="X180" s="86">
        <f t="shared" si="50"/>
        <v>7.8375516181037105E-3</v>
      </c>
      <c r="Y180" s="86">
        <f t="shared" si="51"/>
        <v>-6.2947985687172442E-3</v>
      </c>
      <c r="Z180" s="86">
        <f t="shared" si="52"/>
        <v>-2.4931924747158916E-2</v>
      </c>
      <c r="AA180" s="86">
        <f t="shared" si="53"/>
        <v>-1.2135072949516882E-2</v>
      </c>
      <c r="AB180" s="304">
        <f t="shared" si="54"/>
        <v>-9.7626329646982764E-4</v>
      </c>
    </row>
    <row r="181" spans="2:28" x14ac:dyDescent="0.3">
      <c r="B181" s="271">
        <v>43857</v>
      </c>
      <c r="C181" s="292">
        <v>148.85</v>
      </c>
      <c r="D181" s="292">
        <v>190.75</v>
      </c>
      <c r="E181" s="292">
        <v>4319.3</v>
      </c>
      <c r="F181" s="292">
        <v>1213.1999510000001</v>
      </c>
      <c r="G181" s="292">
        <v>1788.35</v>
      </c>
      <c r="H181" s="292">
        <v>1506.5500489999999</v>
      </c>
      <c r="I181" s="292">
        <v>42.4</v>
      </c>
      <c r="J181" s="197">
        <v>2061.3500979999999</v>
      </c>
      <c r="L181" s="297">
        <f t="shared" si="39"/>
        <v>-4.6275688601945565E-2</v>
      </c>
      <c r="M181" s="298">
        <f t="shared" si="40"/>
        <v>2.62467342277108E-3</v>
      </c>
      <c r="N181" s="298">
        <f t="shared" si="41"/>
        <v>2.3092361020422725E-2</v>
      </c>
      <c r="O181" s="298">
        <f t="shared" si="42"/>
        <v>-2.5512601724692045E-2</v>
      </c>
      <c r="P181" s="298">
        <f t="shared" si="43"/>
        <v>8.670965397897366E-4</v>
      </c>
      <c r="Q181" s="298">
        <f t="shared" si="44"/>
        <v>-9.9072832516556523E-3</v>
      </c>
      <c r="R181" s="298">
        <f t="shared" si="45"/>
        <v>-9.3897403498390316E-3</v>
      </c>
      <c r="S181" s="299">
        <f t="shared" si="46"/>
        <v>-5.9732721847826692E-3</v>
      </c>
      <c r="U181" s="303">
        <f t="shared" si="47"/>
        <v>-4.4716983181437034E-2</v>
      </c>
      <c r="V181" s="86">
        <f t="shared" si="48"/>
        <v>-3.4730552756895542E-3</v>
      </c>
      <c r="W181" s="86">
        <f t="shared" si="49"/>
        <v>2.0243857675356556E-2</v>
      </c>
      <c r="X181" s="86">
        <f t="shared" si="50"/>
        <v>-2.5883929237206553E-2</v>
      </c>
      <c r="Y181" s="86">
        <f t="shared" si="51"/>
        <v>-2.419134519038923E-4</v>
      </c>
      <c r="Z181" s="86">
        <f t="shared" si="52"/>
        <v>-1.1469075850833003E-2</v>
      </c>
      <c r="AA181" s="86">
        <f t="shared" si="53"/>
        <v>-3.6778196742954959E-3</v>
      </c>
      <c r="AB181" s="304">
        <f t="shared" si="54"/>
        <v>-6.5856300614322303E-3</v>
      </c>
    </row>
    <row r="182" spans="2:28" x14ac:dyDescent="0.3">
      <c r="B182" s="271">
        <v>43854</v>
      </c>
      <c r="C182" s="292">
        <v>155.9</v>
      </c>
      <c r="D182" s="292">
        <v>190.25</v>
      </c>
      <c r="E182" s="292">
        <v>4220.7</v>
      </c>
      <c r="F182" s="292">
        <v>1244.5500489999999</v>
      </c>
      <c r="G182" s="292">
        <v>1786.8</v>
      </c>
      <c r="H182" s="292">
        <v>1521.5500489999999</v>
      </c>
      <c r="I182" s="292">
        <v>42.8</v>
      </c>
      <c r="J182" s="197">
        <v>2073.6999510000001</v>
      </c>
      <c r="L182" s="297">
        <f t="shared" si="39"/>
        <v>1.1288621731571568E-2</v>
      </c>
      <c r="M182" s="298">
        <f t="shared" si="40"/>
        <v>-1.0197484185655812E-2</v>
      </c>
      <c r="N182" s="298">
        <f t="shared" si="41"/>
        <v>7.419595997936148E-3</v>
      </c>
      <c r="O182" s="298">
        <f t="shared" si="42"/>
        <v>-2.4096328307155994E-4</v>
      </c>
      <c r="P182" s="298">
        <f t="shared" si="43"/>
        <v>6.0063612046825469E-3</v>
      </c>
      <c r="Q182" s="298">
        <f t="shared" si="44"/>
        <v>-3.4771895398140952E-3</v>
      </c>
      <c r="R182" s="298">
        <f t="shared" si="45"/>
        <v>4.4186292288672525E-2</v>
      </c>
      <c r="S182" s="299">
        <f t="shared" si="46"/>
        <v>8.134480334929849E-3</v>
      </c>
      <c r="U182" s="303">
        <f t="shared" si="47"/>
        <v>1.2847327152080097E-2</v>
      </c>
      <c r="V182" s="86">
        <f t="shared" si="48"/>
        <v>-1.6295212884116447E-2</v>
      </c>
      <c r="W182" s="86">
        <f t="shared" si="49"/>
        <v>4.5710926528699791E-3</v>
      </c>
      <c r="X182" s="86">
        <f t="shared" si="50"/>
        <v>-6.1229079558606928E-4</v>
      </c>
      <c r="Y182" s="86">
        <f t="shared" si="51"/>
        <v>4.8973512129889176E-3</v>
      </c>
      <c r="Z182" s="86">
        <f t="shared" si="52"/>
        <v>-5.038982138991446E-3</v>
      </c>
      <c r="AA182" s="86">
        <f t="shared" si="53"/>
        <v>4.9898212964216059E-2</v>
      </c>
      <c r="AB182" s="304">
        <f t="shared" si="54"/>
        <v>7.5221224582802879E-3</v>
      </c>
    </row>
    <row r="183" spans="2:28" x14ac:dyDescent="0.3">
      <c r="B183" s="271">
        <v>43853</v>
      </c>
      <c r="C183" s="292">
        <v>154.15</v>
      </c>
      <c r="D183" s="292">
        <v>192.199997</v>
      </c>
      <c r="E183" s="292">
        <v>4189.5</v>
      </c>
      <c r="F183" s="292">
        <v>1244.849976</v>
      </c>
      <c r="G183" s="292">
        <v>1776.1</v>
      </c>
      <c r="H183" s="292">
        <v>1526.849976</v>
      </c>
      <c r="I183" s="292">
        <v>40.950000000000003</v>
      </c>
      <c r="J183" s="197">
        <v>2056.8999020000001</v>
      </c>
      <c r="L183" s="297">
        <f t="shared" si="39"/>
        <v>6.1818970256685675E-3</v>
      </c>
      <c r="M183" s="298">
        <f t="shared" si="40"/>
        <v>-2.7961278458551765E-2</v>
      </c>
      <c r="N183" s="298">
        <f t="shared" si="41"/>
        <v>6.6697648213635248E-3</v>
      </c>
      <c r="O183" s="298">
        <f t="shared" si="42"/>
        <v>3.2184121414225043E-3</v>
      </c>
      <c r="P183" s="298">
        <f t="shared" si="43"/>
        <v>-1.771977906099479E-3</v>
      </c>
      <c r="Q183" s="298">
        <f t="shared" si="44"/>
        <v>-4.248094815394881E-3</v>
      </c>
      <c r="R183" s="298">
        <f t="shared" si="45"/>
        <v>6.2993114347425452E-2</v>
      </c>
      <c r="S183" s="299">
        <f t="shared" si="46"/>
        <v>2.5312534500769759E-3</v>
      </c>
      <c r="U183" s="303">
        <f t="shared" si="47"/>
        <v>7.7406024461770979E-3</v>
      </c>
      <c r="V183" s="86">
        <f t="shared" si="48"/>
        <v>-3.4059007157012398E-2</v>
      </c>
      <c r="W183" s="86">
        <f t="shared" si="49"/>
        <v>3.8212614762973556E-3</v>
      </c>
      <c r="X183" s="86">
        <f t="shared" si="50"/>
        <v>2.8470846289079949E-3</v>
      </c>
      <c r="Y183" s="86">
        <f t="shared" si="51"/>
        <v>-2.8809878977931079E-3</v>
      </c>
      <c r="Z183" s="86">
        <f t="shared" si="52"/>
        <v>-5.8098874145722313E-3</v>
      </c>
      <c r="AA183" s="86">
        <f t="shared" si="53"/>
        <v>6.8705035022968985E-2</v>
      </c>
      <c r="AB183" s="304">
        <f t="shared" si="54"/>
        <v>1.918895573427415E-3</v>
      </c>
    </row>
    <row r="184" spans="2:28" x14ac:dyDescent="0.3">
      <c r="B184" s="271">
        <v>43852</v>
      </c>
      <c r="C184" s="292">
        <v>153.19999999999999</v>
      </c>
      <c r="D184" s="292">
        <v>197.64999399999999</v>
      </c>
      <c r="E184" s="292">
        <v>4161.6499999999996</v>
      </c>
      <c r="F184" s="292">
        <v>1240.849976</v>
      </c>
      <c r="G184" s="292">
        <v>1779.25</v>
      </c>
      <c r="H184" s="292">
        <v>1533.349976</v>
      </c>
      <c r="I184" s="292">
        <v>38.450000000000003</v>
      </c>
      <c r="J184" s="197">
        <v>2051.6999510000001</v>
      </c>
      <c r="L184" s="297">
        <f t="shared" si="39"/>
        <v>-4.5587835383426719E-3</v>
      </c>
      <c r="M184" s="298">
        <f t="shared" si="40"/>
        <v>-2.3006796552598147E-2</v>
      </c>
      <c r="N184" s="298">
        <f t="shared" si="41"/>
        <v>6.6101401953760149E-4</v>
      </c>
      <c r="O184" s="298">
        <f t="shared" si="42"/>
        <v>-2.8166766309240606E-3</v>
      </c>
      <c r="P184" s="298">
        <f t="shared" si="43"/>
        <v>-1.7549196896054949E-2</v>
      </c>
      <c r="Q184" s="298">
        <f t="shared" si="44"/>
        <v>-3.5865873723786487E-4</v>
      </c>
      <c r="R184" s="298">
        <f t="shared" si="45"/>
        <v>2.6041681383877297E-3</v>
      </c>
      <c r="S184" s="299">
        <f t="shared" si="46"/>
        <v>-1.8017346221618723E-3</v>
      </c>
      <c r="U184" s="303">
        <f t="shared" si="47"/>
        <v>-3.0000781178341415E-3</v>
      </c>
      <c r="V184" s="86">
        <f t="shared" si="48"/>
        <v>-2.9104525251058781E-2</v>
      </c>
      <c r="W184" s="86">
        <f t="shared" si="49"/>
        <v>-2.1874893255285676E-3</v>
      </c>
      <c r="X184" s="86">
        <f t="shared" si="50"/>
        <v>-3.18800414343857E-3</v>
      </c>
      <c r="Y184" s="86">
        <f t="shared" si="51"/>
        <v>-1.8658206887748576E-2</v>
      </c>
      <c r="Z184" s="86">
        <f t="shared" si="52"/>
        <v>-1.9204513364152154E-3</v>
      </c>
      <c r="AA184" s="86">
        <f t="shared" si="53"/>
        <v>8.3160888139312654E-3</v>
      </c>
      <c r="AB184" s="304">
        <f t="shared" si="54"/>
        <v>-2.4140924988114332E-3</v>
      </c>
    </row>
    <row r="185" spans="2:28" x14ac:dyDescent="0.3">
      <c r="B185" s="271">
        <v>43851</v>
      </c>
      <c r="C185" s="292">
        <v>153.9</v>
      </c>
      <c r="D185" s="292">
        <v>202.25</v>
      </c>
      <c r="E185" s="292">
        <v>4158.8999999999996</v>
      </c>
      <c r="F185" s="292">
        <v>1244.349976</v>
      </c>
      <c r="G185" s="292">
        <v>1810.75</v>
      </c>
      <c r="H185" s="292">
        <v>1533.900024</v>
      </c>
      <c r="I185" s="292">
        <v>38.35</v>
      </c>
      <c r="J185" s="197">
        <v>2055.3999020000001</v>
      </c>
      <c r="L185" s="297">
        <f t="shared" si="39"/>
        <v>-1.9305618894153422E-2</v>
      </c>
      <c r="M185" s="298">
        <f t="shared" si="40"/>
        <v>2.0985016722985535E-2</v>
      </c>
      <c r="N185" s="298">
        <f t="shared" si="41"/>
        <v>-1.101178651749366E-2</v>
      </c>
      <c r="O185" s="298">
        <f t="shared" si="42"/>
        <v>-8.4426213186553668E-3</v>
      </c>
      <c r="P185" s="298">
        <f t="shared" si="43"/>
        <v>-2.0768610949574121E-2</v>
      </c>
      <c r="Q185" s="298">
        <f t="shared" si="44"/>
        <v>1.0110383250147399E-3</v>
      </c>
      <c r="R185" s="298">
        <f t="shared" si="45"/>
        <v>-7.7922472201656552E-3</v>
      </c>
      <c r="S185" s="299">
        <f t="shared" si="46"/>
        <v>-3.6181407770316978E-3</v>
      </c>
      <c r="U185" s="303">
        <f t="shared" si="47"/>
        <v>-1.774691347364489E-2</v>
      </c>
      <c r="V185" s="86">
        <f t="shared" si="48"/>
        <v>1.4887288024524901E-2</v>
      </c>
      <c r="W185" s="86">
        <f t="shared" si="49"/>
        <v>-1.3860289862559829E-2</v>
      </c>
      <c r="X185" s="86">
        <f t="shared" si="50"/>
        <v>-8.8139488311698762E-3</v>
      </c>
      <c r="Y185" s="86">
        <f t="shared" si="51"/>
        <v>-2.1877620941267748E-2</v>
      </c>
      <c r="Z185" s="86">
        <f t="shared" si="52"/>
        <v>-5.5075427416261067E-4</v>
      </c>
      <c r="AA185" s="86">
        <f t="shared" si="53"/>
        <v>-2.0803265446221195E-3</v>
      </c>
      <c r="AB185" s="304">
        <f t="shared" si="54"/>
        <v>-4.2304986536812585E-3</v>
      </c>
    </row>
    <row r="186" spans="2:28" x14ac:dyDescent="0.3">
      <c r="B186" s="271">
        <v>43850</v>
      </c>
      <c r="C186" s="292">
        <v>156.9</v>
      </c>
      <c r="D186" s="292">
        <v>198.050003</v>
      </c>
      <c r="E186" s="292">
        <v>4204.95</v>
      </c>
      <c r="F186" s="292">
        <v>1254.900024</v>
      </c>
      <c r="G186" s="292">
        <v>1848.75</v>
      </c>
      <c r="H186" s="292">
        <v>1532.349976</v>
      </c>
      <c r="I186" s="292">
        <v>38.65</v>
      </c>
      <c r="J186" s="197">
        <v>2062.8500979999999</v>
      </c>
      <c r="L186" s="297">
        <f t="shared" si="39"/>
        <v>-1.6435262485912306E-2</v>
      </c>
      <c r="M186" s="298">
        <f t="shared" si="40"/>
        <v>4.8626124610226432E-2</v>
      </c>
      <c r="N186" s="298">
        <f t="shared" si="41"/>
        <v>9.3900768804939631E-3</v>
      </c>
      <c r="O186" s="298">
        <f t="shared" si="42"/>
        <v>-1.8357831477921239E-2</v>
      </c>
      <c r="P186" s="298">
        <f t="shared" si="43"/>
        <v>1.0166446158421478E-2</v>
      </c>
      <c r="Q186" s="298">
        <f t="shared" si="44"/>
        <v>-3.1255069134032025E-2</v>
      </c>
      <c r="R186" s="298">
        <f t="shared" si="45"/>
        <v>-1.5404669194986467E-2</v>
      </c>
      <c r="S186" s="299">
        <f t="shared" si="46"/>
        <v>1.2369422573622799E-3</v>
      </c>
      <c r="U186" s="303">
        <f t="shared" si="47"/>
        <v>-1.4876557065403776E-2</v>
      </c>
      <c r="V186" s="86">
        <f t="shared" si="48"/>
        <v>4.2528395911765798E-2</v>
      </c>
      <c r="W186" s="86">
        <f t="shared" si="49"/>
        <v>6.5415735354277943E-3</v>
      </c>
      <c r="X186" s="86">
        <f t="shared" si="50"/>
        <v>-1.8729158990435747E-2</v>
      </c>
      <c r="Y186" s="86">
        <f t="shared" si="51"/>
        <v>9.0574361667278488E-3</v>
      </c>
      <c r="Z186" s="86">
        <f t="shared" si="52"/>
        <v>-3.2816861733209378E-2</v>
      </c>
      <c r="AA186" s="86">
        <f t="shared" si="53"/>
        <v>-9.6927485194429307E-3</v>
      </c>
      <c r="AB186" s="304">
        <f t="shared" si="54"/>
        <v>6.2458438071271902E-4</v>
      </c>
    </row>
    <row r="187" spans="2:28" x14ac:dyDescent="0.3">
      <c r="B187" s="271">
        <v>43847</v>
      </c>
      <c r="C187" s="292">
        <v>159.5</v>
      </c>
      <c r="D187" s="292">
        <v>188.64999399999999</v>
      </c>
      <c r="E187" s="292">
        <v>4165.6499999999996</v>
      </c>
      <c r="F187" s="292">
        <v>1278.150024</v>
      </c>
      <c r="G187" s="292">
        <v>1830.05</v>
      </c>
      <c r="H187" s="292">
        <v>1581</v>
      </c>
      <c r="I187" s="292">
        <v>39.25</v>
      </c>
      <c r="J187" s="197">
        <v>2060.3000489999999</v>
      </c>
      <c r="L187" s="297">
        <f t="shared" si="39"/>
        <v>-1.7094433359300068E-2</v>
      </c>
      <c r="M187" s="298">
        <f t="shared" si="40"/>
        <v>4.8604637510366776E-2</v>
      </c>
      <c r="N187" s="298">
        <f t="shared" si="41"/>
        <v>3.8724312389978618E-3</v>
      </c>
      <c r="O187" s="298">
        <f t="shared" si="42"/>
        <v>-7.4051315254884285E-3</v>
      </c>
      <c r="P187" s="298">
        <f t="shared" si="43"/>
        <v>-2.7829331504443506E-3</v>
      </c>
      <c r="Q187" s="298">
        <f t="shared" si="44"/>
        <v>2.7639693157898129E-2</v>
      </c>
      <c r="R187" s="298">
        <f t="shared" si="45"/>
        <v>-1.7677227983866346E-2</v>
      </c>
      <c r="S187" s="299">
        <f t="shared" si="46"/>
        <v>5.3777544982173114E-3</v>
      </c>
      <c r="U187" s="303">
        <f t="shared" si="47"/>
        <v>-1.5535727938791538E-2</v>
      </c>
      <c r="V187" s="86">
        <f t="shared" si="48"/>
        <v>4.2506908811906143E-2</v>
      </c>
      <c r="W187" s="86">
        <f t="shared" si="49"/>
        <v>1.0239278939316926E-3</v>
      </c>
      <c r="X187" s="86">
        <f t="shared" si="50"/>
        <v>-7.7764590380029379E-3</v>
      </c>
      <c r="Y187" s="86">
        <f t="shared" si="51"/>
        <v>-3.8919431421379795E-3</v>
      </c>
      <c r="Z187" s="86">
        <f t="shared" si="52"/>
        <v>2.6077900558720779E-2</v>
      </c>
      <c r="AA187" s="86">
        <f t="shared" si="53"/>
        <v>-1.196530730832281E-2</v>
      </c>
      <c r="AB187" s="304">
        <f t="shared" si="54"/>
        <v>4.7653966215677503E-3</v>
      </c>
    </row>
    <row r="188" spans="2:28" x14ac:dyDescent="0.3">
      <c r="B188" s="271">
        <v>43846</v>
      </c>
      <c r="C188" s="292">
        <v>162.25</v>
      </c>
      <c r="D188" s="292">
        <v>179.699997</v>
      </c>
      <c r="E188" s="292">
        <v>4149.55</v>
      </c>
      <c r="F188" s="292">
        <v>1287.650024</v>
      </c>
      <c r="G188" s="292">
        <v>1835.15</v>
      </c>
      <c r="H188" s="292">
        <v>1537.900024</v>
      </c>
      <c r="I188" s="292">
        <v>39.950000000000003</v>
      </c>
      <c r="J188" s="197">
        <v>2049.25</v>
      </c>
      <c r="L188" s="297">
        <f t="shared" si="39"/>
        <v>-1.4683653238173897E-2</v>
      </c>
      <c r="M188" s="298">
        <f t="shared" si="40"/>
        <v>-5.1251542263158895E-2</v>
      </c>
      <c r="N188" s="298">
        <f t="shared" si="41"/>
        <v>2.932323401492997E-3</v>
      </c>
      <c r="O188" s="298">
        <f t="shared" si="42"/>
        <v>2.6439798973244845E-3</v>
      </c>
      <c r="P188" s="298">
        <f t="shared" si="43"/>
        <v>-3.8614286300761992E-3</v>
      </c>
      <c r="Q188" s="298">
        <f t="shared" si="44"/>
        <v>9.1778535954920304E-3</v>
      </c>
      <c r="R188" s="298">
        <f t="shared" si="45"/>
        <v>5.0188311119427655E-3</v>
      </c>
      <c r="S188" s="299">
        <f t="shared" si="46"/>
        <v>1.3559851008673643E-2</v>
      </c>
      <c r="U188" s="303">
        <f t="shared" si="47"/>
        <v>-1.3124947817665367E-2</v>
      </c>
      <c r="V188" s="86">
        <f t="shared" si="48"/>
        <v>-5.7349270961619528E-2</v>
      </c>
      <c r="W188" s="86">
        <f t="shared" si="49"/>
        <v>8.3820056426827695E-5</v>
      </c>
      <c r="X188" s="86">
        <f t="shared" si="50"/>
        <v>2.2726523848099751E-3</v>
      </c>
      <c r="Y188" s="86">
        <f t="shared" si="51"/>
        <v>-4.9704386217698281E-3</v>
      </c>
      <c r="Z188" s="86">
        <f t="shared" si="52"/>
        <v>7.6160609963146801E-3</v>
      </c>
      <c r="AA188" s="86">
        <f t="shared" si="53"/>
        <v>1.0730751787486302E-2</v>
      </c>
      <c r="AB188" s="304">
        <f t="shared" si="54"/>
        <v>1.2947493132024082E-2</v>
      </c>
    </row>
    <row r="189" spans="2:28" x14ac:dyDescent="0.3">
      <c r="B189" s="271">
        <v>43845</v>
      </c>
      <c r="C189" s="292">
        <v>164.65</v>
      </c>
      <c r="D189" s="292">
        <v>189.14999399999999</v>
      </c>
      <c r="E189" s="292">
        <v>4137.3999999999996</v>
      </c>
      <c r="F189" s="292">
        <v>1284.25</v>
      </c>
      <c r="G189" s="292">
        <v>1842.25</v>
      </c>
      <c r="H189" s="292">
        <v>1523.849976</v>
      </c>
      <c r="I189" s="292">
        <v>39.75</v>
      </c>
      <c r="J189" s="197">
        <v>2021.650024</v>
      </c>
      <c r="L189" s="297">
        <f t="shared" si="39"/>
        <v>-2.1234650782072789E-3</v>
      </c>
      <c r="M189" s="298">
        <f t="shared" si="40"/>
        <v>-5.1266921847579146E-2</v>
      </c>
      <c r="N189" s="298">
        <f t="shared" si="41"/>
        <v>-1.9799595988968261E-3</v>
      </c>
      <c r="O189" s="298">
        <f t="shared" si="42"/>
        <v>-4.0796559740222177E-3</v>
      </c>
      <c r="P189" s="298">
        <f t="shared" si="43"/>
        <v>1.2618291637165083E-2</v>
      </c>
      <c r="Q189" s="298">
        <f t="shared" si="44"/>
        <v>-3.6355058464711911E-3</v>
      </c>
      <c r="R189" s="298">
        <f t="shared" si="45"/>
        <v>3.065374109100252E-2</v>
      </c>
      <c r="S189" s="299">
        <f t="shared" si="46"/>
        <v>6.3764682884192205E-3</v>
      </c>
      <c r="U189" s="303">
        <f t="shared" si="47"/>
        <v>-5.6475965769874873E-4</v>
      </c>
      <c r="V189" s="86">
        <f t="shared" si="48"/>
        <v>-5.7364650546039779E-2</v>
      </c>
      <c r="W189" s="86">
        <f t="shared" si="49"/>
        <v>-4.828462943962995E-3</v>
      </c>
      <c r="X189" s="86">
        <f t="shared" si="50"/>
        <v>-4.4509834865367271E-3</v>
      </c>
      <c r="Y189" s="86">
        <f t="shared" si="51"/>
        <v>1.1509281645471454E-2</v>
      </c>
      <c r="Z189" s="86">
        <f t="shared" si="52"/>
        <v>-5.1972984456485419E-3</v>
      </c>
      <c r="AA189" s="86">
        <f t="shared" si="53"/>
        <v>3.6365661766546056E-2</v>
      </c>
      <c r="AB189" s="304">
        <f t="shared" si="54"/>
        <v>5.7641104117696594E-3</v>
      </c>
    </row>
    <row r="190" spans="2:28" x14ac:dyDescent="0.3">
      <c r="B190" s="271">
        <v>43844</v>
      </c>
      <c r="C190" s="292">
        <v>165</v>
      </c>
      <c r="D190" s="292">
        <v>199.10000600000001</v>
      </c>
      <c r="E190" s="292">
        <v>4145.6000000000004</v>
      </c>
      <c r="F190" s="292">
        <v>1289.5</v>
      </c>
      <c r="G190" s="292">
        <v>1819.15</v>
      </c>
      <c r="H190" s="292">
        <v>1529.400024</v>
      </c>
      <c r="I190" s="292">
        <v>38.549999999999997</v>
      </c>
      <c r="J190" s="197">
        <v>2008.8000489999999</v>
      </c>
      <c r="L190" s="297">
        <f t="shared" si="39"/>
        <v>2.7963106344714786E-2</v>
      </c>
      <c r="M190" s="298">
        <f t="shared" si="40"/>
        <v>-5.1155147481712279E-2</v>
      </c>
      <c r="N190" s="298">
        <f t="shared" si="41"/>
        <v>-1.0677069171989793E-2</v>
      </c>
      <c r="O190" s="298">
        <f t="shared" si="42"/>
        <v>2.7179205238348236E-3</v>
      </c>
      <c r="P190" s="298">
        <f t="shared" si="43"/>
        <v>7.8641704397409817E-3</v>
      </c>
      <c r="Q190" s="298">
        <f t="shared" si="44"/>
        <v>-9.3065831433232788E-3</v>
      </c>
      <c r="R190" s="298">
        <f t="shared" si="45"/>
        <v>-8.8091640678997302E-2</v>
      </c>
      <c r="S190" s="299">
        <f t="shared" si="46"/>
        <v>6.9687057397451527E-3</v>
      </c>
      <c r="U190" s="303">
        <f t="shared" si="47"/>
        <v>2.9521811765223317E-2</v>
      </c>
      <c r="V190" s="86">
        <f t="shared" si="48"/>
        <v>-5.7252876180172912E-2</v>
      </c>
      <c r="W190" s="86">
        <f t="shared" si="49"/>
        <v>-1.3525572517055962E-2</v>
      </c>
      <c r="X190" s="86">
        <f t="shared" si="50"/>
        <v>2.3465930113203142E-3</v>
      </c>
      <c r="Y190" s="86">
        <f t="shared" si="51"/>
        <v>6.7551604480473523E-3</v>
      </c>
      <c r="Z190" s="86">
        <f t="shared" si="52"/>
        <v>-1.086837574250063E-2</v>
      </c>
      <c r="AA190" s="86">
        <f t="shared" si="53"/>
        <v>-8.2379720003453769E-2</v>
      </c>
      <c r="AB190" s="304">
        <f t="shared" si="54"/>
        <v>6.3563478630955916E-3</v>
      </c>
    </row>
    <row r="191" spans="2:28" x14ac:dyDescent="0.3">
      <c r="B191" s="271">
        <v>43843</v>
      </c>
      <c r="C191" s="292">
        <v>160.44999999999999</v>
      </c>
      <c r="D191" s="292">
        <v>209.550003</v>
      </c>
      <c r="E191" s="292">
        <v>4190.1000000000004</v>
      </c>
      <c r="F191" s="292">
        <v>1286</v>
      </c>
      <c r="G191" s="292">
        <v>1804.9</v>
      </c>
      <c r="H191" s="292">
        <v>1543.6999510000001</v>
      </c>
      <c r="I191" s="292">
        <v>42.1</v>
      </c>
      <c r="J191" s="197">
        <v>1994.849976</v>
      </c>
      <c r="L191" s="297">
        <f t="shared" si="39"/>
        <v>3.1211011603388505E-3</v>
      </c>
      <c r="M191" s="298">
        <f t="shared" si="40"/>
        <v>-5.1162051465833649E-2</v>
      </c>
      <c r="N191" s="298">
        <f t="shared" si="41"/>
        <v>2.8643036357688849E-4</v>
      </c>
      <c r="O191" s="298">
        <f t="shared" si="42"/>
        <v>2.56943269243085E-3</v>
      </c>
      <c r="P191" s="298">
        <f t="shared" si="43"/>
        <v>6.8660014826684313E-3</v>
      </c>
      <c r="Q191" s="298">
        <f t="shared" si="44"/>
        <v>-2.5555664559141771E-3</v>
      </c>
      <c r="R191" s="298">
        <f t="shared" si="45"/>
        <v>-6.1043704032528637E-2</v>
      </c>
      <c r="S191" s="299">
        <f t="shared" si="46"/>
        <v>2.0690293893573901E-2</v>
      </c>
      <c r="U191" s="303">
        <f t="shared" si="47"/>
        <v>4.6798065808473805E-3</v>
      </c>
      <c r="V191" s="86">
        <f t="shared" si="48"/>
        <v>-5.7259780164294283E-2</v>
      </c>
      <c r="W191" s="86">
        <f t="shared" si="49"/>
        <v>-2.5620729814892808E-3</v>
      </c>
      <c r="X191" s="86">
        <f t="shared" si="50"/>
        <v>2.1981051799163406E-3</v>
      </c>
      <c r="Y191" s="86">
        <f t="shared" si="51"/>
        <v>5.756991490974802E-3</v>
      </c>
      <c r="Z191" s="86">
        <f t="shared" si="52"/>
        <v>-4.1173590550915278E-3</v>
      </c>
      <c r="AA191" s="86">
        <f t="shared" si="53"/>
        <v>-5.5331783356985104E-2</v>
      </c>
      <c r="AB191" s="304">
        <f t="shared" si="54"/>
        <v>2.0077936016924341E-2</v>
      </c>
    </row>
    <row r="192" spans="2:28" x14ac:dyDescent="0.3">
      <c r="B192" s="271">
        <v>43840</v>
      </c>
      <c r="C192" s="292">
        <v>159.94999999999999</v>
      </c>
      <c r="D192" s="292">
        <v>220.550003</v>
      </c>
      <c r="E192" s="292">
        <v>4188.8999999999996</v>
      </c>
      <c r="F192" s="292">
        <v>1282.6999510000001</v>
      </c>
      <c r="G192" s="292">
        <v>1792.55</v>
      </c>
      <c r="H192" s="292">
        <v>1547.650024</v>
      </c>
      <c r="I192" s="292">
        <v>44.75</v>
      </c>
      <c r="J192" s="197">
        <v>1954</v>
      </c>
      <c r="L192" s="297">
        <f t="shared" si="39"/>
        <v>1.1317316643869025E-2</v>
      </c>
      <c r="M192" s="298">
        <f t="shared" si="40"/>
        <v>-5.1259248467265373E-2</v>
      </c>
      <c r="N192" s="298">
        <f t="shared" si="41"/>
        <v>6.1781805711840464E-3</v>
      </c>
      <c r="O192" s="298">
        <f t="shared" si="42"/>
        <v>8.848518725996974E-3</v>
      </c>
      <c r="P192" s="298">
        <f t="shared" si="43"/>
        <v>1.1219999334400051E-2</v>
      </c>
      <c r="Q192" s="298">
        <f t="shared" si="44"/>
        <v>-2.2610824788184082E-4</v>
      </c>
      <c r="R192" s="298">
        <f t="shared" si="45"/>
        <v>-5.5418850777022848E-2</v>
      </c>
      <c r="S192" s="299">
        <f t="shared" si="46"/>
        <v>9.7453623570630827E-3</v>
      </c>
      <c r="U192" s="303">
        <f t="shared" si="47"/>
        <v>1.2876022064377554E-2</v>
      </c>
      <c r="V192" s="86">
        <f t="shared" si="48"/>
        <v>-5.7356977165726006E-2</v>
      </c>
      <c r="W192" s="86">
        <f t="shared" si="49"/>
        <v>3.3296772261178771E-3</v>
      </c>
      <c r="X192" s="86">
        <f t="shared" si="50"/>
        <v>8.4771912134824646E-3</v>
      </c>
      <c r="Y192" s="86">
        <f t="shared" si="51"/>
        <v>1.0110989342706421E-2</v>
      </c>
      <c r="Z192" s="86">
        <f t="shared" si="52"/>
        <v>-1.7879008470591913E-3</v>
      </c>
      <c r="AA192" s="86">
        <f t="shared" si="53"/>
        <v>-4.9706930101479314E-2</v>
      </c>
      <c r="AB192" s="304">
        <f t="shared" si="54"/>
        <v>9.1330044804135216E-3</v>
      </c>
    </row>
    <row r="193" spans="2:28" x14ac:dyDescent="0.3">
      <c r="B193" s="271">
        <v>43839</v>
      </c>
      <c r="C193" s="292">
        <v>158.15</v>
      </c>
      <c r="D193" s="292">
        <v>232.14999399999999</v>
      </c>
      <c r="E193" s="292">
        <v>4163.1000000000004</v>
      </c>
      <c r="F193" s="292">
        <v>1271.400024</v>
      </c>
      <c r="G193" s="292">
        <v>1772.55</v>
      </c>
      <c r="H193" s="292">
        <v>1548</v>
      </c>
      <c r="I193" s="292">
        <v>47.3</v>
      </c>
      <c r="J193" s="197">
        <v>1935.0500489999999</v>
      </c>
      <c r="L193" s="297">
        <f t="shared" si="39"/>
        <v>5.0713262412420863E-3</v>
      </c>
      <c r="M193" s="298">
        <f t="shared" si="40"/>
        <v>4.876857362012943E-2</v>
      </c>
      <c r="N193" s="298">
        <f t="shared" si="41"/>
        <v>4.9484488111634865E-3</v>
      </c>
      <c r="O193" s="298">
        <f t="shared" si="42"/>
        <v>1.1152070807600995E-2</v>
      </c>
      <c r="P193" s="298">
        <f t="shared" si="43"/>
        <v>2.499166156045796E-2</v>
      </c>
      <c r="Q193" s="298">
        <f t="shared" si="44"/>
        <v>2.2770188634579133E-2</v>
      </c>
      <c r="R193" s="298">
        <f t="shared" si="45"/>
        <v>2.6782532796571442E-2</v>
      </c>
      <c r="S193" s="299">
        <f t="shared" si="46"/>
        <v>2.9500450765916528E-3</v>
      </c>
      <c r="U193" s="303">
        <f t="shared" si="47"/>
        <v>6.6300316617506167E-3</v>
      </c>
      <c r="V193" s="86">
        <f t="shared" si="48"/>
        <v>4.2670844921668796E-2</v>
      </c>
      <c r="W193" s="86">
        <f t="shared" si="49"/>
        <v>2.0999454660973172E-3</v>
      </c>
      <c r="X193" s="86">
        <f t="shared" si="50"/>
        <v>1.0780743295086485E-2</v>
      </c>
      <c r="Y193" s="86">
        <f t="shared" si="51"/>
        <v>2.3882651568764332E-2</v>
      </c>
      <c r="Z193" s="86">
        <f t="shared" si="52"/>
        <v>2.1208396035401783E-2</v>
      </c>
      <c r="AA193" s="86">
        <f t="shared" si="53"/>
        <v>3.2494453472114979E-2</v>
      </c>
      <c r="AB193" s="304">
        <f t="shared" si="54"/>
        <v>2.3376871999420921E-3</v>
      </c>
    </row>
    <row r="194" spans="2:28" x14ac:dyDescent="0.3">
      <c r="B194" s="271">
        <v>43838</v>
      </c>
      <c r="C194" s="292">
        <v>157.35</v>
      </c>
      <c r="D194" s="292">
        <v>221.10000600000001</v>
      </c>
      <c r="E194" s="292">
        <v>4142.55</v>
      </c>
      <c r="F194" s="292">
        <v>1257.3000489999999</v>
      </c>
      <c r="G194" s="292">
        <v>1728.8</v>
      </c>
      <c r="H194" s="292">
        <v>1513.150024</v>
      </c>
      <c r="I194" s="292">
        <v>46.05</v>
      </c>
      <c r="J194" s="197">
        <v>1929.349976</v>
      </c>
      <c r="L194" s="297">
        <f t="shared" si="39"/>
        <v>8.6166162608787965E-3</v>
      </c>
      <c r="M194" s="298">
        <f t="shared" si="40"/>
        <v>4.8654486810539091E-2</v>
      </c>
      <c r="N194" s="298">
        <f t="shared" si="41"/>
        <v>-2.2083594157991795E-2</v>
      </c>
      <c r="O194" s="298">
        <f t="shared" si="42"/>
        <v>-2.6211754689205533E-3</v>
      </c>
      <c r="P194" s="298">
        <f t="shared" si="43"/>
        <v>2.5483623196966947E-3</v>
      </c>
      <c r="Q194" s="298">
        <f t="shared" si="44"/>
        <v>-7.5384782972461126E-3</v>
      </c>
      <c r="R194" s="298">
        <f t="shared" si="45"/>
        <v>2.1954778646968966E-2</v>
      </c>
      <c r="S194" s="299">
        <f t="shared" si="46"/>
        <v>4.4934687697992864E-3</v>
      </c>
      <c r="U194" s="303">
        <f t="shared" si="47"/>
        <v>1.0175321681387326E-2</v>
      </c>
      <c r="V194" s="86">
        <f t="shared" si="48"/>
        <v>4.2556758112078458E-2</v>
      </c>
      <c r="W194" s="86">
        <f t="shared" si="49"/>
        <v>-2.4932097503057964E-2</v>
      </c>
      <c r="X194" s="86">
        <f t="shared" si="50"/>
        <v>-2.9925029814350627E-3</v>
      </c>
      <c r="Y194" s="86">
        <f t="shared" si="51"/>
        <v>1.4393523280030658E-3</v>
      </c>
      <c r="Z194" s="86">
        <f t="shared" si="52"/>
        <v>-9.1002708964234638E-3</v>
      </c>
      <c r="AA194" s="86">
        <f t="shared" si="53"/>
        <v>2.7666699322512502E-2</v>
      </c>
      <c r="AB194" s="304">
        <f t="shared" si="54"/>
        <v>3.8811108931497253E-3</v>
      </c>
    </row>
    <row r="195" spans="2:28" x14ac:dyDescent="0.3">
      <c r="B195" s="271">
        <v>43837</v>
      </c>
      <c r="C195" s="292">
        <v>156</v>
      </c>
      <c r="D195" s="292">
        <v>210.60000600000001</v>
      </c>
      <c r="E195" s="292">
        <v>4235.05</v>
      </c>
      <c r="F195" s="292">
        <v>1260.599976</v>
      </c>
      <c r="G195" s="292">
        <v>1724.4</v>
      </c>
      <c r="H195" s="292">
        <v>1524.599976</v>
      </c>
      <c r="I195" s="292">
        <v>45.05</v>
      </c>
      <c r="J195" s="197">
        <v>1920.6999510000001</v>
      </c>
      <c r="L195" s="297">
        <f t="shared" si="39"/>
        <v>3.5560752321794099E-2</v>
      </c>
      <c r="M195" s="298">
        <f t="shared" si="40"/>
        <v>4.8647722751799405E-2</v>
      </c>
      <c r="N195" s="298">
        <f t="shared" si="41"/>
        <v>6.7340521020067573E-2</v>
      </c>
      <c r="O195" s="298">
        <f t="shared" si="42"/>
        <v>1.5710603222033465E-2</v>
      </c>
      <c r="P195" s="298">
        <f t="shared" si="43"/>
        <v>1.0053850476971087E-2</v>
      </c>
      <c r="Q195" s="298">
        <f t="shared" si="44"/>
        <v>1.5267456388954426E-2</v>
      </c>
      <c r="R195" s="298">
        <f t="shared" si="45"/>
        <v>-2.2172958086475571E-3</v>
      </c>
      <c r="S195" s="299">
        <f t="shared" si="46"/>
        <v>2.7371210259216692E-3</v>
      </c>
      <c r="U195" s="303">
        <f t="shared" si="47"/>
        <v>3.7119457742302631E-2</v>
      </c>
      <c r="V195" s="86">
        <f t="shared" si="48"/>
        <v>4.2549994053338772E-2</v>
      </c>
      <c r="W195" s="86">
        <f t="shared" si="49"/>
        <v>6.4492017675001401E-2</v>
      </c>
      <c r="X195" s="86">
        <f t="shared" si="50"/>
        <v>1.5339275709518955E-2</v>
      </c>
      <c r="Y195" s="86">
        <f t="shared" si="51"/>
        <v>8.9448404852774579E-3</v>
      </c>
      <c r="Z195" s="86">
        <f t="shared" si="52"/>
        <v>1.3705663789777075E-2</v>
      </c>
      <c r="AA195" s="86">
        <f t="shared" si="53"/>
        <v>3.4946248668959786E-3</v>
      </c>
      <c r="AB195" s="304">
        <f t="shared" si="54"/>
        <v>2.1247631492721086E-3</v>
      </c>
    </row>
    <row r="196" spans="2:28" x14ac:dyDescent="0.3">
      <c r="B196" s="271">
        <v>43836</v>
      </c>
      <c r="C196" s="292">
        <v>150.55000000000001</v>
      </c>
      <c r="D196" s="292">
        <v>200.60000600000001</v>
      </c>
      <c r="E196" s="292">
        <v>3959.25</v>
      </c>
      <c r="F196" s="292">
        <v>1240.9499510000001</v>
      </c>
      <c r="G196" s="292">
        <v>1707.15</v>
      </c>
      <c r="H196" s="292">
        <v>1501.5</v>
      </c>
      <c r="I196" s="292">
        <v>45.15</v>
      </c>
      <c r="J196" s="197">
        <v>1915.4499510000001</v>
      </c>
      <c r="L196" s="297">
        <f t="shared" ref="L196:L259" si="55">LN(C196/C197)</f>
        <v>-4.6716246493579645E-2</v>
      </c>
      <c r="M196" s="298">
        <f t="shared" ref="M196:M259" si="56">LN(D196/D197)</f>
        <v>4.0697374921431204E-2</v>
      </c>
      <c r="N196" s="298">
        <f t="shared" ref="N196:N259" si="57">LN(E196/E197)</f>
        <v>1.7569254539916773E-3</v>
      </c>
      <c r="O196" s="298">
        <f t="shared" ref="O196:O259" si="58">LN(F196/F197)</f>
        <v>-2.1879106767244926E-2</v>
      </c>
      <c r="P196" s="298">
        <f t="shared" ref="P196:P259" si="59">LN(G196/G197)</f>
        <v>-2.5590154692115598E-2</v>
      </c>
      <c r="Q196" s="298">
        <f t="shared" ref="Q196:Q259" si="60">LN(H196/H197)</f>
        <v>-2.3465459679739575E-2</v>
      </c>
      <c r="R196" s="298">
        <f t="shared" ref="R196:R259" si="61">LN(I196/I197)</f>
        <v>-4.2282721159377742E-2</v>
      </c>
      <c r="S196" s="299">
        <f t="shared" ref="S196:S259" si="62">LN(J196/J197)</f>
        <v>-6.245303968261594E-3</v>
      </c>
      <c r="U196" s="303">
        <f t="shared" ref="U196:U259" si="63">L196-L$494</f>
        <v>-4.5157541073071114E-2</v>
      </c>
      <c r="V196" s="86">
        <f t="shared" ref="V196:V259" si="64">M196-M$494</f>
        <v>3.459964622297057E-2</v>
      </c>
      <c r="W196" s="86">
        <f t="shared" ref="W196:W259" si="65">N196-N$494</f>
        <v>-1.091577891074492E-3</v>
      </c>
      <c r="X196" s="86">
        <f t="shared" ref="X196:X259" si="66">O196-O$494</f>
        <v>-2.2250434279759434E-2</v>
      </c>
      <c r="Y196" s="86">
        <f t="shared" ref="Y196:Y259" si="67">P196-P$494</f>
        <v>-2.6699164683809225E-2</v>
      </c>
      <c r="Z196" s="86">
        <f t="shared" ref="Z196:Z259" si="68">Q196-Q$494</f>
        <v>-2.5027252278916924E-2</v>
      </c>
      <c r="AA196" s="86">
        <f t="shared" ref="AA196:AA259" si="69">R196-R$494</f>
        <v>-3.6570800483834209E-2</v>
      </c>
      <c r="AB196" s="304">
        <f t="shared" ref="AB196:AB259" si="70">S196-S$494</f>
        <v>-6.8576618449111551E-3</v>
      </c>
    </row>
    <row r="197" spans="2:28" x14ac:dyDescent="0.3">
      <c r="B197" s="271">
        <v>43833</v>
      </c>
      <c r="C197" s="292">
        <v>157.75</v>
      </c>
      <c r="D197" s="292">
        <v>192.60000600000001</v>
      </c>
      <c r="E197" s="292">
        <v>3952.3</v>
      </c>
      <c r="F197" s="292">
        <v>1268.400024</v>
      </c>
      <c r="G197" s="292">
        <v>1751.4</v>
      </c>
      <c r="H197" s="292">
        <v>1537.150024</v>
      </c>
      <c r="I197" s="292">
        <v>47.1</v>
      </c>
      <c r="J197" s="197">
        <v>1927.4499510000001</v>
      </c>
      <c r="L197" s="297">
        <f t="shared" si="55"/>
        <v>-1.071889203474404E-2</v>
      </c>
      <c r="M197" s="298">
        <f t="shared" si="56"/>
        <v>4.8673396068611534E-2</v>
      </c>
      <c r="N197" s="298">
        <f t="shared" si="57"/>
        <v>1.1860663346382664E-2</v>
      </c>
      <c r="O197" s="298">
        <f t="shared" si="58"/>
        <v>-1.4363376947195918E-2</v>
      </c>
      <c r="P197" s="298">
        <f t="shared" si="59"/>
        <v>-2.2163214323102677E-2</v>
      </c>
      <c r="Q197" s="298">
        <f t="shared" si="60"/>
        <v>1.204234522685112E-3</v>
      </c>
      <c r="R197" s="298">
        <f t="shared" si="61"/>
        <v>-5.2938186097151634E-3</v>
      </c>
      <c r="S197" s="299">
        <f t="shared" si="62"/>
        <v>-5.4844778530357321E-3</v>
      </c>
      <c r="U197" s="303">
        <f t="shared" si="63"/>
        <v>-9.1601866142355104E-3</v>
      </c>
      <c r="V197" s="86">
        <f t="shared" si="64"/>
        <v>4.2575667370150901E-2</v>
      </c>
      <c r="W197" s="86">
        <f t="shared" si="65"/>
        <v>9.0121600013164955E-3</v>
      </c>
      <c r="X197" s="86">
        <f t="shared" si="66"/>
        <v>-1.4734704459710427E-2</v>
      </c>
      <c r="Y197" s="86">
        <f t="shared" si="67"/>
        <v>-2.3272224314796305E-2</v>
      </c>
      <c r="Z197" s="86">
        <f t="shared" si="68"/>
        <v>-3.5755807649223855E-4</v>
      </c>
      <c r="AA197" s="86">
        <f t="shared" si="69"/>
        <v>4.1810206582837232E-4</v>
      </c>
      <c r="AB197" s="304">
        <f t="shared" si="70"/>
        <v>-6.0968357296852932E-3</v>
      </c>
    </row>
    <row r="198" spans="2:28" x14ac:dyDescent="0.3">
      <c r="B198" s="271">
        <v>43832</v>
      </c>
      <c r="C198" s="292">
        <v>159.44999999999999</v>
      </c>
      <c r="D198" s="292">
        <v>183.449997</v>
      </c>
      <c r="E198" s="292">
        <v>3905.7</v>
      </c>
      <c r="F198" s="292">
        <v>1286.75</v>
      </c>
      <c r="G198" s="292">
        <v>1790.65</v>
      </c>
      <c r="H198" s="292">
        <v>1535.3000489999999</v>
      </c>
      <c r="I198" s="292">
        <v>47.35</v>
      </c>
      <c r="J198" s="197">
        <v>1938.0500489999999</v>
      </c>
      <c r="L198" s="297">
        <f t="shared" si="55"/>
        <v>3.0889257302745013E-2</v>
      </c>
      <c r="M198" s="298">
        <f t="shared" si="56"/>
        <v>4.8585753334141557E-2</v>
      </c>
      <c r="N198" s="298">
        <f t="shared" si="57"/>
        <v>3.0981710298216711E-2</v>
      </c>
      <c r="O198" s="298">
        <f t="shared" si="58"/>
        <v>6.3539489707678662E-3</v>
      </c>
      <c r="P198" s="298">
        <f t="shared" si="59"/>
        <v>-1.4230508700576548E-3</v>
      </c>
      <c r="Q198" s="298">
        <f t="shared" si="60"/>
        <v>1.6881134424350314E-2</v>
      </c>
      <c r="R198" s="298">
        <f t="shared" si="61"/>
        <v>1.4893892338734416E-2</v>
      </c>
      <c r="S198" s="299">
        <f t="shared" si="62"/>
        <v>7.7427349248842983E-4</v>
      </c>
      <c r="U198" s="303">
        <f t="shared" si="63"/>
        <v>3.2447962723253544E-2</v>
      </c>
      <c r="V198" s="86">
        <f t="shared" si="64"/>
        <v>4.2488024635680924E-2</v>
      </c>
      <c r="W198" s="86">
        <f t="shared" si="65"/>
        <v>2.8133206953150542E-2</v>
      </c>
      <c r="X198" s="86">
        <f t="shared" si="66"/>
        <v>5.9826214582533567E-3</v>
      </c>
      <c r="Y198" s="86">
        <f t="shared" si="67"/>
        <v>-2.5320608617512837E-3</v>
      </c>
      <c r="Z198" s="86">
        <f t="shared" si="68"/>
        <v>1.5319341825172963E-2</v>
      </c>
      <c r="AA198" s="86">
        <f t="shared" si="69"/>
        <v>2.0605813014277951E-2</v>
      </c>
      <c r="AB198" s="304">
        <f t="shared" si="70"/>
        <v>1.6191561583886894E-4</v>
      </c>
    </row>
    <row r="199" spans="2:28" x14ac:dyDescent="0.3">
      <c r="B199" s="271">
        <v>43831</v>
      </c>
      <c r="C199" s="292">
        <v>154.6</v>
      </c>
      <c r="D199" s="292">
        <v>174.75</v>
      </c>
      <c r="E199" s="292">
        <v>3786.55</v>
      </c>
      <c r="F199" s="292">
        <v>1278.599976</v>
      </c>
      <c r="G199" s="292">
        <v>1793.2</v>
      </c>
      <c r="H199" s="292">
        <v>1509.599976</v>
      </c>
      <c r="I199" s="292">
        <v>46.65</v>
      </c>
      <c r="J199" s="197">
        <v>1936.5500489999999</v>
      </c>
      <c r="L199" s="297">
        <f t="shared" si="55"/>
        <v>1.4004462719057871E-2</v>
      </c>
      <c r="M199" s="298">
        <f t="shared" si="56"/>
        <v>4.8661435116316279E-2</v>
      </c>
      <c r="N199" s="298">
        <f t="shared" si="57"/>
        <v>-3.3615249460741551E-3</v>
      </c>
      <c r="O199" s="298">
        <f t="shared" si="58"/>
        <v>5.0966512663722244E-3</v>
      </c>
      <c r="P199" s="298">
        <f t="shared" si="59"/>
        <v>4.6113296643479689E-3</v>
      </c>
      <c r="Q199" s="298">
        <f t="shared" si="60"/>
        <v>-2.9435127585913643E-3</v>
      </c>
      <c r="R199" s="298">
        <f t="shared" si="61"/>
        <v>-6.4102783609191662E-3</v>
      </c>
      <c r="S199" s="299">
        <f t="shared" si="62"/>
        <v>7.0215981133810775E-3</v>
      </c>
      <c r="U199" s="303">
        <f t="shared" si="63"/>
        <v>1.5563168139566401E-2</v>
      </c>
      <c r="V199" s="86">
        <f t="shared" si="64"/>
        <v>4.2563706417855646E-2</v>
      </c>
      <c r="W199" s="86">
        <f t="shared" si="65"/>
        <v>-6.2100282911403248E-3</v>
      </c>
      <c r="X199" s="86">
        <f t="shared" si="66"/>
        <v>4.725323753857715E-3</v>
      </c>
      <c r="Y199" s="86">
        <f t="shared" si="67"/>
        <v>3.50231967265434E-3</v>
      </c>
      <c r="Z199" s="86">
        <f t="shared" si="68"/>
        <v>-4.5053053577687151E-3</v>
      </c>
      <c r="AA199" s="86">
        <f t="shared" si="69"/>
        <v>-6.9835768537563053E-4</v>
      </c>
      <c r="AB199" s="304">
        <f t="shared" si="70"/>
        <v>6.4092402367315164E-3</v>
      </c>
    </row>
    <row r="200" spans="2:28" x14ac:dyDescent="0.3">
      <c r="B200" s="271">
        <v>43830</v>
      </c>
      <c r="C200" s="292">
        <v>152.44999999999999</v>
      </c>
      <c r="D200" s="292">
        <v>166.449997</v>
      </c>
      <c r="E200" s="292">
        <v>3799.3</v>
      </c>
      <c r="F200" s="292">
        <v>1272.099976</v>
      </c>
      <c r="G200" s="292">
        <v>1784.95</v>
      </c>
      <c r="H200" s="292">
        <v>1514.0500489999999</v>
      </c>
      <c r="I200" s="292">
        <v>46.95</v>
      </c>
      <c r="J200" s="197">
        <v>1923</v>
      </c>
      <c r="L200" s="297">
        <f t="shared" si="55"/>
        <v>-1.3357422903536486E-2</v>
      </c>
      <c r="M200" s="298">
        <f t="shared" si="56"/>
        <v>4.8624926091771242E-2</v>
      </c>
      <c r="N200" s="298">
        <f t="shared" si="57"/>
        <v>-1.8605612357363858E-2</v>
      </c>
      <c r="O200" s="298">
        <f t="shared" si="58"/>
        <v>-7.869315739123639E-3</v>
      </c>
      <c r="P200" s="298">
        <f t="shared" si="59"/>
        <v>-9.6732233818228822E-3</v>
      </c>
      <c r="Q200" s="298">
        <f t="shared" si="60"/>
        <v>-1.9717733228393469E-2</v>
      </c>
      <c r="R200" s="298">
        <f t="shared" si="61"/>
        <v>-8.4836139778152551E-3</v>
      </c>
      <c r="S200" s="299">
        <f t="shared" si="62"/>
        <v>-7.3829750552798093E-3</v>
      </c>
      <c r="U200" s="303">
        <f t="shared" si="63"/>
        <v>-1.1798717483027956E-2</v>
      </c>
      <c r="V200" s="86">
        <f t="shared" si="64"/>
        <v>4.2527197393310609E-2</v>
      </c>
      <c r="W200" s="86">
        <f t="shared" si="65"/>
        <v>-2.1454115702430027E-2</v>
      </c>
      <c r="X200" s="86">
        <f t="shared" si="66"/>
        <v>-8.2406432516381484E-3</v>
      </c>
      <c r="Y200" s="86">
        <f t="shared" si="67"/>
        <v>-1.0782233373516512E-2</v>
      </c>
      <c r="Z200" s="86">
        <f t="shared" si="68"/>
        <v>-2.1279525827570818E-2</v>
      </c>
      <c r="AA200" s="86">
        <f t="shared" si="69"/>
        <v>-2.7716933022717194E-3</v>
      </c>
      <c r="AB200" s="304">
        <f t="shared" si="70"/>
        <v>-7.9953329319293696E-3</v>
      </c>
    </row>
    <row r="201" spans="2:28" x14ac:dyDescent="0.3">
      <c r="B201" s="271">
        <v>43829</v>
      </c>
      <c r="C201" s="292">
        <v>154.5</v>
      </c>
      <c r="D201" s="292">
        <v>158.550003</v>
      </c>
      <c r="E201" s="292">
        <v>3870.65</v>
      </c>
      <c r="F201" s="292">
        <v>1282.150024</v>
      </c>
      <c r="G201" s="292">
        <v>1802.3</v>
      </c>
      <c r="H201" s="292">
        <v>1544.1999510000001</v>
      </c>
      <c r="I201" s="292">
        <v>47.35</v>
      </c>
      <c r="J201" s="197">
        <v>1937.25</v>
      </c>
      <c r="L201" s="297">
        <f t="shared" si="55"/>
        <v>1.7959666398192423E-2</v>
      </c>
      <c r="M201" s="298">
        <f t="shared" si="56"/>
        <v>4.8790183090907678E-2</v>
      </c>
      <c r="N201" s="298">
        <f t="shared" si="57"/>
        <v>-9.2193808601166386E-3</v>
      </c>
      <c r="O201" s="298">
        <f t="shared" si="58"/>
        <v>5.5921964423209566E-3</v>
      </c>
      <c r="P201" s="298">
        <f t="shared" si="59"/>
        <v>-5.505540182227652E-3</v>
      </c>
      <c r="Q201" s="298">
        <f t="shared" si="60"/>
        <v>1.1987333853541501E-3</v>
      </c>
      <c r="R201" s="298">
        <f t="shared" si="61"/>
        <v>-1.3634191275803686E-2</v>
      </c>
      <c r="S201" s="299">
        <f t="shared" si="62"/>
        <v>-6.5086598558049946E-3</v>
      </c>
      <c r="U201" s="303">
        <f t="shared" si="63"/>
        <v>1.9518371818700954E-2</v>
      </c>
      <c r="V201" s="86">
        <f t="shared" si="64"/>
        <v>4.2692454392447045E-2</v>
      </c>
      <c r="W201" s="86">
        <f t="shared" si="65"/>
        <v>-1.2067884205182807E-2</v>
      </c>
      <c r="X201" s="86">
        <f t="shared" si="66"/>
        <v>5.2208689298064472E-3</v>
      </c>
      <c r="Y201" s="86">
        <f t="shared" si="67"/>
        <v>-6.6145501739212804E-3</v>
      </c>
      <c r="Z201" s="86">
        <f t="shared" si="68"/>
        <v>-3.6305921382320046E-4</v>
      </c>
      <c r="AA201" s="86">
        <f t="shared" si="69"/>
        <v>-7.9222706002601492E-3</v>
      </c>
      <c r="AB201" s="304">
        <f t="shared" si="70"/>
        <v>-7.1210177324545557E-3</v>
      </c>
    </row>
    <row r="202" spans="2:28" x14ac:dyDescent="0.3">
      <c r="B202" s="271">
        <v>43826</v>
      </c>
      <c r="C202" s="292">
        <v>151.75</v>
      </c>
      <c r="D202" s="292">
        <v>151</v>
      </c>
      <c r="E202" s="292">
        <v>3906.5</v>
      </c>
      <c r="F202" s="292">
        <v>1275</v>
      </c>
      <c r="G202" s="292">
        <v>1812.25</v>
      </c>
      <c r="H202" s="292">
        <v>1542.349976</v>
      </c>
      <c r="I202" s="292">
        <v>48</v>
      </c>
      <c r="J202" s="197">
        <v>1949.900024</v>
      </c>
      <c r="L202" s="297">
        <f t="shared" si="55"/>
        <v>6.9433243071578346E-3</v>
      </c>
      <c r="M202" s="298">
        <f t="shared" si="56"/>
        <v>-3.4497419806364456E-2</v>
      </c>
      <c r="N202" s="298">
        <f t="shared" si="57"/>
        <v>-1.509163979538863E-3</v>
      </c>
      <c r="O202" s="298">
        <f t="shared" si="58"/>
        <v>3.5750487605404474E-3</v>
      </c>
      <c r="P202" s="298">
        <f t="shared" si="59"/>
        <v>1.4633408191311731E-3</v>
      </c>
      <c r="Q202" s="298">
        <f t="shared" si="60"/>
        <v>1.7627765423044148E-2</v>
      </c>
      <c r="R202" s="298">
        <f t="shared" si="61"/>
        <v>-1.3450797724123104E-2</v>
      </c>
      <c r="S202" s="299">
        <f t="shared" si="62"/>
        <v>2.5418569120709096E-3</v>
      </c>
      <c r="U202" s="303">
        <f t="shared" si="63"/>
        <v>8.5020297276663642E-3</v>
      </c>
      <c r="V202" s="86">
        <f t="shared" si="64"/>
        <v>-4.0595148504825089E-2</v>
      </c>
      <c r="W202" s="86">
        <f t="shared" si="65"/>
        <v>-4.3576673246050321E-3</v>
      </c>
      <c r="X202" s="86">
        <f t="shared" si="66"/>
        <v>3.203721248025938E-3</v>
      </c>
      <c r="Y202" s="86">
        <f t="shared" si="67"/>
        <v>3.5433082743754419E-4</v>
      </c>
      <c r="Z202" s="86">
        <f t="shared" si="68"/>
        <v>1.6065972823866799E-2</v>
      </c>
      <c r="AA202" s="86">
        <f t="shared" si="69"/>
        <v>-7.7388770485795682E-3</v>
      </c>
      <c r="AB202" s="304">
        <f t="shared" si="70"/>
        <v>1.9294990354213487E-3</v>
      </c>
    </row>
    <row r="203" spans="2:28" x14ac:dyDescent="0.3">
      <c r="B203" s="271">
        <v>43825</v>
      </c>
      <c r="C203" s="292">
        <v>150.69999999999999</v>
      </c>
      <c r="D203" s="292">
        <v>156.300003</v>
      </c>
      <c r="E203" s="292">
        <v>3912.4</v>
      </c>
      <c r="F203" s="292">
        <v>1270.4499510000001</v>
      </c>
      <c r="G203" s="292">
        <v>1809.6</v>
      </c>
      <c r="H203" s="292">
        <v>1515.400024</v>
      </c>
      <c r="I203" s="292">
        <v>48.65</v>
      </c>
      <c r="J203" s="197">
        <v>1944.9499510000001</v>
      </c>
      <c r="L203" s="297">
        <f t="shared" si="55"/>
        <v>1.7741051084849347E-2</v>
      </c>
      <c r="M203" s="298">
        <f t="shared" si="56"/>
        <v>4.8502357226826665E-2</v>
      </c>
      <c r="N203" s="298">
        <f t="shared" si="57"/>
        <v>4.3075387756745548E-2</v>
      </c>
      <c r="O203" s="298">
        <f t="shared" si="58"/>
        <v>-1.4611975232250553E-2</v>
      </c>
      <c r="P203" s="298">
        <f t="shared" si="59"/>
        <v>3.4043292728282255E-3</v>
      </c>
      <c r="Q203" s="298">
        <f t="shared" si="60"/>
        <v>-2.0282503512156394E-2</v>
      </c>
      <c r="R203" s="298">
        <f t="shared" si="61"/>
        <v>-5.1087723413448145E-2</v>
      </c>
      <c r="S203" s="299">
        <f t="shared" si="62"/>
        <v>-7.4528021197545213E-4</v>
      </c>
      <c r="U203" s="303">
        <f t="shared" si="63"/>
        <v>1.9299756505357878E-2</v>
      </c>
      <c r="V203" s="86">
        <f t="shared" si="64"/>
        <v>4.2404628528366031E-2</v>
      </c>
      <c r="W203" s="86">
        <f t="shared" si="65"/>
        <v>4.0226884411679376E-2</v>
      </c>
      <c r="X203" s="86">
        <f t="shared" si="66"/>
        <v>-1.4983302744765063E-2</v>
      </c>
      <c r="Y203" s="86">
        <f t="shared" si="67"/>
        <v>2.2953192811345966E-3</v>
      </c>
      <c r="Z203" s="86">
        <f t="shared" si="68"/>
        <v>-2.1844296111333743E-2</v>
      </c>
      <c r="AA203" s="86">
        <f t="shared" si="69"/>
        <v>-4.5375802737904612E-2</v>
      </c>
      <c r="AB203" s="304">
        <f t="shared" si="70"/>
        <v>-1.3576380886250131E-3</v>
      </c>
    </row>
    <row r="204" spans="2:28" x14ac:dyDescent="0.3">
      <c r="B204" s="271">
        <v>43823</v>
      </c>
      <c r="C204" s="292">
        <v>148.05000000000001</v>
      </c>
      <c r="D204" s="292">
        <v>148.89999399999999</v>
      </c>
      <c r="E204" s="292">
        <v>3747.45</v>
      </c>
      <c r="F204" s="292">
        <v>1289.150024</v>
      </c>
      <c r="G204" s="292">
        <v>1803.45</v>
      </c>
      <c r="H204" s="292">
        <v>1546.4499510000001</v>
      </c>
      <c r="I204" s="292">
        <v>51.2</v>
      </c>
      <c r="J204" s="197">
        <v>1946.400024</v>
      </c>
      <c r="L204" s="297">
        <f t="shared" si="55"/>
        <v>2.0283982613928408E-3</v>
      </c>
      <c r="M204" s="298">
        <f t="shared" si="56"/>
        <v>4.8504695841400193E-2</v>
      </c>
      <c r="N204" s="298">
        <f t="shared" si="57"/>
        <v>1.842949239573998E-3</v>
      </c>
      <c r="O204" s="298">
        <f t="shared" si="58"/>
        <v>-1.0225629611557586E-2</v>
      </c>
      <c r="P204" s="298">
        <f t="shared" si="59"/>
        <v>-2.2708400785805428E-3</v>
      </c>
      <c r="Q204" s="298">
        <f t="shared" si="60"/>
        <v>-1.6005007167894152E-2</v>
      </c>
      <c r="R204" s="298">
        <f t="shared" si="61"/>
        <v>3.07411415542805E-2</v>
      </c>
      <c r="S204" s="299">
        <f t="shared" si="62"/>
        <v>-2.0529672324061739E-3</v>
      </c>
      <c r="U204" s="303">
        <f t="shared" si="63"/>
        <v>3.5871036819013708E-3</v>
      </c>
      <c r="V204" s="86">
        <f t="shared" si="64"/>
        <v>4.240696714293956E-2</v>
      </c>
      <c r="W204" s="86">
        <f t="shared" si="65"/>
        <v>-1.0055541054921713E-3</v>
      </c>
      <c r="X204" s="86">
        <f t="shared" si="66"/>
        <v>-1.0596957124072095E-2</v>
      </c>
      <c r="Y204" s="86">
        <f t="shared" si="67"/>
        <v>-3.3798500702741717E-3</v>
      </c>
      <c r="Z204" s="86">
        <f t="shared" si="68"/>
        <v>-1.7566799767071501E-2</v>
      </c>
      <c r="AA204" s="86">
        <f t="shared" si="69"/>
        <v>3.6453062229824036E-2</v>
      </c>
      <c r="AB204" s="304">
        <f t="shared" si="70"/>
        <v>-2.6653251090557346E-3</v>
      </c>
    </row>
    <row r="205" spans="2:28" x14ac:dyDescent="0.3">
      <c r="B205" s="271">
        <v>43822</v>
      </c>
      <c r="C205" s="292">
        <v>147.75</v>
      </c>
      <c r="D205" s="292">
        <v>141.85000600000001</v>
      </c>
      <c r="E205" s="292">
        <v>3740.55</v>
      </c>
      <c r="F205" s="292">
        <v>1302.400024</v>
      </c>
      <c r="G205" s="292">
        <v>1807.55</v>
      </c>
      <c r="H205" s="292">
        <v>1571.400024</v>
      </c>
      <c r="I205" s="292">
        <v>49.65</v>
      </c>
      <c r="J205" s="197">
        <v>1950.400024</v>
      </c>
      <c r="L205" s="297">
        <f t="shared" si="55"/>
        <v>2.3973750897998653E-2</v>
      </c>
      <c r="M205" s="298">
        <f t="shared" si="56"/>
        <v>4.8754914175362637E-2</v>
      </c>
      <c r="N205" s="298">
        <f t="shared" si="57"/>
        <v>7.7291959199131226E-3</v>
      </c>
      <c r="O205" s="298">
        <f t="shared" si="58"/>
        <v>4.386196909187793E-3</v>
      </c>
      <c r="P205" s="298">
        <f t="shared" si="59"/>
        <v>4.6024257796947899E-3</v>
      </c>
      <c r="Q205" s="298">
        <f t="shared" si="60"/>
        <v>-1.7473998942227887E-2</v>
      </c>
      <c r="R205" s="298">
        <f t="shared" si="61"/>
        <v>-3.4639781969937812E-2</v>
      </c>
      <c r="S205" s="299">
        <f t="shared" si="62"/>
        <v>3.7498685265915216E-3</v>
      </c>
      <c r="U205" s="303">
        <f t="shared" si="63"/>
        <v>2.5532456318507184E-2</v>
      </c>
      <c r="V205" s="86">
        <f t="shared" si="64"/>
        <v>4.2657185476902004E-2</v>
      </c>
      <c r="W205" s="86">
        <f t="shared" si="65"/>
        <v>4.8806925748469537E-3</v>
      </c>
      <c r="X205" s="86">
        <f t="shared" si="66"/>
        <v>4.0148693966732835E-3</v>
      </c>
      <c r="Y205" s="86">
        <f t="shared" si="67"/>
        <v>3.493415788001161E-3</v>
      </c>
      <c r="Z205" s="86">
        <f t="shared" si="68"/>
        <v>-1.9035791541405236E-2</v>
      </c>
      <c r="AA205" s="86">
        <f t="shared" si="69"/>
        <v>-2.8927861294394275E-2</v>
      </c>
      <c r="AB205" s="304">
        <f t="shared" si="70"/>
        <v>3.137510649941961E-3</v>
      </c>
    </row>
    <row r="206" spans="2:28" x14ac:dyDescent="0.3">
      <c r="B206" s="271">
        <v>43819</v>
      </c>
      <c r="C206" s="292">
        <v>144.25</v>
      </c>
      <c r="D206" s="292">
        <v>135.10000600000001</v>
      </c>
      <c r="E206" s="292">
        <v>3711.75</v>
      </c>
      <c r="F206" s="292">
        <v>1296.6999510000001</v>
      </c>
      <c r="G206" s="292">
        <v>1799.25</v>
      </c>
      <c r="H206" s="292">
        <v>1599.099976</v>
      </c>
      <c r="I206" s="292">
        <v>51.4</v>
      </c>
      <c r="J206" s="197">
        <v>1943.099976</v>
      </c>
      <c r="L206" s="297">
        <f t="shared" si="55"/>
        <v>-3.4744639273909798E-2</v>
      </c>
      <c r="M206" s="298">
        <f t="shared" si="56"/>
        <v>6.311555988725139E-3</v>
      </c>
      <c r="N206" s="298">
        <f t="shared" si="57"/>
        <v>1.4723609605825824E-2</v>
      </c>
      <c r="O206" s="298">
        <f t="shared" si="58"/>
        <v>6.1109468839789559E-3</v>
      </c>
      <c r="P206" s="298">
        <f t="shared" si="59"/>
        <v>-2.1374943944088985E-3</v>
      </c>
      <c r="Q206" s="298">
        <f t="shared" si="60"/>
        <v>-6.762136202960835E-3</v>
      </c>
      <c r="R206" s="298">
        <f t="shared" si="61"/>
        <v>2.9617169703646362E-2</v>
      </c>
      <c r="S206" s="299">
        <f t="shared" si="62"/>
        <v>-4.1086802695158471E-3</v>
      </c>
      <c r="U206" s="303">
        <f t="shared" si="63"/>
        <v>-3.3185933853401267E-2</v>
      </c>
      <c r="V206" s="86">
        <f t="shared" si="64"/>
        <v>2.1382729026450491E-4</v>
      </c>
      <c r="W206" s="86">
        <f t="shared" si="65"/>
        <v>1.1875106260759655E-2</v>
      </c>
      <c r="X206" s="86">
        <f t="shared" si="66"/>
        <v>5.7396193714644465E-3</v>
      </c>
      <c r="Y206" s="86">
        <f t="shared" si="67"/>
        <v>-3.2465043861025274E-3</v>
      </c>
      <c r="Z206" s="86">
        <f t="shared" si="68"/>
        <v>-8.3239288021381853E-3</v>
      </c>
      <c r="AA206" s="86">
        <f t="shared" si="69"/>
        <v>3.5329090379189895E-2</v>
      </c>
      <c r="AB206" s="304">
        <f t="shared" si="70"/>
        <v>-4.7210381461654082E-3</v>
      </c>
    </row>
    <row r="207" spans="2:28" x14ac:dyDescent="0.3">
      <c r="B207" s="271">
        <v>43818</v>
      </c>
      <c r="C207" s="292">
        <v>149.35</v>
      </c>
      <c r="D207" s="292">
        <v>134.25</v>
      </c>
      <c r="E207" s="292">
        <v>3657.5</v>
      </c>
      <c r="F207" s="292">
        <v>1288.8000489999999</v>
      </c>
      <c r="G207" s="292">
        <v>1803.1</v>
      </c>
      <c r="H207" s="292">
        <v>1609.9499510000001</v>
      </c>
      <c r="I207" s="292">
        <v>49.9</v>
      </c>
      <c r="J207" s="197">
        <v>1951.099976</v>
      </c>
      <c r="L207" s="297">
        <f t="shared" si="55"/>
        <v>-2.2837332070301447E-2</v>
      </c>
      <c r="M207" s="298">
        <f t="shared" si="56"/>
        <v>-6.3115559887251772E-3</v>
      </c>
      <c r="N207" s="298">
        <f t="shared" si="57"/>
        <v>9.670670713590148E-3</v>
      </c>
      <c r="O207" s="298">
        <f t="shared" si="58"/>
        <v>-2.750657035723835E-3</v>
      </c>
      <c r="P207" s="298">
        <f t="shared" si="59"/>
        <v>1.3765207367865353E-2</v>
      </c>
      <c r="Q207" s="298">
        <f t="shared" si="60"/>
        <v>2.140829816662251E-2</v>
      </c>
      <c r="R207" s="298">
        <f t="shared" si="61"/>
        <v>6.5206747022776984E-2</v>
      </c>
      <c r="S207" s="299">
        <f t="shared" si="62"/>
        <v>1.1624853169042521E-2</v>
      </c>
      <c r="U207" s="303">
        <f t="shared" si="63"/>
        <v>-2.1278626649792916E-2</v>
      </c>
      <c r="V207" s="86">
        <f t="shared" si="64"/>
        <v>-1.2409284687185811E-2</v>
      </c>
      <c r="W207" s="86">
        <f t="shared" si="65"/>
        <v>6.8221673685239792E-3</v>
      </c>
      <c r="X207" s="86">
        <f t="shared" si="66"/>
        <v>-3.1219845482383444E-3</v>
      </c>
      <c r="Y207" s="86">
        <f t="shared" si="67"/>
        <v>1.2656197376171723E-2</v>
      </c>
      <c r="Z207" s="86">
        <f t="shared" si="68"/>
        <v>1.9846505567445161E-2</v>
      </c>
      <c r="AA207" s="86">
        <f t="shared" si="69"/>
        <v>7.0918667698320517E-2</v>
      </c>
      <c r="AB207" s="304">
        <f t="shared" si="70"/>
        <v>1.1012495292392959E-2</v>
      </c>
    </row>
    <row r="208" spans="2:28" x14ac:dyDescent="0.3">
      <c r="B208" s="271">
        <v>43817</v>
      </c>
      <c r="C208" s="292">
        <v>152.80000000000001</v>
      </c>
      <c r="D208" s="292">
        <v>135.10000600000001</v>
      </c>
      <c r="E208" s="292">
        <v>3622.3</v>
      </c>
      <c r="F208" s="292">
        <v>1292.349976</v>
      </c>
      <c r="G208" s="292">
        <v>1778.45</v>
      </c>
      <c r="H208" s="292">
        <v>1575.849976</v>
      </c>
      <c r="I208" s="292">
        <v>46.75</v>
      </c>
      <c r="J208" s="197">
        <v>1928.5500489999999</v>
      </c>
      <c r="L208" s="297">
        <f t="shared" si="55"/>
        <v>2.9493713007021486E-3</v>
      </c>
      <c r="M208" s="298">
        <f t="shared" si="56"/>
        <v>-3.3253086990297043E-3</v>
      </c>
      <c r="N208" s="298">
        <f t="shared" si="57"/>
        <v>2.0598294775681248E-2</v>
      </c>
      <c r="O208" s="298">
        <f t="shared" si="58"/>
        <v>1.6579599499012023E-2</v>
      </c>
      <c r="P208" s="298">
        <f t="shared" si="59"/>
        <v>1.8758442685246249E-2</v>
      </c>
      <c r="Q208" s="298">
        <f t="shared" si="60"/>
        <v>8.3797309300236988E-3</v>
      </c>
      <c r="R208" s="298">
        <f t="shared" si="61"/>
        <v>-1.8018505502678365E-2</v>
      </c>
      <c r="S208" s="299">
        <f t="shared" si="62"/>
        <v>-1.6864548795253256E-2</v>
      </c>
      <c r="U208" s="303">
        <f t="shared" si="63"/>
        <v>4.5080767212106786E-3</v>
      </c>
      <c r="V208" s="86">
        <f t="shared" si="64"/>
        <v>-9.4230373974903379E-3</v>
      </c>
      <c r="W208" s="86">
        <f t="shared" si="65"/>
        <v>1.7749791430615079E-2</v>
      </c>
      <c r="X208" s="86">
        <f t="shared" si="66"/>
        <v>1.6208271986497515E-2</v>
      </c>
      <c r="Y208" s="86">
        <f t="shared" si="67"/>
        <v>1.7649432693552621E-2</v>
      </c>
      <c r="Z208" s="86">
        <f t="shared" si="68"/>
        <v>6.8179383308463485E-3</v>
      </c>
      <c r="AA208" s="86">
        <f t="shared" si="69"/>
        <v>-1.2306584827134828E-2</v>
      </c>
      <c r="AB208" s="304">
        <f t="shared" si="70"/>
        <v>-1.7476906671902815E-2</v>
      </c>
    </row>
    <row r="209" spans="2:28" x14ac:dyDescent="0.3">
      <c r="B209" s="271">
        <v>43816</v>
      </c>
      <c r="C209" s="292">
        <v>152.35</v>
      </c>
      <c r="D209" s="292">
        <v>135.550003</v>
      </c>
      <c r="E209" s="292">
        <v>3548.45</v>
      </c>
      <c r="F209" s="292">
        <v>1271.099976</v>
      </c>
      <c r="G209" s="292">
        <v>1745.4</v>
      </c>
      <c r="H209" s="292">
        <v>1562.6999510000001</v>
      </c>
      <c r="I209" s="292">
        <v>47.6</v>
      </c>
      <c r="J209" s="197">
        <v>1961.349976</v>
      </c>
      <c r="L209" s="297">
        <f t="shared" si="55"/>
        <v>3.4728030752236287E-2</v>
      </c>
      <c r="M209" s="298">
        <f t="shared" si="56"/>
        <v>8.5202146305378926E-3</v>
      </c>
      <c r="N209" s="298">
        <f t="shared" si="57"/>
        <v>-4.6531654433883502E-3</v>
      </c>
      <c r="O209" s="298">
        <f t="shared" si="58"/>
        <v>1.08763359423807E-2</v>
      </c>
      <c r="P209" s="298">
        <f t="shared" si="59"/>
        <v>8.0245480001800151E-3</v>
      </c>
      <c r="Q209" s="298">
        <f t="shared" si="60"/>
        <v>-2.4925875500684982E-3</v>
      </c>
      <c r="R209" s="298">
        <f t="shared" si="61"/>
        <v>1.6949558313773424E-2</v>
      </c>
      <c r="S209" s="299">
        <f t="shared" si="62"/>
        <v>-6.8088086432182941E-3</v>
      </c>
      <c r="U209" s="303">
        <f t="shared" si="63"/>
        <v>3.6286736172744818E-2</v>
      </c>
      <c r="V209" s="86">
        <f t="shared" si="64"/>
        <v>2.4224859320772585E-3</v>
      </c>
      <c r="W209" s="86">
        <f t="shared" si="65"/>
        <v>-7.50166878845452E-3</v>
      </c>
      <c r="X209" s="86">
        <f t="shared" si="66"/>
        <v>1.0505008429866191E-2</v>
      </c>
      <c r="Y209" s="86">
        <f t="shared" si="67"/>
        <v>6.9155380084863858E-3</v>
      </c>
      <c r="Z209" s="86">
        <f t="shared" si="68"/>
        <v>-4.054380149245849E-3</v>
      </c>
      <c r="AA209" s="86">
        <f t="shared" si="69"/>
        <v>2.266147898931696E-2</v>
      </c>
      <c r="AB209" s="304">
        <f t="shared" si="70"/>
        <v>-7.4211665198678552E-3</v>
      </c>
    </row>
    <row r="210" spans="2:28" x14ac:dyDescent="0.3">
      <c r="B210" s="271">
        <v>43815</v>
      </c>
      <c r="C210" s="292">
        <v>147.15</v>
      </c>
      <c r="D210" s="292">
        <v>134.39999399999999</v>
      </c>
      <c r="E210" s="292">
        <v>3565</v>
      </c>
      <c r="F210" s="292">
        <v>1257.349976</v>
      </c>
      <c r="G210" s="292">
        <v>1731.45</v>
      </c>
      <c r="H210" s="292">
        <v>1566.599976</v>
      </c>
      <c r="I210" s="292">
        <v>46.8</v>
      </c>
      <c r="J210" s="197">
        <v>1974.75</v>
      </c>
      <c r="L210" s="297">
        <f t="shared" si="55"/>
        <v>-1.5174798019235115E-2</v>
      </c>
      <c r="M210" s="298">
        <f t="shared" si="56"/>
        <v>1.3106348094256497E-2</v>
      </c>
      <c r="N210" s="298">
        <f t="shared" si="57"/>
        <v>4.6531654433882965E-3</v>
      </c>
      <c r="O210" s="298">
        <f t="shared" si="58"/>
        <v>-5.1562863122262227E-3</v>
      </c>
      <c r="P210" s="298">
        <f t="shared" si="59"/>
        <v>-7.1934476041389823E-3</v>
      </c>
      <c r="Q210" s="298">
        <f t="shared" si="60"/>
        <v>-1.0350972240399773E-2</v>
      </c>
      <c r="R210" s="298">
        <f t="shared" si="61"/>
        <v>3.2102756302481894E-3</v>
      </c>
      <c r="S210" s="299">
        <f t="shared" si="62"/>
        <v>-1.580055298057129E-2</v>
      </c>
      <c r="U210" s="303">
        <f t="shared" si="63"/>
        <v>-1.3616092598726585E-2</v>
      </c>
      <c r="V210" s="86">
        <f t="shared" si="64"/>
        <v>7.0086193957958629E-3</v>
      </c>
      <c r="W210" s="86">
        <f t="shared" si="65"/>
        <v>1.8046620983221272E-3</v>
      </c>
      <c r="X210" s="86">
        <f t="shared" si="66"/>
        <v>-5.5276138247407321E-3</v>
      </c>
      <c r="Y210" s="86">
        <f t="shared" si="67"/>
        <v>-8.3024575958326116E-3</v>
      </c>
      <c r="Z210" s="86">
        <f t="shared" si="68"/>
        <v>-1.1912764839577124E-2</v>
      </c>
      <c r="AA210" s="86">
        <f t="shared" si="69"/>
        <v>8.9221963057917256E-3</v>
      </c>
      <c r="AB210" s="304">
        <f t="shared" si="70"/>
        <v>-1.6412910857220849E-2</v>
      </c>
    </row>
    <row r="211" spans="2:28" x14ac:dyDescent="0.3">
      <c r="B211" s="271">
        <v>43812</v>
      </c>
      <c r="C211" s="292">
        <v>149.4</v>
      </c>
      <c r="D211" s="292">
        <v>132.64999399999999</v>
      </c>
      <c r="E211" s="292">
        <v>3548.45</v>
      </c>
      <c r="F211" s="292">
        <v>1263.849976</v>
      </c>
      <c r="G211" s="292">
        <v>1743.95</v>
      </c>
      <c r="H211" s="292">
        <v>1582.900024</v>
      </c>
      <c r="I211" s="292">
        <v>46.65</v>
      </c>
      <c r="J211" s="197">
        <v>2006.1999510000001</v>
      </c>
      <c r="L211" s="297">
        <f t="shared" si="55"/>
        <v>3.6813973122716399E-2</v>
      </c>
      <c r="M211" s="298">
        <f t="shared" si="56"/>
        <v>5.6700211176734716E-3</v>
      </c>
      <c r="N211" s="298">
        <f t="shared" si="57"/>
        <v>3.8977819687921897E-2</v>
      </c>
      <c r="O211" s="298">
        <f t="shared" si="58"/>
        <v>1.9782785460688179E-4</v>
      </c>
      <c r="P211" s="298">
        <f t="shared" si="59"/>
        <v>-3.8344921933025355E-3</v>
      </c>
      <c r="Q211" s="298">
        <f t="shared" si="60"/>
        <v>9.3301893029303588E-3</v>
      </c>
      <c r="R211" s="298">
        <f t="shared" si="61"/>
        <v>2.8262750732207249E-2</v>
      </c>
      <c r="S211" s="299">
        <f t="shared" si="62"/>
        <v>-5.7307124734484499E-4</v>
      </c>
      <c r="U211" s="303">
        <f t="shared" si="63"/>
        <v>3.8372678543224931E-2</v>
      </c>
      <c r="V211" s="86">
        <f t="shared" si="64"/>
        <v>-4.2770758078716255E-4</v>
      </c>
      <c r="W211" s="86">
        <f t="shared" si="65"/>
        <v>3.6129316342855725E-2</v>
      </c>
      <c r="X211" s="86">
        <f t="shared" si="66"/>
        <v>-1.7349965790762752E-4</v>
      </c>
      <c r="Y211" s="86">
        <f t="shared" si="67"/>
        <v>-4.9435021849961649E-3</v>
      </c>
      <c r="Z211" s="86">
        <f t="shared" si="68"/>
        <v>7.7683967037530085E-3</v>
      </c>
      <c r="AA211" s="86">
        <f t="shared" si="69"/>
        <v>3.3974671407750782E-2</v>
      </c>
      <c r="AB211" s="304">
        <f t="shared" si="70"/>
        <v>-1.1854291239944059E-3</v>
      </c>
    </row>
    <row r="212" spans="2:28" x14ac:dyDescent="0.3">
      <c r="B212" s="271">
        <v>43811</v>
      </c>
      <c r="C212" s="292">
        <v>144</v>
      </c>
      <c r="D212" s="292">
        <v>131.89999399999999</v>
      </c>
      <c r="E212" s="292">
        <v>3412.8</v>
      </c>
      <c r="F212" s="292">
        <v>1263.599976</v>
      </c>
      <c r="G212" s="292">
        <v>1750.65</v>
      </c>
      <c r="H212" s="292">
        <v>1568.1999510000001</v>
      </c>
      <c r="I212" s="292">
        <v>45.35</v>
      </c>
      <c r="J212" s="197">
        <v>2007.349976</v>
      </c>
      <c r="L212" s="297">
        <f t="shared" si="55"/>
        <v>3.894297394860733E-2</v>
      </c>
      <c r="M212" s="298">
        <f t="shared" si="56"/>
        <v>-4.9159411337420505E-3</v>
      </c>
      <c r="N212" s="298">
        <f t="shared" si="57"/>
        <v>-8.9117659878293898E-3</v>
      </c>
      <c r="O212" s="298">
        <f t="shared" si="58"/>
        <v>1.1821719971814339E-2</v>
      </c>
      <c r="P212" s="298">
        <f t="shared" si="59"/>
        <v>7.1370525231127385E-3</v>
      </c>
      <c r="Q212" s="298">
        <f t="shared" si="60"/>
        <v>3.7053176273543001E-3</v>
      </c>
      <c r="R212" s="298">
        <f t="shared" si="61"/>
        <v>5.7872073973394597E-2</v>
      </c>
      <c r="S212" s="299">
        <f t="shared" si="62"/>
        <v>-1.5431209475175527E-3</v>
      </c>
      <c r="U212" s="303">
        <f t="shared" si="63"/>
        <v>4.0501679369115862E-2</v>
      </c>
      <c r="V212" s="86">
        <f t="shared" si="64"/>
        <v>-1.1013669832202685E-2</v>
      </c>
      <c r="W212" s="86">
        <f t="shared" si="65"/>
        <v>-1.1760269332895559E-2</v>
      </c>
      <c r="X212" s="86">
        <f t="shared" si="66"/>
        <v>1.1450392459299829E-2</v>
      </c>
      <c r="Y212" s="86">
        <f t="shared" si="67"/>
        <v>6.0280425314191092E-3</v>
      </c>
      <c r="Z212" s="86">
        <f t="shared" si="68"/>
        <v>2.1435250281769498E-3</v>
      </c>
      <c r="AA212" s="86">
        <f t="shared" si="69"/>
        <v>6.358399464893813E-2</v>
      </c>
      <c r="AB212" s="304">
        <f t="shared" si="70"/>
        <v>-2.1554788241671136E-3</v>
      </c>
    </row>
    <row r="213" spans="2:28" x14ac:dyDescent="0.3">
      <c r="B213" s="271">
        <v>43810</v>
      </c>
      <c r="C213" s="292">
        <v>138.5</v>
      </c>
      <c r="D213" s="292">
        <v>132.550003</v>
      </c>
      <c r="E213" s="292">
        <v>3443.35</v>
      </c>
      <c r="F213" s="292">
        <v>1248.75</v>
      </c>
      <c r="G213" s="292">
        <v>1738.2</v>
      </c>
      <c r="H213" s="292">
        <v>1562.400024</v>
      </c>
      <c r="I213" s="292">
        <v>42.8</v>
      </c>
      <c r="J213" s="197">
        <v>2010.4499510000001</v>
      </c>
      <c r="L213" s="297">
        <f t="shared" si="55"/>
        <v>-1.682516869498836E-2</v>
      </c>
      <c r="M213" s="298">
        <f t="shared" si="56"/>
        <v>4.356056488721978E-2</v>
      </c>
      <c r="N213" s="298">
        <f t="shared" si="57"/>
        <v>-2.9868080780658607E-3</v>
      </c>
      <c r="O213" s="298">
        <f t="shared" si="58"/>
        <v>-6.0042031224381181E-4</v>
      </c>
      <c r="P213" s="298">
        <f t="shared" si="59"/>
        <v>1.4516313838633934E-2</v>
      </c>
      <c r="Q213" s="298">
        <f t="shared" si="60"/>
        <v>2.8810665048064607E-4</v>
      </c>
      <c r="R213" s="298">
        <f t="shared" si="61"/>
        <v>-0.16642484287872933</v>
      </c>
      <c r="S213" s="299">
        <f t="shared" si="62"/>
        <v>-7.3839600420197342E-3</v>
      </c>
      <c r="U213" s="303">
        <f t="shared" si="63"/>
        <v>-1.526646327447983E-2</v>
      </c>
      <c r="V213" s="86">
        <f t="shared" si="64"/>
        <v>3.7462836188759147E-2</v>
      </c>
      <c r="W213" s="86">
        <f t="shared" si="65"/>
        <v>-5.8353114231320304E-3</v>
      </c>
      <c r="X213" s="86">
        <f t="shared" si="66"/>
        <v>-9.7174782475832112E-4</v>
      </c>
      <c r="Y213" s="86">
        <f t="shared" si="67"/>
        <v>1.3407303846940305E-2</v>
      </c>
      <c r="Z213" s="86">
        <f t="shared" si="68"/>
        <v>-1.2736859486967044E-3</v>
      </c>
      <c r="AA213" s="86">
        <f t="shared" si="69"/>
        <v>-0.16071292220318578</v>
      </c>
      <c r="AB213" s="304">
        <f t="shared" si="70"/>
        <v>-7.9963179186692945E-3</v>
      </c>
    </row>
    <row r="214" spans="2:28" x14ac:dyDescent="0.3">
      <c r="B214" s="271">
        <v>43809</v>
      </c>
      <c r="C214" s="292">
        <v>140.85</v>
      </c>
      <c r="D214" s="292">
        <v>126.900002</v>
      </c>
      <c r="E214" s="292">
        <v>3453.65</v>
      </c>
      <c r="F214" s="292">
        <v>1249.5</v>
      </c>
      <c r="G214" s="292">
        <v>1713.15</v>
      </c>
      <c r="H214" s="292">
        <v>1561.9499510000001</v>
      </c>
      <c r="I214" s="292">
        <v>50.55</v>
      </c>
      <c r="J214" s="197">
        <v>2025.349976</v>
      </c>
      <c r="L214" s="297">
        <f t="shared" si="55"/>
        <v>-1.2348013657813921E-2</v>
      </c>
      <c r="M214" s="298">
        <f t="shared" si="56"/>
        <v>1.7889564466290562E-2</v>
      </c>
      <c r="N214" s="298">
        <f t="shared" si="57"/>
        <v>-1.4530606270005682E-2</v>
      </c>
      <c r="O214" s="298">
        <f t="shared" si="58"/>
        <v>5.2559242571605042E-3</v>
      </c>
      <c r="P214" s="298">
        <f t="shared" si="59"/>
        <v>-7.6755719178838904E-3</v>
      </c>
      <c r="Q214" s="298">
        <f t="shared" si="60"/>
        <v>-6.7952760230932715E-3</v>
      </c>
      <c r="R214" s="298">
        <f t="shared" si="61"/>
        <v>-0.10684309561804915</v>
      </c>
      <c r="S214" s="299">
        <f t="shared" si="62"/>
        <v>8.5286010938400349E-3</v>
      </c>
      <c r="U214" s="303">
        <f t="shared" si="63"/>
        <v>-1.0789308237305392E-2</v>
      </c>
      <c r="V214" s="86">
        <f t="shared" si="64"/>
        <v>1.1791835767829929E-2</v>
      </c>
      <c r="W214" s="86">
        <f t="shared" si="65"/>
        <v>-1.7379109615071851E-2</v>
      </c>
      <c r="X214" s="86">
        <f t="shared" si="66"/>
        <v>4.8845967446459948E-3</v>
      </c>
      <c r="Y214" s="86">
        <f t="shared" si="67"/>
        <v>-8.7845819095775188E-3</v>
      </c>
      <c r="Z214" s="86">
        <f t="shared" si="68"/>
        <v>-8.3570686222706227E-3</v>
      </c>
      <c r="AA214" s="86">
        <f t="shared" si="69"/>
        <v>-0.10113117494250562</v>
      </c>
      <c r="AB214" s="304">
        <f t="shared" si="70"/>
        <v>7.9162432171904738E-3</v>
      </c>
    </row>
    <row r="215" spans="2:28" x14ac:dyDescent="0.3">
      <c r="B215" s="271">
        <v>43808</v>
      </c>
      <c r="C215" s="292">
        <v>142.6</v>
      </c>
      <c r="D215" s="292">
        <v>124.650002</v>
      </c>
      <c r="E215" s="292">
        <v>3504.2</v>
      </c>
      <c r="F215" s="292">
        <v>1242.9499510000001</v>
      </c>
      <c r="G215" s="292">
        <v>1726.35</v>
      </c>
      <c r="H215" s="292">
        <v>1572.599976</v>
      </c>
      <c r="I215" s="292">
        <v>56.25</v>
      </c>
      <c r="J215" s="197">
        <v>2008.150024</v>
      </c>
      <c r="L215" s="297">
        <f t="shared" si="55"/>
        <v>4.5686250612153581E-3</v>
      </c>
      <c r="M215" s="298">
        <f t="shared" si="56"/>
        <v>-1.3941671521049217E-2</v>
      </c>
      <c r="N215" s="298">
        <f t="shared" si="57"/>
        <v>1.5486573897849101E-2</v>
      </c>
      <c r="O215" s="298">
        <f t="shared" si="58"/>
        <v>-2.49104025960747E-3</v>
      </c>
      <c r="P215" s="298">
        <f t="shared" si="59"/>
        <v>5.6346358779317679E-3</v>
      </c>
      <c r="Q215" s="298">
        <f t="shared" si="60"/>
        <v>1.1319034997218201E-2</v>
      </c>
      <c r="R215" s="298">
        <f t="shared" si="61"/>
        <v>4.4543503493803746E-3</v>
      </c>
      <c r="S215" s="299">
        <f t="shared" si="62"/>
        <v>-8.8741966917310379E-3</v>
      </c>
      <c r="U215" s="303">
        <f t="shared" si="63"/>
        <v>6.1273304817238885E-3</v>
      </c>
      <c r="V215" s="86">
        <f t="shared" si="64"/>
        <v>-2.003940021950985E-2</v>
      </c>
      <c r="W215" s="86">
        <f t="shared" si="65"/>
        <v>1.2638070552782932E-2</v>
      </c>
      <c r="X215" s="86">
        <f t="shared" si="66"/>
        <v>-2.8623677721219794E-3</v>
      </c>
      <c r="Y215" s="86">
        <f t="shared" si="67"/>
        <v>4.5256258862381386E-3</v>
      </c>
      <c r="Z215" s="86">
        <f t="shared" si="68"/>
        <v>9.7572423980408496E-3</v>
      </c>
      <c r="AA215" s="86">
        <f t="shared" si="69"/>
        <v>1.0166271024923911E-2</v>
      </c>
      <c r="AB215" s="304">
        <f t="shared" si="70"/>
        <v>-9.486554568380599E-3</v>
      </c>
    </row>
    <row r="216" spans="2:28" x14ac:dyDescent="0.3">
      <c r="B216" s="271">
        <v>43805</v>
      </c>
      <c r="C216" s="292">
        <v>141.94999999999999</v>
      </c>
      <c r="D216" s="292">
        <v>126.400002</v>
      </c>
      <c r="E216" s="292">
        <v>3450.35</v>
      </c>
      <c r="F216" s="292">
        <v>1246.0500489999999</v>
      </c>
      <c r="G216" s="292">
        <v>1716.65</v>
      </c>
      <c r="H216" s="292">
        <v>1554.900024</v>
      </c>
      <c r="I216" s="292">
        <v>56</v>
      </c>
      <c r="J216" s="197">
        <v>2026.0500489999999</v>
      </c>
      <c r="L216" s="297">
        <f t="shared" si="55"/>
        <v>-3.8671167897251237E-3</v>
      </c>
      <c r="M216" s="298">
        <f t="shared" si="56"/>
        <v>-2.7698240466154957E-2</v>
      </c>
      <c r="N216" s="298">
        <f t="shared" si="57"/>
        <v>-1.7425222013294248E-2</v>
      </c>
      <c r="O216" s="298">
        <f t="shared" si="58"/>
        <v>3.6126502548857907E-4</v>
      </c>
      <c r="P216" s="298">
        <f t="shared" si="59"/>
        <v>4.6613256488597259E-4</v>
      </c>
      <c r="Q216" s="298">
        <f t="shared" si="60"/>
        <v>2.6080980734195405E-3</v>
      </c>
      <c r="R216" s="298">
        <f t="shared" si="61"/>
        <v>-0.10339429820428384</v>
      </c>
      <c r="S216" s="299">
        <f t="shared" si="62"/>
        <v>-5.6108930270662308E-3</v>
      </c>
      <c r="U216" s="303">
        <f t="shared" si="63"/>
        <v>-2.3084113692165937E-3</v>
      </c>
      <c r="V216" s="86">
        <f t="shared" si="64"/>
        <v>-3.3795969164615594E-2</v>
      </c>
      <c r="W216" s="86">
        <f t="shared" si="65"/>
        <v>-2.0273725358360417E-2</v>
      </c>
      <c r="X216" s="86">
        <f t="shared" si="66"/>
        <v>-1.0062487025930245E-5</v>
      </c>
      <c r="Y216" s="86">
        <f t="shared" si="67"/>
        <v>-6.4287742680765631E-4</v>
      </c>
      <c r="Z216" s="86">
        <f t="shared" si="68"/>
        <v>1.04630547424219E-3</v>
      </c>
      <c r="AA216" s="86">
        <f t="shared" si="69"/>
        <v>-9.7682377528740302E-2</v>
      </c>
      <c r="AB216" s="304">
        <f t="shared" si="70"/>
        <v>-6.2232509037157919E-3</v>
      </c>
    </row>
    <row r="217" spans="2:28" x14ac:dyDescent="0.3">
      <c r="B217" s="271">
        <v>43804</v>
      </c>
      <c r="C217" s="292">
        <v>142.5</v>
      </c>
      <c r="D217" s="292">
        <v>129.949997</v>
      </c>
      <c r="E217" s="292">
        <v>3511</v>
      </c>
      <c r="F217" s="292">
        <v>1245.599976</v>
      </c>
      <c r="G217" s="292">
        <v>1715.85</v>
      </c>
      <c r="H217" s="292">
        <v>1550.849976</v>
      </c>
      <c r="I217" s="292">
        <v>62.1</v>
      </c>
      <c r="J217" s="197">
        <v>2037.4499510000001</v>
      </c>
      <c r="L217" s="297">
        <f t="shared" si="55"/>
        <v>-1.1859225142143368E-2</v>
      </c>
      <c r="M217" s="298">
        <f t="shared" si="56"/>
        <v>1.0831780952575571E-2</v>
      </c>
      <c r="N217" s="298">
        <f t="shared" si="57"/>
        <v>7.906422766036255E-3</v>
      </c>
      <c r="O217" s="298">
        <f t="shared" si="58"/>
        <v>-4.8453777849682949E-3</v>
      </c>
      <c r="P217" s="298">
        <f t="shared" si="59"/>
        <v>-2.5901095632014297E-3</v>
      </c>
      <c r="Q217" s="298">
        <f t="shared" si="60"/>
        <v>-1.1921672037650834E-3</v>
      </c>
      <c r="R217" s="298">
        <f t="shared" si="61"/>
        <v>-1.4388737452099556E-2</v>
      </c>
      <c r="S217" s="299">
        <f t="shared" si="62"/>
        <v>-5.1647052724591511E-3</v>
      </c>
      <c r="U217" s="303">
        <f t="shared" si="63"/>
        <v>-1.0300519721634838E-2</v>
      </c>
      <c r="V217" s="86">
        <f t="shared" si="64"/>
        <v>4.7340522541149373E-3</v>
      </c>
      <c r="W217" s="86">
        <f t="shared" si="65"/>
        <v>5.0579194209700862E-3</v>
      </c>
      <c r="X217" s="86">
        <f t="shared" si="66"/>
        <v>-5.2167052974828043E-3</v>
      </c>
      <c r="Y217" s="86">
        <f t="shared" si="67"/>
        <v>-3.6991195548950586E-3</v>
      </c>
      <c r="Z217" s="86">
        <f t="shared" si="68"/>
        <v>-2.7539598029424342E-3</v>
      </c>
      <c r="AA217" s="86">
        <f t="shared" si="69"/>
        <v>-8.6768167765560213E-3</v>
      </c>
      <c r="AB217" s="304">
        <f t="shared" si="70"/>
        <v>-5.7770631491087122E-3</v>
      </c>
    </row>
    <row r="218" spans="2:28" x14ac:dyDescent="0.3">
      <c r="B218" s="271">
        <v>43803</v>
      </c>
      <c r="C218" s="292">
        <v>144.19999999999999</v>
      </c>
      <c r="D218" s="292">
        <v>128.550003</v>
      </c>
      <c r="E218" s="292">
        <v>3483.35</v>
      </c>
      <c r="F218" s="292">
        <v>1251.650024</v>
      </c>
      <c r="G218" s="292">
        <v>1720.3</v>
      </c>
      <c r="H218" s="292">
        <v>1552.6999510000001</v>
      </c>
      <c r="I218" s="292">
        <v>63</v>
      </c>
      <c r="J218" s="197">
        <v>2048</v>
      </c>
      <c r="L218" s="297">
        <f t="shared" si="55"/>
        <v>3.1703958587932672E-2</v>
      </c>
      <c r="M218" s="298">
        <f t="shared" si="56"/>
        <v>3.000622241749297E-2</v>
      </c>
      <c r="N218" s="298">
        <f t="shared" si="57"/>
        <v>5.7304497551241257E-2</v>
      </c>
      <c r="O218" s="298">
        <f t="shared" si="58"/>
        <v>-2.9915659639101226E-3</v>
      </c>
      <c r="P218" s="298">
        <f t="shared" si="59"/>
        <v>-9.3441050163481955E-3</v>
      </c>
      <c r="Q218" s="298">
        <f t="shared" si="60"/>
        <v>-1.6733097799106637E-2</v>
      </c>
      <c r="R218" s="298">
        <f t="shared" si="61"/>
        <v>5.7158413839948623E-2</v>
      </c>
      <c r="S218" s="299">
        <f t="shared" si="62"/>
        <v>9.5917767282957013E-3</v>
      </c>
      <c r="U218" s="303">
        <f t="shared" si="63"/>
        <v>3.3262664008441203E-2</v>
      </c>
      <c r="V218" s="86">
        <f t="shared" si="64"/>
        <v>2.3908493719032337E-2</v>
      </c>
      <c r="W218" s="86">
        <f t="shared" si="65"/>
        <v>5.4455994206175085E-2</v>
      </c>
      <c r="X218" s="86">
        <f t="shared" si="66"/>
        <v>-3.362893476424632E-3</v>
      </c>
      <c r="Y218" s="86">
        <f t="shared" si="67"/>
        <v>-1.0453115008041825E-2</v>
      </c>
      <c r="Z218" s="86">
        <f t="shared" si="68"/>
        <v>-1.8294890398283987E-2</v>
      </c>
      <c r="AA218" s="86">
        <f t="shared" si="69"/>
        <v>6.2870334515492163E-2</v>
      </c>
      <c r="AB218" s="304">
        <f t="shared" si="70"/>
        <v>8.9794188516461402E-3</v>
      </c>
    </row>
    <row r="219" spans="2:28" x14ac:dyDescent="0.3">
      <c r="B219" s="271">
        <v>43802</v>
      </c>
      <c r="C219" s="292">
        <v>139.69999999999999</v>
      </c>
      <c r="D219" s="292">
        <v>124.75</v>
      </c>
      <c r="E219" s="292">
        <v>3289.35</v>
      </c>
      <c r="F219" s="292">
        <v>1255.400024</v>
      </c>
      <c r="G219" s="292">
        <v>1736.45</v>
      </c>
      <c r="H219" s="292">
        <v>1578.900024</v>
      </c>
      <c r="I219" s="292">
        <v>59.5</v>
      </c>
      <c r="J219" s="197">
        <v>2028.4499510000001</v>
      </c>
      <c r="L219" s="297">
        <f t="shared" si="55"/>
        <v>-3.5165367374522041E-2</v>
      </c>
      <c r="M219" s="298">
        <f t="shared" si="56"/>
        <v>-5.1173069525560964E-2</v>
      </c>
      <c r="N219" s="298">
        <f t="shared" si="57"/>
        <v>5.1357580670995774E-3</v>
      </c>
      <c r="O219" s="298">
        <f t="shared" si="58"/>
        <v>-8.2105658491746225E-3</v>
      </c>
      <c r="P219" s="298">
        <f t="shared" si="59"/>
        <v>-1.0360607597854801E-3</v>
      </c>
      <c r="Q219" s="298">
        <f t="shared" si="60"/>
        <v>-4.8019147949513912E-3</v>
      </c>
      <c r="R219" s="298">
        <f t="shared" si="61"/>
        <v>-7.3687715791159139E-2</v>
      </c>
      <c r="S219" s="299">
        <f t="shared" si="62"/>
        <v>-7.2452518651828605E-3</v>
      </c>
      <c r="U219" s="303">
        <f t="shared" si="63"/>
        <v>-3.360666195401351E-2</v>
      </c>
      <c r="V219" s="86">
        <f t="shared" si="64"/>
        <v>-5.7270798224021598E-2</v>
      </c>
      <c r="W219" s="86">
        <f t="shared" si="65"/>
        <v>2.2872547220334082E-3</v>
      </c>
      <c r="X219" s="86">
        <f t="shared" si="66"/>
        <v>-8.5818933616891319E-3</v>
      </c>
      <c r="Y219" s="86">
        <f t="shared" si="67"/>
        <v>-2.1450707514791088E-3</v>
      </c>
      <c r="Z219" s="86">
        <f t="shared" si="68"/>
        <v>-6.3637073941287415E-3</v>
      </c>
      <c r="AA219" s="86">
        <f t="shared" si="69"/>
        <v>-6.7975795115615606E-2</v>
      </c>
      <c r="AB219" s="304">
        <f t="shared" si="70"/>
        <v>-7.8576097418324217E-3</v>
      </c>
    </row>
    <row r="220" spans="2:28" x14ac:dyDescent="0.3">
      <c r="B220" s="271">
        <v>43801</v>
      </c>
      <c r="C220" s="292">
        <v>144.69999999999999</v>
      </c>
      <c r="D220" s="292">
        <v>131.300003</v>
      </c>
      <c r="E220" s="292">
        <v>3272.5</v>
      </c>
      <c r="F220" s="292">
        <v>1265.75</v>
      </c>
      <c r="G220" s="292">
        <v>1738.25</v>
      </c>
      <c r="H220" s="292">
        <v>1586.5</v>
      </c>
      <c r="I220" s="292">
        <v>64.05</v>
      </c>
      <c r="J220" s="197">
        <v>2043.1999510000001</v>
      </c>
      <c r="L220" s="297">
        <f t="shared" si="55"/>
        <v>6.9132391277386255E-4</v>
      </c>
      <c r="M220" s="298">
        <f t="shared" si="56"/>
        <v>-4.3225826174755011E-2</v>
      </c>
      <c r="N220" s="298">
        <f t="shared" si="57"/>
        <v>-1.0623280932816066E-2</v>
      </c>
      <c r="O220" s="298">
        <f t="shared" si="58"/>
        <v>-7.2420918543979118E-3</v>
      </c>
      <c r="P220" s="298">
        <f t="shared" si="59"/>
        <v>1.8639489821984781E-2</v>
      </c>
      <c r="Q220" s="298">
        <f t="shared" si="60"/>
        <v>2.2533725251765235E-2</v>
      </c>
      <c r="R220" s="298">
        <f t="shared" si="61"/>
        <v>-6.4245738234001148E-2</v>
      </c>
      <c r="S220" s="299">
        <f t="shared" si="62"/>
        <v>3.8739300623775686E-3</v>
      </c>
      <c r="U220" s="303">
        <f t="shared" si="63"/>
        <v>2.2500293332823927E-3</v>
      </c>
      <c r="V220" s="86">
        <f t="shared" si="64"/>
        <v>-4.9323554873215644E-2</v>
      </c>
      <c r="W220" s="86">
        <f t="shared" si="65"/>
        <v>-1.3471784277882235E-2</v>
      </c>
      <c r="X220" s="86">
        <f t="shared" si="66"/>
        <v>-7.6134193669124212E-3</v>
      </c>
      <c r="Y220" s="86">
        <f t="shared" si="67"/>
        <v>1.7530479830291153E-2</v>
      </c>
      <c r="Z220" s="86">
        <f t="shared" si="68"/>
        <v>2.0971932652587885E-2</v>
      </c>
      <c r="AA220" s="86">
        <f t="shared" si="69"/>
        <v>-5.8533817558457615E-2</v>
      </c>
      <c r="AB220" s="304">
        <f t="shared" si="70"/>
        <v>3.2615721857280075E-3</v>
      </c>
    </row>
    <row r="221" spans="2:28" x14ac:dyDescent="0.3">
      <c r="B221" s="271">
        <v>43798</v>
      </c>
      <c r="C221" s="292">
        <v>144.6</v>
      </c>
      <c r="D221" s="292">
        <v>137.10000600000001</v>
      </c>
      <c r="E221" s="292">
        <v>3307.45</v>
      </c>
      <c r="F221" s="292">
        <v>1274.9499510000001</v>
      </c>
      <c r="G221" s="292">
        <v>1706.15</v>
      </c>
      <c r="H221" s="292">
        <v>1551.150024</v>
      </c>
      <c r="I221" s="292">
        <v>68.3</v>
      </c>
      <c r="J221" s="197">
        <v>2035.3000489999999</v>
      </c>
      <c r="L221" s="297">
        <f t="shared" si="55"/>
        <v>-1.9178670030571943E-2</v>
      </c>
      <c r="M221" s="298">
        <f t="shared" si="56"/>
        <v>3.6773034684598103E-2</v>
      </c>
      <c r="N221" s="298">
        <f t="shared" si="57"/>
        <v>-9.5387838475767973E-3</v>
      </c>
      <c r="O221" s="298">
        <f t="shared" si="58"/>
        <v>7.5976367832054055E-3</v>
      </c>
      <c r="P221" s="298">
        <f t="shared" si="59"/>
        <v>-4.9404470875130529E-3</v>
      </c>
      <c r="Q221" s="298">
        <f t="shared" si="60"/>
        <v>-1.8618126650343313E-2</v>
      </c>
      <c r="R221" s="298">
        <f t="shared" si="61"/>
        <v>-2.5299506206271673E-2</v>
      </c>
      <c r="S221" s="299">
        <f t="shared" si="62"/>
        <v>-2.515619980917027E-2</v>
      </c>
      <c r="U221" s="303">
        <f t="shared" si="63"/>
        <v>-1.7619964610063411E-2</v>
      </c>
      <c r="V221" s="86">
        <f t="shared" si="64"/>
        <v>3.067530598613747E-2</v>
      </c>
      <c r="W221" s="86">
        <f t="shared" si="65"/>
        <v>-1.2387287192642966E-2</v>
      </c>
      <c r="X221" s="86">
        <f t="shared" si="66"/>
        <v>7.2263092706908961E-3</v>
      </c>
      <c r="Y221" s="86">
        <f t="shared" si="67"/>
        <v>-6.0494570792066823E-3</v>
      </c>
      <c r="Z221" s="86">
        <f t="shared" si="68"/>
        <v>-2.0179919249520662E-2</v>
      </c>
      <c r="AA221" s="86">
        <f t="shared" si="69"/>
        <v>-1.9587585530728136E-2</v>
      </c>
      <c r="AB221" s="304">
        <f t="shared" si="70"/>
        <v>-2.5768557685819829E-2</v>
      </c>
    </row>
    <row r="222" spans="2:28" x14ac:dyDescent="0.3">
      <c r="B222" s="271">
        <v>43797</v>
      </c>
      <c r="C222" s="292">
        <v>147.4</v>
      </c>
      <c r="D222" s="292">
        <v>132.14999399999999</v>
      </c>
      <c r="E222" s="292">
        <v>3339.15</v>
      </c>
      <c r="F222" s="292">
        <v>1265.3000489999999</v>
      </c>
      <c r="G222" s="292">
        <v>1714.6</v>
      </c>
      <c r="H222" s="292">
        <v>1580.3000489999999</v>
      </c>
      <c r="I222" s="292">
        <v>70.05</v>
      </c>
      <c r="J222" s="197">
        <v>2087.1499020000001</v>
      </c>
      <c r="L222" s="297">
        <f t="shared" si="55"/>
        <v>3.0575868903100455E-3</v>
      </c>
      <c r="M222" s="298">
        <f t="shared" si="56"/>
        <v>4.844963871142105E-2</v>
      </c>
      <c r="N222" s="298">
        <f t="shared" si="57"/>
        <v>2.4710207043103016E-2</v>
      </c>
      <c r="O222" s="298">
        <f t="shared" si="58"/>
        <v>-1.0300027864265893E-2</v>
      </c>
      <c r="P222" s="298">
        <f t="shared" si="59"/>
        <v>-4.3732416621427835E-4</v>
      </c>
      <c r="Q222" s="298">
        <f t="shared" si="60"/>
        <v>6.6346753332039319E-3</v>
      </c>
      <c r="R222" s="298">
        <f t="shared" si="61"/>
        <v>2.6031838717946804E-2</v>
      </c>
      <c r="S222" s="299">
        <f t="shared" si="62"/>
        <v>-2.918430041462949E-3</v>
      </c>
      <c r="U222" s="303">
        <f t="shared" si="63"/>
        <v>4.6162923108185759E-3</v>
      </c>
      <c r="V222" s="86">
        <f t="shared" si="64"/>
        <v>4.2351910012960417E-2</v>
      </c>
      <c r="W222" s="86">
        <f t="shared" si="65"/>
        <v>2.1861703698036847E-2</v>
      </c>
      <c r="X222" s="86">
        <f t="shared" si="66"/>
        <v>-1.0671355376780402E-2</v>
      </c>
      <c r="Y222" s="86">
        <f t="shared" si="67"/>
        <v>-1.5463341579079071E-3</v>
      </c>
      <c r="Z222" s="86">
        <f t="shared" si="68"/>
        <v>5.0728827340265816E-3</v>
      </c>
      <c r="AA222" s="86">
        <f t="shared" si="69"/>
        <v>3.1743759393490341E-2</v>
      </c>
      <c r="AB222" s="304">
        <f t="shared" si="70"/>
        <v>-3.5307879181125101E-3</v>
      </c>
    </row>
    <row r="223" spans="2:28" x14ac:dyDescent="0.3">
      <c r="B223" s="271">
        <v>43796</v>
      </c>
      <c r="C223" s="292">
        <v>146.94999999999999</v>
      </c>
      <c r="D223" s="292">
        <v>125.900002</v>
      </c>
      <c r="E223" s="292">
        <v>3257.65</v>
      </c>
      <c r="F223" s="292">
        <v>1278.400024</v>
      </c>
      <c r="G223" s="292">
        <v>1715.35</v>
      </c>
      <c r="H223" s="292">
        <v>1569.849976</v>
      </c>
      <c r="I223" s="292">
        <v>68.25</v>
      </c>
      <c r="J223" s="197">
        <v>2093.25</v>
      </c>
      <c r="L223" s="297">
        <f t="shared" si="55"/>
        <v>1.2669232974784263E-2</v>
      </c>
      <c r="M223" s="298">
        <f t="shared" si="56"/>
        <v>8.9252313300581143E-2</v>
      </c>
      <c r="N223" s="298">
        <f t="shared" si="57"/>
        <v>1.0988273593224962E-2</v>
      </c>
      <c r="O223" s="298">
        <f t="shared" si="58"/>
        <v>2.6238828457261811E-3</v>
      </c>
      <c r="P223" s="298">
        <f t="shared" si="59"/>
        <v>2.9483477052239435E-3</v>
      </c>
      <c r="Q223" s="298">
        <f t="shared" si="60"/>
        <v>6.1339932744721958E-3</v>
      </c>
      <c r="R223" s="298">
        <f t="shared" si="61"/>
        <v>7.7664585268569036E-2</v>
      </c>
      <c r="S223" s="299">
        <f t="shared" si="62"/>
        <v>1.6813143512313573E-2</v>
      </c>
      <c r="U223" s="303">
        <f t="shared" si="63"/>
        <v>1.4227938395292792E-2</v>
      </c>
      <c r="V223" s="86">
        <f t="shared" si="64"/>
        <v>8.315458460212051E-2</v>
      </c>
      <c r="W223" s="86">
        <f t="shared" si="65"/>
        <v>8.1397702481587932E-3</v>
      </c>
      <c r="X223" s="86">
        <f t="shared" si="66"/>
        <v>2.2525553332116716E-3</v>
      </c>
      <c r="Y223" s="86">
        <f t="shared" si="67"/>
        <v>1.8393377135303146E-3</v>
      </c>
      <c r="Z223" s="86">
        <f t="shared" si="68"/>
        <v>4.5722006752948454E-3</v>
      </c>
      <c r="AA223" s="86">
        <f t="shared" si="69"/>
        <v>8.3376505944112569E-2</v>
      </c>
      <c r="AB223" s="304">
        <f t="shared" si="70"/>
        <v>1.6200785635664013E-2</v>
      </c>
    </row>
    <row r="224" spans="2:28" x14ac:dyDescent="0.3">
      <c r="B224" s="271">
        <v>43795</v>
      </c>
      <c r="C224" s="292">
        <v>145.1</v>
      </c>
      <c r="D224" s="292">
        <v>115.150002</v>
      </c>
      <c r="E224" s="292">
        <v>3222.05</v>
      </c>
      <c r="F224" s="292">
        <v>1275.0500489999999</v>
      </c>
      <c r="G224" s="292">
        <v>1710.3</v>
      </c>
      <c r="H224" s="292">
        <v>1560.25</v>
      </c>
      <c r="I224" s="292">
        <v>63.15</v>
      </c>
      <c r="J224" s="197">
        <v>2058.3500979999999</v>
      </c>
      <c r="L224" s="297">
        <f t="shared" si="55"/>
        <v>-7.2103316671128332E-3</v>
      </c>
      <c r="M224" s="298">
        <f t="shared" si="56"/>
        <v>7.4090465878597547E-3</v>
      </c>
      <c r="N224" s="298">
        <f t="shared" si="57"/>
        <v>9.9028466839310922E-3</v>
      </c>
      <c r="O224" s="298">
        <f t="shared" si="58"/>
        <v>3.102783520411666E-3</v>
      </c>
      <c r="P224" s="298">
        <f t="shared" si="59"/>
        <v>-2.3384975260033991E-4</v>
      </c>
      <c r="Q224" s="298">
        <f t="shared" si="60"/>
        <v>-8.3288426852941213E-4</v>
      </c>
      <c r="R224" s="298">
        <f t="shared" si="61"/>
        <v>-9.4563352420354001E-3</v>
      </c>
      <c r="S224" s="299">
        <f t="shared" si="62"/>
        <v>-1.9655670952388833E-3</v>
      </c>
      <c r="U224" s="303">
        <f t="shared" si="63"/>
        <v>-5.6516262466043028E-3</v>
      </c>
      <c r="V224" s="86">
        <f t="shared" si="64"/>
        <v>1.3113178893991205E-3</v>
      </c>
      <c r="W224" s="86">
        <f t="shared" si="65"/>
        <v>7.0543433388649233E-3</v>
      </c>
      <c r="X224" s="86">
        <f t="shared" si="66"/>
        <v>2.7314560078971566E-3</v>
      </c>
      <c r="Y224" s="86">
        <f t="shared" si="67"/>
        <v>-1.3428597442939688E-3</v>
      </c>
      <c r="Z224" s="86">
        <f t="shared" si="68"/>
        <v>-2.3946768677067624E-3</v>
      </c>
      <c r="AA224" s="86">
        <f t="shared" si="69"/>
        <v>-3.7444145664918644E-3</v>
      </c>
      <c r="AB224" s="304">
        <f t="shared" si="70"/>
        <v>-2.5779249718884444E-3</v>
      </c>
    </row>
    <row r="225" spans="2:28" x14ac:dyDescent="0.3">
      <c r="B225" s="271">
        <v>43794</v>
      </c>
      <c r="C225" s="292">
        <v>146.15</v>
      </c>
      <c r="D225" s="292">
        <v>114.300003</v>
      </c>
      <c r="E225" s="292">
        <v>3190.3</v>
      </c>
      <c r="F225" s="292">
        <v>1271.099976</v>
      </c>
      <c r="G225" s="292">
        <v>1710.7</v>
      </c>
      <c r="H225" s="292">
        <v>1561.5500489999999</v>
      </c>
      <c r="I225" s="292">
        <v>63.75</v>
      </c>
      <c r="J225" s="197">
        <v>2062.3999020000001</v>
      </c>
      <c r="L225" s="297">
        <f t="shared" si="55"/>
        <v>2.7047418550814582E-2</v>
      </c>
      <c r="M225" s="298">
        <f t="shared" si="56"/>
        <v>6.8805466855990288E-2</v>
      </c>
      <c r="N225" s="298">
        <f t="shared" si="57"/>
        <v>4.1776009746724244E-3</v>
      </c>
      <c r="O225" s="298">
        <f t="shared" si="58"/>
        <v>5.0081742472937131E-3</v>
      </c>
      <c r="P225" s="298">
        <f t="shared" si="59"/>
        <v>1.6473283567423631E-2</v>
      </c>
      <c r="Q225" s="298">
        <f t="shared" si="60"/>
        <v>9.6846359575573828E-3</v>
      </c>
      <c r="R225" s="298">
        <f t="shared" si="61"/>
        <v>-1.6336419319693388E-2</v>
      </c>
      <c r="S225" s="299">
        <f t="shared" si="62"/>
        <v>1.6647662853115482E-2</v>
      </c>
      <c r="U225" s="303">
        <f t="shared" si="63"/>
        <v>2.8606123971323113E-2</v>
      </c>
      <c r="V225" s="86">
        <f t="shared" si="64"/>
        <v>6.2707738157529655E-2</v>
      </c>
      <c r="W225" s="86">
        <f t="shared" si="65"/>
        <v>1.3290976296062552E-3</v>
      </c>
      <c r="X225" s="86">
        <f t="shared" si="66"/>
        <v>4.6368467347792037E-3</v>
      </c>
      <c r="Y225" s="86">
        <f t="shared" si="67"/>
        <v>1.5364273575730001E-2</v>
      </c>
      <c r="Z225" s="86">
        <f t="shared" si="68"/>
        <v>8.1228433583800316E-3</v>
      </c>
      <c r="AA225" s="86">
        <f t="shared" si="69"/>
        <v>-1.0624498644149851E-2</v>
      </c>
      <c r="AB225" s="304">
        <f t="shared" si="70"/>
        <v>1.6035304976465922E-2</v>
      </c>
    </row>
    <row r="226" spans="2:28" x14ac:dyDescent="0.3">
      <c r="B226" s="271">
        <v>43791</v>
      </c>
      <c r="C226" s="292">
        <v>142.25</v>
      </c>
      <c r="D226" s="292">
        <v>106.699997</v>
      </c>
      <c r="E226" s="292">
        <v>3177</v>
      </c>
      <c r="F226" s="292">
        <v>1264.75</v>
      </c>
      <c r="G226" s="292">
        <v>1682.75</v>
      </c>
      <c r="H226" s="292">
        <v>1546.5</v>
      </c>
      <c r="I226" s="292">
        <v>64.8</v>
      </c>
      <c r="J226" s="197">
        <v>2028.349976</v>
      </c>
      <c r="L226" s="297">
        <f t="shared" si="55"/>
        <v>2.2752492326466305E-2</v>
      </c>
      <c r="M226" s="298">
        <f t="shared" si="56"/>
        <v>9.5310151688110745E-2</v>
      </c>
      <c r="N226" s="298">
        <f t="shared" si="57"/>
        <v>1.1762327208910432E-2</v>
      </c>
      <c r="O226" s="298">
        <f t="shared" si="58"/>
        <v>-1.4599353669275188E-2</v>
      </c>
      <c r="P226" s="298">
        <f t="shared" si="59"/>
        <v>-2.2098398587818688E-2</v>
      </c>
      <c r="Q226" s="298">
        <f t="shared" si="60"/>
        <v>5.771569517837351E-3</v>
      </c>
      <c r="R226" s="298">
        <f t="shared" si="61"/>
        <v>8.5238795828997994E-3</v>
      </c>
      <c r="S226" s="299">
        <f t="shared" si="62"/>
        <v>-9.9583489658958829E-3</v>
      </c>
      <c r="U226" s="303">
        <f t="shared" si="63"/>
        <v>2.4311197746974836E-2</v>
      </c>
      <c r="V226" s="86">
        <f t="shared" si="64"/>
        <v>8.9212422989650111E-2</v>
      </c>
      <c r="W226" s="86">
        <f t="shared" si="65"/>
        <v>8.913823863844263E-3</v>
      </c>
      <c r="X226" s="86">
        <f t="shared" si="66"/>
        <v>-1.4970681181789697E-2</v>
      </c>
      <c r="Y226" s="86">
        <f t="shared" si="67"/>
        <v>-2.3207408579512315E-2</v>
      </c>
      <c r="Z226" s="86">
        <f t="shared" si="68"/>
        <v>4.2097769186600006E-3</v>
      </c>
      <c r="AA226" s="86">
        <f t="shared" si="69"/>
        <v>1.4235800258443336E-2</v>
      </c>
      <c r="AB226" s="304">
        <f t="shared" si="70"/>
        <v>-1.0570706842545444E-2</v>
      </c>
    </row>
    <row r="227" spans="2:28" x14ac:dyDescent="0.3">
      <c r="B227" s="271">
        <v>43790</v>
      </c>
      <c r="C227" s="292">
        <v>139.05000000000001</v>
      </c>
      <c r="D227" s="292">
        <v>97</v>
      </c>
      <c r="E227" s="292">
        <v>3139.85</v>
      </c>
      <c r="F227" s="292">
        <v>1283.349976</v>
      </c>
      <c r="G227" s="292">
        <v>1720.35</v>
      </c>
      <c r="H227" s="292">
        <v>1537.599976</v>
      </c>
      <c r="I227" s="292">
        <v>64.25</v>
      </c>
      <c r="J227" s="197">
        <v>2048.6499020000001</v>
      </c>
      <c r="L227" s="297">
        <f t="shared" si="55"/>
        <v>-1.711271706760217E-2</v>
      </c>
      <c r="M227" s="298">
        <f t="shared" si="56"/>
        <v>-1.7880425277848409E-2</v>
      </c>
      <c r="N227" s="298">
        <f t="shared" si="57"/>
        <v>1.1628410494079538E-2</v>
      </c>
      <c r="O227" s="298">
        <f t="shared" si="58"/>
        <v>7.8226238371553042E-3</v>
      </c>
      <c r="P227" s="298">
        <f t="shared" si="59"/>
        <v>-1.8293484782789685E-3</v>
      </c>
      <c r="Q227" s="298">
        <f t="shared" si="60"/>
        <v>-6.5149232945035359E-3</v>
      </c>
      <c r="R227" s="298">
        <f t="shared" si="61"/>
        <v>-2.4597704413960805E-2</v>
      </c>
      <c r="S227" s="299">
        <f t="shared" si="62"/>
        <v>1.0870824711883458E-2</v>
      </c>
      <c r="U227" s="303">
        <f t="shared" si="63"/>
        <v>-1.555401164709364E-2</v>
      </c>
      <c r="V227" s="86">
        <f t="shared" si="64"/>
        <v>-2.3978153976309043E-2</v>
      </c>
      <c r="W227" s="86">
        <f t="shared" si="65"/>
        <v>8.7799071490133693E-3</v>
      </c>
      <c r="X227" s="86">
        <f t="shared" si="66"/>
        <v>7.4512963246407948E-3</v>
      </c>
      <c r="Y227" s="86">
        <f t="shared" si="67"/>
        <v>-2.9383584699725976E-3</v>
      </c>
      <c r="Z227" s="86">
        <f t="shared" si="68"/>
        <v>-8.0767158936808862E-3</v>
      </c>
      <c r="AA227" s="86">
        <f t="shared" si="69"/>
        <v>-1.8885783738417268E-2</v>
      </c>
      <c r="AB227" s="304">
        <f t="shared" si="70"/>
        <v>1.0258466835233897E-2</v>
      </c>
    </row>
    <row r="228" spans="2:28" x14ac:dyDescent="0.3">
      <c r="B228" s="271">
        <v>43789</v>
      </c>
      <c r="C228" s="292">
        <v>141.44999999999999</v>
      </c>
      <c r="D228" s="292">
        <v>98.75</v>
      </c>
      <c r="E228" s="292">
        <v>3103.55</v>
      </c>
      <c r="F228" s="292">
        <v>1273.349976</v>
      </c>
      <c r="G228" s="292">
        <v>1723.5</v>
      </c>
      <c r="H228" s="292">
        <v>1547.650024</v>
      </c>
      <c r="I228" s="292">
        <v>65.849999999999994</v>
      </c>
      <c r="J228" s="197">
        <v>2026.5</v>
      </c>
      <c r="L228" s="297">
        <f t="shared" si="55"/>
        <v>-1.7658489490585321E-3</v>
      </c>
      <c r="M228" s="298">
        <f t="shared" si="56"/>
        <v>2.6162077294602081E-2</v>
      </c>
      <c r="N228" s="298">
        <f t="shared" si="57"/>
        <v>-4.0693746055757977E-2</v>
      </c>
      <c r="O228" s="298">
        <f t="shared" si="58"/>
        <v>1.1393396773188287E-3</v>
      </c>
      <c r="P228" s="298">
        <f t="shared" si="59"/>
        <v>1.2482402886398038E-3</v>
      </c>
      <c r="Q228" s="298">
        <f t="shared" si="60"/>
        <v>2.4793592713780059E-2</v>
      </c>
      <c r="R228" s="298">
        <f t="shared" si="61"/>
        <v>2.6155337127644385E-2</v>
      </c>
      <c r="S228" s="299">
        <f t="shared" si="62"/>
        <v>-5.5360909062035857E-3</v>
      </c>
      <c r="U228" s="303">
        <f t="shared" si="63"/>
        <v>-2.0714352855000185E-4</v>
      </c>
      <c r="V228" s="86">
        <f t="shared" si="64"/>
        <v>2.0064348596141448E-2</v>
      </c>
      <c r="W228" s="86">
        <f t="shared" si="65"/>
        <v>-4.354224940082415E-2</v>
      </c>
      <c r="X228" s="86">
        <f t="shared" si="66"/>
        <v>7.6801216480431938E-4</v>
      </c>
      <c r="Y228" s="86">
        <f t="shared" si="67"/>
        <v>1.3923029694617485E-4</v>
      </c>
      <c r="Z228" s="86">
        <f t="shared" si="68"/>
        <v>2.323180011460271E-2</v>
      </c>
      <c r="AA228" s="86">
        <f t="shared" si="69"/>
        <v>3.1867257803187922E-2</v>
      </c>
      <c r="AB228" s="304">
        <f t="shared" si="70"/>
        <v>-6.1484487828531468E-3</v>
      </c>
    </row>
    <row r="229" spans="2:28" x14ac:dyDescent="0.3">
      <c r="B229" s="271">
        <v>43788</v>
      </c>
      <c r="C229" s="292">
        <v>141.69999999999999</v>
      </c>
      <c r="D229" s="292">
        <v>96.199996999999996</v>
      </c>
      <c r="E229" s="292">
        <v>3232.45</v>
      </c>
      <c r="F229" s="292">
        <v>1271.900024</v>
      </c>
      <c r="G229" s="292">
        <v>1721.35</v>
      </c>
      <c r="H229" s="292">
        <v>1509.75</v>
      </c>
      <c r="I229" s="292">
        <v>64.150000000000006</v>
      </c>
      <c r="J229" s="197">
        <v>2037.75</v>
      </c>
      <c r="L229" s="297">
        <f t="shared" si="55"/>
        <v>-1.1925781468885403E-2</v>
      </c>
      <c r="M229" s="298">
        <f t="shared" si="56"/>
        <v>2.2602738841663431E-2</v>
      </c>
      <c r="N229" s="298">
        <f t="shared" si="57"/>
        <v>-3.4196434126950961E-2</v>
      </c>
      <c r="O229" s="298">
        <f t="shared" si="58"/>
        <v>7.7744425334593898E-3</v>
      </c>
      <c r="P229" s="298">
        <f t="shared" si="59"/>
        <v>-1.020136868600275E-2</v>
      </c>
      <c r="Q229" s="298">
        <f t="shared" si="60"/>
        <v>3.4055767447987995E-2</v>
      </c>
      <c r="R229" s="298">
        <f t="shared" si="61"/>
        <v>-2.6155337127644396E-2</v>
      </c>
      <c r="S229" s="299">
        <f t="shared" si="62"/>
        <v>-9.0133373036843881E-3</v>
      </c>
      <c r="U229" s="303">
        <f t="shared" si="63"/>
        <v>-1.0367076048376873E-2</v>
      </c>
      <c r="V229" s="86">
        <f t="shared" si="64"/>
        <v>1.6505010143202797E-2</v>
      </c>
      <c r="W229" s="86">
        <f t="shared" si="65"/>
        <v>-3.7044937472017134E-2</v>
      </c>
      <c r="X229" s="86">
        <f t="shared" si="66"/>
        <v>7.4031150209448804E-3</v>
      </c>
      <c r="Y229" s="86">
        <f t="shared" si="67"/>
        <v>-1.1310378677696379E-2</v>
      </c>
      <c r="Z229" s="86">
        <f t="shared" si="68"/>
        <v>3.2493974848810642E-2</v>
      </c>
      <c r="AA229" s="86">
        <f t="shared" si="69"/>
        <v>-2.0443416452100859E-2</v>
      </c>
      <c r="AB229" s="304">
        <f t="shared" si="70"/>
        <v>-9.6256951803339492E-3</v>
      </c>
    </row>
    <row r="230" spans="2:28" x14ac:dyDescent="0.3">
      <c r="B230" s="271">
        <v>43787</v>
      </c>
      <c r="C230" s="292">
        <v>143.4</v>
      </c>
      <c r="D230" s="292">
        <v>94.050003000000004</v>
      </c>
      <c r="E230" s="292">
        <v>3344.9</v>
      </c>
      <c r="F230" s="292">
        <v>1262.0500489999999</v>
      </c>
      <c r="G230" s="292">
        <v>1739</v>
      </c>
      <c r="H230" s="292">
        <v>1459.1999510000001</v>
      </c>
      <c r="I230" s="292">
        <v>65.849999999999994</v>
      </c>
      <c r="J230" s="197">
        <v>2056.1999510000001</v>
      </c>
      <c r="L230" s="297">
        <f t="shared" si="55"/>
        <v>9.1068930624651923E-3</v>
      </c>
      <c r="M230" s="298">
        <f t="shared" si="56"/>
        <v>-1.5299659841719042E-2</v>
      </c>
      <c r="N230" s="298">
        <f t="shared" si="57"/>
        <v>1.9258065739945582E-2</v>
      </c>
      <c r="O230" s="298">
        <f t="shared" si="58"/>
        <v>-1.2480702602082547E-2</v>
      </c>
      <c r="P230" s="298">
        <f t="shared" si="59"/>
        <v>-1.2401221878115492E-2</v>
      </c>
      <c r="Q230" s="298">
        <f t="shared" si="60"/>
        <v>-7.9521418968830741E-3</v>
      </c>
      <c r="R230" s="298">
        <f t="shared" si="61"/>
        <v>-4.2369771039013765E-2</v>
      </c>
      <c r="S230" s="299">
        <f t="shared" si="62"/>
        <v>-7.2923508213882824E-4</v>
      </c>
      <c r="U230" s="303">
        <f t="shared" si="63"/>
        <v>1.0665598482973722E-2</v>
      </c>
      <c r="V230" s="86">
        <f t="shared" si="64"/>
        <v>-2.1397388540179675E-2</v>
      </c>
      <c r="W230" s="86">
        <f t="shared" si="65"/>
        <v>1.6409562394879413E-2</v>
      </c>
      <c r="X230" s="86">
        <f t="shared" si="66"/>
        <v>-1.2852030114597056E-2</v>
      </c>
      <c r="Y230" s="86">
        <f t="shared" si="67"/>
        <v>-1.3510231869809122E-2</v>
      </c>
      <c r="Z230" s="86">
        <f t="shared" si="68"/>
        <v>-9.5139344960604253E-3</v>
      </c>
      <c r="AA230" s="86">
        <f t="shared" si="69"/>
        <v>-3.6657850363470232E-2</v>
      </c>
      <c r="AB230" s="304">
        <f t="shared" si="70"/>
        <v>-1.3415929587883891E-3</v>
      </c>
    </row>
    <row r="231" spans="2:28" x14ac:dyDescent="0.3">
      <c r="B231" s="271">
        <v>43784</v>
      </c>
      <c r="C231" s="292">
        <v>142.1</v>
      </c>
      <c r="D231" s="292">
        <v>95.5</v>
      </c>
      <c r="E231" s="292">
        <v>3281.1</v>
      </c>
      <c r="F231" s="292">
        <v>1277.900024</v>
      </c>
      <c r="G231" s="292">
        <v>1760.7</v>
      </c>
      <c r="H231" s="292">
        <v>1470.849976</v>
      </c>
      <c r="I231" s="292">
        <v>68.7</v>
      </c>
      <c r="J231" s="197">
        <v>2057.6999510000001</v>
      </c>
      <c r="L231" s="297">
        <f t="shared" si="55"/>
        <v>-1.3282264472945731E-2</v>
      </c>
      <c r="M231" s="298">
        <f t="shared" si="56"/>
        <v>4.7231469899113475E-3</v>
      </c>
      <c r="N231" s="298">
        <f t="shared" si="57"/>
        <v>5.4857455062668672E-3</v>
      </c>
      <c r="O231" s="298">
        <f t="shared" si="58"/>
        <v>3.1350444399453614E-3</v>
      </c>
      <c r="P231" s="298">
        <f t="shared" si="59"/>
        <v>-6.3127412367378795E-3</v>
      </c>
      <c r="Q231" s="298">
        <f t="shared" si="60"/>
        <v>5.5222229685602704E-3</v>
      </c>
      <c r="R231" s="298">
        <f t="shared" si="61"/>
        <v>-7.2753731837697886E-4</v>
      </c>
      <c r="S231" s="299">
        <f t="shared" si="62"/>
        <v>-5.5007580394151349E-3</v>
      </c>
      <c r="U231" s="303">
        <f t="shared" si="63"/>
        <v>-1.1723559052437202E-2</v>
      </c>
      <c r="V231" s="86">
        <f t="shared" si="64"/>
        <v>-1.3745817085492867E-3</v>
      </c>
      <c r="W231" s="86">
        <f t="shared" si="65"/>
        <v>2.6372421612006979E-3</v>
      </c>
      <c r="X231" s="86">
        <f t="shared" si="66"/>
        <v>2.763716927430852E-3</v>
      </c>
      <c r="Y231" s="86">
        <f t="shared" si="67"/>
        <v>-7.4217512284315088E-3</v>
      </c>
      <c r="Z231" s="86">
        <f t="shared" si="68"/>
        <v>3.9604303693829201E-3</v>
      </c>
      <c r="AA231" s="86">
        <f t="shared" si="69"/>
        <v>4.984383357166557E-3</v>
      </c>
      <c r="AB231" s="304">
        <f t="shared" si="70"/>
        <v>-6.113115916064696E-3</v>
      </c>
    </row>
    <row r="232" spans="2:28" x14ac:dyDescent="0.3">
      <c r="B232" s="271">
        <v>43783</v>
      </c>
      <c r="C232" s="292">
        <v>144</v>
      </c>
      <c r="D232" s="292">
        <v>95.050003000000004</v>
      </c>
      <c r="E232" s="292">
        <v>3263.15</v>
      </c>
      <c r="F232" s="292">
        <v>1273.900024</v>
      </c>
      <c r="G232" s="292">
        <v>1771.85</v>
      </c>
      <c r="H232" s="292">
        <v>1462.75</v>
      </c>
      <c r="I232" s="292">
        <v>68.75</v>
      </c>
      <c r="J232" s="197">
        <v>2069.0500489999999</v>
      </c>
      <c r="L232" s="297">
        <f t="shared" si="55"/>
        <v>-3.0098031157279527E-2</v>
      </c>
      <c r="M232" s="298">
        <f t="shared" si="56"/>
        <v>-9.945090971062916E-3</v>
      </c>
      <c r="N232" s="298">
        <f t="shared" si="57"/>
        <v>8.4180702853109537E-2</v>
      </c>
      <c r="O232" s="298">
        <f t="shared" si="58"/>
        <v>1.2917657376030572E-2</v>
      </c>
      <c r="P232" s="298">
        <f t="shared" si="59"/>
        <v>7.9044692594855664E-4</v>
      </c>
      <c r="Q232" s="298">
        <f t="shared" si="60"/>
        <v>-6.5076114842774384E-3</v>
      </c>
      <c r="R232" s="298">
        <f t="shared" si="61"/>
        <v>8.0321716972642527E-3</v>
      </c>
      <c r="S232" s="299">
        <f t="shared" si="62"/>
        <v>-1.0552832028828415E-2</v>
      </c>
      <c r="U232" s="303">
        <f t="shared" si="63"/>
        <v>-2.8539325736770996E-2</v>
      </c>
      <c r="V232" s="86">
        <f t="shared" si="64"/>
        <v>-1.6042819669523551E-2</v>
      </c>
      <c r="W232" s="86">
        <f t="shared" si="65"/>
        <v>8.1332199508043365E-2</v>
      </c>
      <c r="X232" s="86">
        <f t="shared" si="66"/>
        <v>1.2546329863516063E-2</v>
      </c>
      <c r="Y232" s="86">
        <f t="shared" si="67"/>
        <v>-3.1856306574507226E-4</v>
      </c>
      <c r="Z232" s="86">
        <f t="shared" si="68"/>
        <v>-8.0694040834547887E-3</v>
      </c>
      <c r="AA232" s="86">
        <f t="shared" si="69"/>
        <v>1.3744092372807788E-2</v>
      </c>
      <c r="AB232" s="304">
        <f t="shared" si="70"/>
        <v>-1.1165189905477976E-2</v>
      </c>
    </row>
    <row r="233" spans="2:28" x14ac:dyDescent="0.3">
      <c r="B233" s="271">
        <v>43782</v>
      </c>
      <c r="C233" s="292">
        <v>148.4</v>
      </c>
      <c r="D233" s="292">
        <v>96</v>
      </c>
      <c r="E233" s="292">
        <v>2999.7</v>
      </c>
      <c r="F233" s="292">
        <v>1257.5500489999999</v>
      </c>
      <c r="G233" s="292">
        <v>1770.45</v>
      </c>
      <c r="H233" s="292">
        <v>1472.3000489999999</v>
      </c>
      <c r="I233" s="292">
        <v>68.2</v>
      </c>
      <c r="J233" s="197">
        <v>2091</v>
      </c>
      <c r="L233" s="297">
        <f t="shared" si="55"/>
        <v>-2.856388149130655E-2</v>
      </c>
      <c r="M233" s="298">
        <f t="shared" si="56"/>
        <v>2.2650449745920679E-2</v>
      </c>
      <c r="N233" s="298">
        <f t="shared" si="57"/>
        <v>3.4395852981991847E-3</v>
      </c>
      <c r="O233" s="298">
        <f t="shared" si="58"/>
        <v>-5.7090515925517166E-3</v>
      </c>
      <c r="P233" s="298">
        <f t="shared" si="59"/>
        <v>-1.974947036238104E-3</v>
      </c>
      <c r="Q233" s="298">
        <f t="shared" si="60"/>
        <v>3.0691004765731261E-2</v>
      </c>
      <c r="R233" s="298">
        <f t="shared" si="61"/>
        <v>-6.8014876298974666E-2</v>
      </c>
      <c r="S233" s="299">
        <f t="shared" si="62"/>
        <v>4.6256517212784906E-3</v>
      </c>
      <c r="U233" s="303">
        <f t="shared" si="63"/>
        <v>-2.7005176070798019E-2</v>
      </c>
      <c r="V233" s="86">
        <f t="shared" si="64"/>
        <v>1.6552721047460046E-2</v>
      </c>
      <c r="W233" s="86">
        <f t="shared" si="65"/>
        <v>5.9108195313301547E-4</v>
      </c>
      <c r="X233" s="86">
        <f t="shared" si="66"/>
        <v>-6.080379105066226E-3</v>
      </c>
      <c r="Y233" s="86">
        <f t="shared" si="67"/>
        <v>-3.0839570279317329E-3</v>
      </c>
      <c r="Z233" s="86">
        <f t="shared" si="68"/>
        <v>2.9129212166553911E-2</v>
      </c>
      <c r="AA233" s="86">
        <f t="shared" si="69"/>
        <v>-6.2302955623431133E-2</v>
      </c>
      <c r="AB233" s="304">
        <f t="shared" si="70"/>
        <v>4.0132938446289295E-3</v>
      </c>
    </row>
    <row r="234" spans="2:28" x14ac:dyDescent="0.3">
      <c r="B234" s="271">
        <v>43780</v>
      </c>
      <c r="C234" s="292">
        <v>152.69999999999999</v>
      </c>
      <c r="D234" s="292">
        <v>93.849997999999999</v>
      </c>
      <c r="E234" s="292">
        <v>2989.4</v>
      </c>
      <c r="F234" s="292">
        <v>1264.75</v>
      </c>
      <c r="G234" s="292">
        <v>1773.95</v>
      </c>
      <c r="H234" s="292">
        <v>1427.8000489999999</v>
      </c>
      <c r="I234" s="292">
        <v>73</v>
      </c>
      <c r="J234" s="197">
        <v>2081.3500979999999</v>
      </c>
      <c r="L234" s="297">
        <f t="shared" si="55"/>
        <v>-1.8170519394702093E-2</v>
      </c>
      <c r="M234" s="298">
        <f t="shared" si="56"/>
        <v>7.9243892537496238E-2</v>
      </c>
      <c r="N234" s="298">
        <f t="shared" si="57"/>
        <v>9.1100813855588408E-2</v>
      </c>
      <c r="O234" s="298">
        <f t="shared" si="58"/>
        <v>7.2609473186149021E-3</v>
      </c>
      <c r="P234" s="298">
        <f t="shared" si="59"/>
        <v>-1.1712754391555724E-2</v>
      </c>
      <c r="Q234" s="298">
        <f t="shared" si="60"/>
        <v>-1.2320450069509239E-2</v>
      </c>
      <c r="R234" s="298">
        <f t="shared" si="61"/>
        <v>5.7077836909080193E-2</v>
      </c>
      <c r="S234" s="299">
        <f t="shared" si="62"/>
        <v>-2.4232770541187817E-3</v>
      </c>
      <c r="U234" s="303">
        <f t="shared" si="63"/>
        <v>-1.6611813974193562E-2</v>
      </c>
      <c r="V234" s="86">
        <f t="shared" si="64"/>
        <v>7.3146163839035605E-2</v>
      </c>
      <c r="W234" s="86">
        <f t="shared" si="65"/>
        <v>8.8252310510522236E-2</v>
      </c>
      <c r="X234" s="86">
        <f t="shared" si="66"/>
        <v>6.8896198061003926E-3</v>
      </c>
      <c r="Y234" s="86">
        <f t="shared" si="67"/>
        <v>-1.2821764383249354E-2</v>
      </c>
      <c r="Z234" s="86">
        <f t="shared" si="68"/>
        <v>-1.388224266868659E-2</v>
      </c>
      <c r="AA234" s="86">
        <f t="shared" si="69"/>
        <v>6.2789757584623726E-2</v>
      </c>
      <c r="AB234" s="304">
        <f t="shared" si="70"/>
        <v>-3.0356349307683423E-3</v>
      </c>
    </row>
    <row r="235" spans="2:28" x14ac:dyDescent="0.3">
      <c r="B235" s="271">
        <v>43777</v>
      </c>
      <c r="C235" s="292">
        <v>155.5</v>
      </c>
      <c r="D235" s="292">
        <v>86.699996999999996</v>
      </c>
      <c r="E235" s="292">
        <v>2729.1</v>
      </c>
      <c r="F235" s="292">
        <v>1255.599976</v>
      </c>
      <c r="G235" s="292">
        <v>1794.85</v>
      </c>
      <c r="H235" s="292">
        <v>1445.5</v>
      </c>
      <c r="I235" s="292">
        <v>68.95</v>
      </c>
      <c r="J235" s="197">
        <v>2086.3999020000001</v>
      </c>
      <c r="L235" s="297">
        <f t="shared" si="55"/>
        <v>-3.4448026125528254E-2</v>
      </c>
      <c r="M235" s="298">
        <f t="shared" si="56"/>
        <v>-2.2806006309242365E-2</v>
      </c>
      <c r="N235" s="298">
        <f t="shared" si="57"/>
        <v>-6.5375225991479765E-3</v>
      </c>
      <c r="O235" s="298">
        <f t="shared" si="58"/>
        <v>-6.4303601361780155E-3</v>
      </c>
      <c r="P235" s="298">
        <f t="shared" si="59"/>
        <v>-1.7726456763788027E-2</v>
      </c>
      <c r="Q235" s="298">
        <f t="shared" si="60"/>
        <v>-9.0217726395977194E-3</v>
      </c>
      <c r="R235" s="298">
        <f t="shared" si="61"/>
        <v>3.6931819080056584E-2</v>
      </c>
      <c r="S235" s="299">
        <f t="shared" si="62"/>
        <v>-2.454769169941725E-2</v>
      </c>
      <c r="U235" s="303">
        <f t="shared" si="63"/>
        <v>-3.2889320705019723E-2</v>
      </c>
      <c r="V235" s="86">
        <f t="shared" si="64"/>
        <v>-2.8903735007702998E-2</v>
      </c>
      <c r="W235" s="86">
        <f t="shared" si="65"/>
        <v>-9.3860259442141453E-3</v>
      </c>
      <c r="X235" s="86">
        <f t="shared" si="66"/>
        <v>-6.8016876486925249E-3</v>
      </c>
      <c r="Y235" s="86">
        <f t="shared" si="67"/>
        <v>-1.8835466755481655E-2</v>
      </c>
      <c r="Z235" s="86">
        <f t="shared" si="68"/>
        <v>-1.0583565238775071E-2</v>
      </c>
      <c r="AA235" s="86">
        <f t="shared" si="69"/>
        <v>4.2643739755600117E-2</v>
      </c>
      <c r="AB235" s="304">
        <f t="shared" si="70"/>
        <v>-2.5160049576066809E-2</v>
      </c>
    </row>
    <row r="236" spans="2:28" x14ac:dyDescent="0.3">
      <c r="B236" s="271">
        <v>43776</v>
      </c>
      <c r="C236" s="292">
        <v>160.94999999999999</v>
      </c>
      <c r="D236" s="292">
        <v>88.699996999999996</v>
      </c>
      <c r="E236" s="292">
        <v>2747</v>
      </c>
      <c r="F236" s="292">
        <v>1263.6999510000001</v>
      </c>
      <c r="G236" s="292">
        <v>1826.95</v>
      </c>
      <c r="H236" s="292">
        <v>1458.599976</v>
      </c>
      <c r="I236" s="292">
        <v>66.45</v>
      </c>
      <c r="J236" s="197">
        <v>2138.25</v>
      </c>
      <c r="L236" s="297">
        <f t="shared" si="55"/>
        <v>1.8815230496722953E-2</v>
      </c>
      <c r="M236" s="298">
        <f t="shared" si="56"/>
        <v>-1.787763815186888E-2</v>
      </c>
      <c r="N236" s="298">
        <f t="shared" si="57"/>
        <v>-2.315538791065665E-2</v>
      </c>
      <c r="O236" s="298">
        <f t="shared" si="58"/>
        <v>5.5944178046840433E-3</v>
      </c>
      <c r="P236" s="298">
        <f t="shared" si="59"/>
        <v>1.6195467863650337E-2</v>
      </c>
      <c r="Q236" s="298">
        <f t="shared" si="60"/>
        <v>1.6381878015733382E-2</v>
      </c>
      <c r="R236" s="298">
        <f t="shared" si="61"/>
        <v>-3.3299414069049342E-2</v>
      </c>
      <c r="S236" s="299">
        <f t="shared" si="62"/>
        <v>-1.908479143014654E-2</v>
      </c>
      <c r="U236" s="303">
        <f t="shared" si="63"/>
        <v>2.0373935917231484E-2</v>
      </c>
      <c r="V236" s="86">
        <f t="shared" si="64"/>
        <v>-2.3975366850329513E-2</v>
      </c>
      <c r="W236" s="86">
        <f t="shared" si="65"/>
        <v>-2.6003891255722819E-2</v>
      </c>
      <c r="X236" s="86">
        <f t="shared" si="66"/>
        <v>5.2230902921695339E-3</v>
      </c>
      <c r="Y236" s="86">
        <f t="shared" si="67"/>
        <v>1.5086457871956708E-2</v>
      </c>
      <c r="Z236" s="86">
        <f t="shared" si="68"/>
        <v>1.4820085416556031E-2</v>
      </c>
      <c r="AA236" s="86">
        <f t="shared" si="69"/>
        <v>-2.7587493393505805E-2</v>
      </c>
      <c r="AB236" s="304">
        <f t="shared" si="70"/>
        <v>-1.96971493067961E-2</v>
      </c>
    </row>
    <row r="237" spans="2:28" x14ac:dyDescent="0.3">
      <c r="B237" s="271">
        <v>43775</v>
      </c>
      <c r="C237" s="292">
        <v>157.94999999999999</v>
      </c>
      <c r="D237" s="292">
        <v>90.300003000000004</v>
      </c>
      <c r="E237" s="292">
        <v>2811.35</v>
      </c>
      <c r="F237" s="292">
        <v>1256.650024</v>
      </c>
      <c r="G237" s="292">
        <v>1797.6</v>
      </c>
      <c r="H237" s="292">
        <v>1434.900024</v>
      </c>
      <c r="I237" s="292">
        <v>68.7</v>
      </c>
      <c r="J237" s="197">
        <v>2179.4499510000001</v>
      </c>
      <c r="L237" s="297">
        <f t="shared" si="55"/>
        <v>2.8530689824064807E-3</v>
      </c>
      <c r="M237" s="298">
        <f t="shared" si="56"/>
        <v>-4.4198303994848181E-3</v>
      </c>
      <c r="N237" s="298">
        <f t="shared" si="57"/>
        <v>-4.8987474065586817E-2</v>
      </c>
      <c r="O237" s="298">
        <f t="shared" si="58"/>
        <v>1.3741396709679376E-2</v>
      </c>
      <c r="P237" s="298">
        <f t="shared" si="59"/>
        <v>2.0882937881933038E-3</v>
      </c>
      <c r="Q237" s="298">
        <f t="shared" si="60"/>
        <v>-8.6046084194392192E-3</v>
      </c>
      <c r="R237" s="298">
        <f t="shared" si="61"/>
        <v>5.8394326515593866E-3</v>
      </c>
      <c r="S237" s="299">
        <f t="shared" si="62"/>
        <v>3.3551135649067818E-3</v>
      </c>
      <c r="U237" s="303">
        <f t="shared" si="63"/>
        <v>4.4117744029150106E-3</v>
      </c>
      <c r="V237" s="86">
        <f t="shared" si="64"/>
        <v>-1.0517559097945453E-2</v>
      </c>
      <c r="W237" s="86">
        <f t="shared" si="65"/>
        <v>-5.1835977410652989E-2</v>
      </c>
      <c r="X237" s="86">
        <f t="shared" si="66"/>
        <v>1.3370069197164866E-2</v>
      </c>
      <c r="Y237" s="86">
        <f t="shared" si="67"/>
        <v>9.7928379649967487E-4</v>
      </c>
      <c r="Z237" s="86">
        <f t="shared" si="68"/>
        <v>-1.016640101861657E-2</v>
      </c>
      <c r="AA237" s="86">
        <f t="shared" si="69"/>
        <v>1.1551353327102921E-2</v>
      </c>
      <c r="AB237" s="304">
        <f t="shared" si="70"/>
        <v>2.7427556882572207E-3</v>
      </c>
    </row>
    <row r="238" spans="2:28" x14ac:dyDescent="0.3">
      <c r="B238" s="271">
        <v>43774</v>
      </c>
      <c r="C238" s="292">
        <v>157.5</v>
      </c>
      <c r="D238" s="292">
        <v>90.699996999999996</v>
      </c>
      <c r="E238" s="292">
        <v>2952.5</v>
      </c>
      <c r="F238" s="292">
        <v>1239.5</v>
      </c>
      <c r="G238" s="292">
        <v>1793.85</v>
      </c>
      <c r="H238" s="292">
        <v>1447.3000489999999</v>
      </c>
      <c r="I238" s="292">
        <v>68.3</v>
      </c>
      <c r="J238" s="197">
        <v>2172.1499020000001</v>
      </c>
      <c r="L238" s="297">
        <f t="shared" si="55"/>
        <v>-6.3471915809101376E-4</v>
      </c>
      <c r="M238" s="298">
        <f t="shared" si="56"/>
        <v>-2.1271650272969449E-2</v>
      </c>
      <c r="N238" s="298">
        <f t="shared" si="57"/>
        <v>-2.1030476391834946E-2</v>
      </c>
      <c r="O238" s="298">
        <f t="shared" si="58"/>
        <v>2.1402669552147615E-3</v>
      </c>
      <c r="P238" s="298">
        <f t="shared" si="59"/>
        <v>4.4416582554718973E-3</v>
      </c>
      <c r="Q238" s="298">
        <f t="shared" si="60"/>
        <v>-7.1257808462902323E-3</v>
      </c>
      <c r="R238" s="298">
        <f t="shared" si="61"/>
        <v>3.1984876015779554E-2</v>
      </c>
      <c r="S238" s="299">
        <f t="shared" si="62"/>
        <v>6.4660875284906806E-3</v>
      </c>
      <c r="U238" s="303">
        <f t="shared" si="63"/>
        <v>9.2398626241751644E-4</v>
      </c>
      <c r="V238" s="86">
        <f t="shared" si="64"/>
        <v>-2.7369378971430082E-2</v>
      </c>
      <c r="W238" s="86">
        <f t="shared" si="65"/>
        <v>-2.3878979736901115E-2</v>
      </c>
      <c r="X238" s="86">
        <f t="shared" si="66"/>
        <v>1.7689394427002521E-3</v>
      </c>
      <c r="Y238" s="86">
        <f t="shared" si="67"/>
        <v>3.3326482637782684E-3</v>
      </c>
      <c r="Z238" s="86">
        <f t="shared" si="68"/>
        <v>-8.6875734454675835E-3</v>
      </c>
      <c r="AA238" s="86">
        <f t="shared" si="69"/>
        <v>3.7696796691323087E-2</v>
      </c>
      <c r="AB238" s="304">
        <f t="shared" si="70"/>
        <v>5.8537296518411195E-3</v>
      </c>
    </row>
    <row r="239" spans="2:28" x14ac:dyDescent="0.3">
      <c r="B239" s="271">
        <v>43773</v>
      </c>
      <c r="C239" s="292">
        <v>157.6</v>
      </c>
      <c r="D239" s="292">
        <v>92.650002000000001</v>
      </c>
      <c r="E239" s="292">
        <v>3015.25</v>
      </c>
      <c r="F239" s="292">
        <v>1236.849976</v>
      </c>
      <c r="G239" s="292">
        <v>1785.9</v>
      </c>
      <c r="H239" s="292">
        <v>1457.650024</v>
      </c>
      <c r="I239" s="292">
        <v>66.150000000000006</v>
      </c>
      <c r="J239" s="197">
        <v>2158.1499020000001</v>
      </c>
      <c r="L239" s="297">
        <f t="shared" si="55"/>
        <v>2.9295512032357193E-2</v>
      </c>
      <c r="M239" s="298">
        <f t="shared" si="56"/>
        <v>2.9575047273305587E-2</v>
      </c>
      <c r="N239" s="298">
        <f t="shared" si="57"/>
        <v>6.3032878708427524E-4</v>
      </c>
      <c r="O239" s="298">
        <f t="shared" si="58"/>
        <v>-2.5839353612986966E-3</v>
      </c>
      <c r="P239" s="298">
        <f t="shared" si="59"/>
        <v>1.1007219304725147E-2</v>
      </c>
      <c r="Q239" s="298">
        <f t="shared" si="60"/>
        <v>5.1465921271061615E-4</v>
      </c>
      <c r="R239" s="298">
        <f t="shared" si="61"/>
        <v>-6.77968698537858E-3</v>
      </c>
      <c r="S239" s="299">
        <f t="shared" si="62"/>
        <v>-9.7753843553526308E-3</v>
      </c>
      <c r="U239" s="303">
        <f t="shared" si="63"/>
        <v>3.0854217452865724E-2</v>
      </c>
      <c r="V239" s="86">
        <f t="shared" si="64"/>
        <v>2.3477318574844953E-2</v>
      </c>
      <c r="W239" s="86">
        <f t="shared" si="65"/>
        <v>-2.218174557981894E-3</v>
      </c>
      <c r="X239" s="86">
        <f t="shared" si="66"/>
        <v>-2.955262873813206E-3</v>
      </c>
      <c r="Y239" s="86">
        <f t="shared" si="67"/>
        <v>9.8982093130315172E-3</v>
      </c>
      <c r="Z239" s="86">
        <f t="shared" si="68"/>
        <v>-1.0471333864667345E-3</v>
      </c>
      <c r="AA239" s="86">
        <f t="shared" si="69"/>
        <v>-1.0677663098350443E-3</v>
      </c>
      <c r="AB239" s="304">
        <f t="shared" si="70"/>
        <v>-1.0387742232002192E-2</v>
      </c>
    </row>
    <row r="240" spans="2:28" x14ac:dyDescent="0.3">
      <c r="B240" s="271">
        <v>43770</v>
      </c>
      <c r="C240" s="292">
        <v>153.05000000000001</v>
      </c>
      <c r="D240" s="292">
        <v>89.949996999999996</v>
      </c>
      <c r="E240" s="292">
        <v>3013.35</v>
      </c>
      <c r="F240" s="292">
        <v>1240.0500489999999</v>
      </c>
      <c r="G240" s="292">
        <v>1766.35</v>
      </c>
      <c r="H240" s="292">
        <v>1456.900024</v>
      </c>
      <c r="I240" s="292">
        <v>66.599999999999994</v>
      </c>
      <c r="J240" s="197">
        <v>2179.3500979999999</v>
      </c>
      <c r="L240" s="297">
        <f t="shared" si="55"/>
        <v>3.11903186545908E-2</v>
      </c>
      <c r="M240" s="298">
        <f t="shared" si="56"/>
        <v>2.7831914247455612E-3</v>
      </c>
      <c r="N240" s="298">
        <f t="shared" si="57"/>
        <v>-2.1878582641996114E-3</v>
      </c>
      <c r="O240" s="298">
        <f t="shared" si="58"/>
        <v>7.853078653464695E-3</v>
      </c>
      <c r="P240" s="298">
        <f t="shared" si="59"/>
        <v>-2.4190555839126972E-2</v>
      </c>
      <c r="Q240" s="298">
        <f t="shared" si="60"/>
        <v>-5.1005344637731122E-3</v>
      </c>
      <c r="R240" s="298">
        <f t="shared" si="61"/>
        <v>-5.548868561765348E-2</v>
      </c>
      <c r="S240" s="299">
        <f t="shared" si="62"/>
        <v>1.8370959859178415E-3</v>
      </c>
      <c r="U240" s="303">
        <f t="shared" si="63"/>
        <v>3.2749024075099331E-2</v>
      </c>
      <c r="V240" s="86">
        <f t="shared" si="64"/>
        <v>-3.314537273715073E-3</v>
      </c>
      <c r="W240" s="86">
        <f t="shared" si="65"/>
        <v>-5.0363616092657807E-3</v>
      </c>
      <c r="X240" s="86">
        <f t="shared" si="66"/>
        <v>7.4817511409501856E-3</v>
      </c>
      <c r="Y240" s="86">
        <f t="shared" si="67"/>
        <v>-2.5299565830820599E-2</v>
      </c>
      <c r="Z240" s="86">
        <f t="shared" si="68"/>
        <v>-6.6623270629504626E-3</v>
      </c>
      <c r="AA240" s="86">
        <f t="shared" si="69"/>
        <v>-4.9776764942109947E-2</v>
      </c>
      <c r="AB240" s="304">
        <f t="shared" si="70"/>
        <v>1.2247381092682806E-3</v>
      </c>
    </row>
    <row r="241" spans="2:28" x14ac:dyDescent="0.3">
      <c r="B241" s="271">
        <v>43769</v>
      </c>
      <c r="C241" s="292">
        <v>148.35</v>
      </c>
      <c r="D241" s="292">
        <v>89.699996999999996</v>
      </c>
      <c r="E241" s="292">
        <v>3019.95</v>
      </c>
      <c r="F241" s="292">
        <v>1230.349976</v>
      </c>
      <c r="G241" s="292">
        <v>1809.6</v>
      </c>
      <c r="H241" s="292">
        <v>1464.349976</v>
      </c>
      <c r="I241" s="292">
        <v>70.400000000000006</v>
      </c>
      <c r="J241" s="197">
        <v>2175.3500979999999</v>
      </c>
      <c r="L241" s="297">
        <f t="shared" si="55"/>
        <v>-1.1727391902585468E-2</v>
      </c>
      <c r="M241" s="298">
        <f t="shared" si="56"/>
        <v>-2.2272281045815721E-3</v>
      </c>
      <c r="N241" s="298">
        <f t="shared" si="57"/>
        <v>1.615657275672314E-2</v>
      </c>
      <c r="O241" s="298">
        <f t="shared" si="58"/>
        <v>-1.4523997875688784E-2</v>
      </c>
      <c r="P241" s="298">
        <f t="shared" si="59"/>
        <v>-6.4447054426420951E-3</v>
      </c>
      <c r="Q241" s="298">
        <f t="shared" si="60"/>
        <v>-1.0022336854183824E-2</v>
      </c>
      <c r="R241" s="298">
        <f t="shared" si="61"/>
        <v>0.21465693743689115</v>
      </c>
      <c r="S241" s="299">
        <f t="shared" si="62"/>
        <v>2.7390297347393055E-3</v>
      </c>
      <c r="U241" s="303">
        <f t="shared" si="63"/>
        <v>-1.0168686482076939E-2</v>
      </c>
      <c r="V241" s="86">
        <f t="shared" si="64"/>
        <v>-8.3249568030422071E-3</v>
      </c>
      <c r="W241" s="86">
        <f t="shared" si="65"/>
        <v>1.3308069411656971E-2</v>
      </c>
      <c r="X241" s="86">
        <f t="shared" si="66"/>
        <v>-1.4895325388203293E-2</v>
      </c>
      <c r="Y241" s="86">
        <f t="shared" si="67"/>
        <v>-7.5537154343357244E-3</v>
      </c>
      <c r="Z241" s="86">
        <f t="shared" si="68"/>
        <v>-1.1584129453361175E-2</v>
      </c>
      <c r="AA241" s="86">
        <f t="shared" si="69"/>
        <v>0.2203688581124347</v>
      </c>
      <c r="AB241" s="304">
        <f t="shared" si="70"/>
        <v>2.1266718580897443E-3</v>
      </c>
    </row>
    <row r="242" spans="2:28" x14ac:dyDescent="0.3">
      <c r="B242" s="271">
        <v>43768</v>
      </c>
      <c r="C242" s="292">
        <v>150.1</v>
      </c>
      <c r="D242" s="292">
        <v>89.900002000000001</v>
      </c>
      <c r="E242" s="292">
        <v>2971.55</v>
      </c>
      <c r="F242" s="292">
        <v>1248.349976</v>
      </c>
      <c r="G242" s="292">
        <v>1821.3</v>
      </c>
      <c r="H242" s="292">
        <v>1479.099976</v>
      </c>
      <c r="I242" s="292">
        <v>56.8</v>
      </c>
      <c r="J242" s="197">
        <v>2169.3999020000001</v>
      </c>
      <c r="L242" s="297">
        <f t="shared" si="55"/>
        <v>4.0053458086750614E-3</v>
      </c>
      <c r="M242" s="298">
        <f t="shared" si="56"/>
        <v>4.4593384437057355E-3</v>
      </c>
      <c r="N242" s="298">
        <f t="shared" si="57"/>
        <v>-1.3122121976632567E-2</v>
      </c>
      <c r="O242" s="298">
        <f t="shared" si="58"/>
        <v>4.6971811327695921E-3</v>
      </c>
      <c r="P242" s="298">
        <f t="shared" si="59"/>
        <v>3.8783726462516938E-3</v>
      </c>
      <c r="Q242" s="298">
        <f t="shared" si="60"/>
        <v>8.1801633257986076E-3</v>
      </c>
      <c r="R242" s="298">
        <f t="shared" si="61"/>
        <v>-2.3489553237567833E-2</v>
      </c>
      <c r="S242" s="299">
        <f t="shared" si="62"/>
        <v>4.2497991310466963E-3</v>
      </c>
      <c r="U242" s="303">
        <f t="shared" si="63"/>
        <v>5.5640512291835918E-3</v>
      </c>
      <c r="V242" s="86">
        <f t="shared" si="64"/>
        <v>-1.6383902547548986E-3</v>
      </c>
      <c r="W242" s="86">
        <f t="shared" si="65"/>
        <v>-1.5970625321698736E-2</v>
      </c>
      <c r="X242" s="86">
        <f t="shared" si="66"/>
        <v>4.3258536202550827E-3</v>
      </c>
      <c r="Y242" s="86">
        <f t="shared" si="67"/>
        <v>2.7693626545580649E-3</v>
      </c>
      <c r="Z242" s="86">
        <f t="shared" si="68"/>
        <v>6.6183707266212572E-3</v>
      </c>
      <c r="AA242" s="86">
        <f t="shared" si="69"/>
        <v>-1.7777632562024297E-2</v>
      </c>
      <c r="AB242" s="304">
        <f t="shared" si="70"/>
        <v>3.6374412543971352E-3</v>
      </c>
    </row>
    <row r="243" spans="2:28" x14ac:dyDescent="0.3">
      <c r="B243" s="271">
        <v>43767</v>
      </c>
      <c r="C243" s="292">
        <v>149.5</v>
      </c>
      <c r="D243" s="292">
        <v>89.5</v>
      </c>
      <c r="E243" s="292">
        <v>3010.8</v>
      </c>
      <c r="F243" s="292">
        <v>1242.5</v>
      </c>
      <c r="G243" s="292">
        <v>1814.25</v>
      </c>
      <c r="H243" s="292">
        <v>1467.0500489999999</v>
      </c>
      <c r="I243" s="292">
        <v>58.15</v>
      </c>
      <c r="J243" s="197">
        <v>2160.1999510000001</v>
      </c>
      <c r="L243" s="297">
        <f t="shared" si="55"/>
        <v>3.297936140859703E-2</v>
      </c>
      <c r="M243" s="298">
        <f t="shared" si="56"/>
        <v>6.1642448957789841E-3</v>
      </c>
      <c r="N243" s="298">
        <f t="shared" si="57"/>
        <v>-9.2733301966933628E-3</v>
      </c>
      <c r="O243" s="298">
        <f t="shared" si="58"/>
        <v>1.0924648404749037E-2</v>
      </c>
      <c r="P243" s="298">
        <f t="shared" si="59"/>
        <v>1.2005079234984993E-2</v>
      </c>
      <c r="Q243" s="298">
        <f t="shared" si="60"/>
        <v>2.4740396167937214E-2</v>
      </c>
      <c r="R243" s="298">
        <f t="shared" si="61"/>
        <v>6.0248510268063271E-2</v>
      </c>
      <c r="S243" s="299">
        <f t="shared" si="62"/>
        <v>7.0145702937171586E-3</v>
      </c>
      <c r="U243" s="303">
        <f t="shared" si="63"/>
        <v>3.4538066829105561E-2</v>
      </c>
      <c r="V243" s="86">
        <f t="shared" si="64"/>
        <v>6.6516197318349998E-5</v>
      </c>
      <c r="W243" s="86">
        <f t="shared" si="65"/>
        <v>-1.2121833541759532E-2</v>
      </c>
      <c r="X243" s="86">
        <f t="shared" si="66"/>
        <v>1.0553320892234527E-2</v>
      </c>
      <c r="Y243" s="86">
        <f t="shared" si="67"/>
        <v>1.0896069243291364E-2</v>
      </c>
      <c r="Z243" s="86">
        <f t="shared" si="68"/>
        <v>2.3178603568759865E-2</v>
      </c>
      <c r="AA243" s="86">
        <f t="shared" si="69"/>
        <v>6.5960430943606804E-2</v>
      </c>
      <c r="AB243" s="304">
        <f t="shared" si="70"/>
        <v>6.4022124170675975E-3</v>
      </c>
    </row>
    <row r="244" spans="2:28" x14ac:dyDescent="0.3">
      <c r="B244" s="271">
        <v>43765</v>
      </c>
      <c r="C244" s="292">
        <v>144.65</v>
      </c>
      <c r="D244" s="292">
        <v>88.949996999999996</v>
      </c>
      <c r="E244" s="292">
        <v>3038.85</v>
      </c>
      <c r="F244" s="292">
        <v>1229</v>
      </c>
      <c r="G244" s="292">
        <v>1792.6</v>
      </c>
      <c r="H244" s="292">
        <v>1431.1999510000001</v>
      </c>
      <c r="I244" s="292">
        <v>54.75</v>
      </c>
      <c r="J244" s="197">
        <v>2145.1000979999999</v>
      </c>
      <c r="L244" s="297">
        <f t="shared" si="55"/>
        <v>1.7082514053003737E-2</v>
      </c>
      <c r="M244" s="298">
        <f t="shared" si="56"/>
        <v>0</v>
      </c>
      <c r="N244" s="298">
        <f t="shared" si="57"/>
        <v>1.8952009362771419E-2</v>
      </c>
      <c r="O244" s="298">
        <f t="shared" si="58"/>
        <v>0</v>
      </c>
      <c r="P244" s="298">
        <f t="shared" si="59"/>
        <v>-2.0619138515287033E-3</v>
      </c>
      <c r="Q244" s="298">
        <f t="shared" si="60"/>
        <v>0</v>
      </c>
      <c r="R244" s="298">
        <f t="shared" si="61"/>
        <v>4.8653187249828832E-2</v>
      </c>
      <c r="S244" s="299">
        <f t="shared" si="62"/>
        <v>0</v>
      </c>
      <c r="U244" s="303">
        <f t="shared" si="63"/>
        <v>1.8641219473512268E-2</v>
      </c>
      <c r="V244" s="86">
        <f t="shared" si="64"/>
        <v>-6.0977286984606341E-3</v>
      </c>
      <c r="W244" s="86">
        <f t="shared" si="65"/>
        <v>1.6103506017705251E-2</v>
      </c>
      <c r="X244" s="86">
        <f t="shared" si="66"/>
        <v>-3.7132751251450931E-4</v>
      </c>
      <c r="Y244" s="86">
        <f t="shared" si="67"/>
        <v>-3.1709238432223322E-3</v>
      </c>
      <c r="Z244" s="86">
        <f t="shared" si="68"/>
        <v>-1.5617925991773505E-3</v>
      </c>
      <c r="AA244" s="86">
        <f t="shared" si="69"/>
        <v>5.4365107925372365E-2</v>
      </c>
      <c r="AB244" s="304">
        <f t="shared" si="70"/>
        <v>-6.1235787664956089E-4</v>
      </c>
    </row>
    <row r="245" spans="2:28" x14ac:dyDescent="0.3">
      <c r="B245" s="271">
        <v>43763</v>
      </c>
      <c r="C245" s="292">
        <v>142.19999999999999</v>
      </c>
      <c r="D245" s="292">
        <v>88.949996999999996</v>
      </c>
      <c r="E245" s="292">
        <v>2981.8</v>
      </c>
      <c r="F245" s="292">
        <v>1229</v>
      </c>
      <c r="G245" s="292">
        <v>1796.3</v>
      </c>
      <c r="H245" s="292">
        <v>1431.1999510000001</v>
      </c>
      <c r="I245" s="292">
        <v>52.15</v>
      </c>
      <c r="J245" s="197">
        <v>2145.1000979999999</v>
      </c>
      <c r="L245" s="297">
        <f t="shared" si="55"/>
        <v>-2.4315195832018636E-2</v>
      </c>
      <c r="M245" s="298">
        <f t="shared" si="56"/>
        <v>3.1984394195770136E-2</v>
      </c>
      <c r="N245" s="298">
        <f t="shared" si="57"/>
        <v>-1.1636373694272424E-2</v>
      </c>
      <c r="O245" s="298">
        <f t="shared" si="58"/>
        <v>-5.7604119118375733E-3</v>
      </c>
      <c r="P245" s="298">
        <f t="shared" si="59"/>
        <v>3.2340833363026576E-3</v>
      </c>
      <c r="Q245" s="298">
        <f t="shared" si="60"/>
        <v>-3.661538922057078E-3</v>
      </c>
      <c r="R245" s="298">
        <f t="shared" si="61"/>
        <v>7.6692620788254576E-2</v>
      </c>
      <c r="S245" s="299">
        <f t="shared" si="62"/>
        <v>5.4926569212953771E-3</v>
      </c>
      <c r="U245" s="303">
        <f t="shared" si="63"/>
        <v>-2.2756490411510105E-2</v>
      </c>
      <c r="V245" s="86">
        <f t="shared" si="64"/>
        <v>2.5886665497309502E-2</v>
      </c>
      <c r="W245" s="86">
        <f t="shared" si="65"/>
        <v>-1.4484877039338593E-2</v>
      </c>
      <c r="X245" s="86">
        <f t="shared" si="66"/>
        <v>-6.1317394243520828E-3</v>
      </c>
      <c r="Y245" s="86">
        <f t="shared" si="67"/>
        <v>2.1250733446090287E-3</v>
      </c>
      <c r="Z245" s="86">
        <f t="shared" si="68"/>
        <v>-5.2233315212344283E-3</v>
      </c>
      <c r="AA245" s="86">
        <f t="shared" si="69"/>
        <v>8.2404541463798109E-2</v>
      </c>
      <c r="AB245" s="304">
        <f t="shared" si="70"/>
        <v>4.880299044645816E-3</v>
      </c>
    </row>
    <row r="246" spans="2:28" x14ac:dyDescent="0.3">
      <c r="B246" s="271">
        <v>43762</v>
      </c>
      <c r="C246" s="292">
        <v>145.69999999999999</v>
      </c>
      <c r="D246" s="292">
        <v>86.150002000000001</v>
      </c>
      <c r="E246" s="292">
        <v>3016.7</v>
      </c>
      <c r="F246" s="292">
        <v>1236.099976</v>
      </c>
      <c r="G246" s="292">
        <v>1790.5</v>
      </c>
      <c r="H246" s="292">
        <v>1436.4499510000001</v>
      </c>
      <c r="I246" s="292">
        <v>48.3</v>
      </c>
      <c r="J246" s="197">
        <v>2133.3500979999999</v>
      </c>
      <c r="L246" s="297">
        <f t="shared" si="55"/>
        <v>-3.7677729108068015E-3</v>
      </c>
      <c r="M246" s="298">
        <f t="shared" si="56"/>
        <v>-5.7870530537161759E-3</v>
      </c>
      <c r="N246" s="298">
        <f t="shared" si="57"/>
        <v>1.0111612794655988E-2</v>
      </c>
      <c r="O246" s="298">
        <f t="shared" si="58"/>
        <v>-4.4396086211847515E-3</v>
      </c>
      <c r="P246" s="298">
        <f t="shared" si="59"/>
        <v>1.2985370354583187E-2</v>
      </c>
      <c r="Q246" s="298">
        <f t="shared" si="60"/>
        <v>3.1145863705851977E-2</v>
      </c>
      <c r="R246" s="298">
        <f t="shared" si="61"/>
        <v>-5.8307971386935213E-2</v>
      </c>
      <c r="S246" s="299">
        <f t="shared" si="62"/>
        <v>4.6921669581976162E-5</v>
      </c>
      <c r="U246" s="303">
        <f t="shared" si="63"/>
        <v>-2.2090674902982711E-3</v>
      </c>
      <c r="V246" s="86">
        <f t="shared" si="64"/>
        <v>-1.1884781752176811E-2</v>
      </c>
      <c r="W246" s="86">
        <f t="shared" si="65"/>
        <v>7.2631094495898187E-3</v>
      </c>
      <c r="X246" s="86">
        <f t="shared" si="66"/>
        <v>-4.8109361336992609E-3</v>
      </c>
      <c r="Y246" s="86">
        <f t="shared" si="67"/>
        <v>1.1876360362889558E-2</v>
      </c>
      <c r="Z246" s="86">
        <f t="shared" si="68"/>
        <v>2.9584071106674627E-2</v>
      </c>
      <c r="AA246" s="86">
        <f t="shared" si="69"/>
        <v>-5.259605071139168E-2</v>
      </c>
      <c r="AB246" s="304">
        <f t="shared" si="70"/>
        <v>-5.6543620706758476E-4</v>
      </c>
    </row>
    <row r="247" spans="2:28" x14ac:dyDescent="0.3">
      <c r="B247" s="271">
        <v>43761</v>
      </c>
      <c r="C247" s="292">
        <v>146.25</v>
      </c>
      <c r="D247" s="292">
        <v>86.650002000000001</v>
      </c>
      <c r="E247" s="292">
        <v>2986.35</v>
      </c>
      <c r="F247" s="292">
        <v>1241.599976</v>
      </c>
      <c r="G247" s="292">
        <v>1767.4</v>
      </c>
      <c r="H247" s="292">
        <v>1392.400024</v>
      </c>
      <c r="I247" s="292">
        <v>51.2</v>
      </c>
      <c r="J247" s="197">
        <v>2133.25</v>
      </c>
      <c r="L247" s="297">
        <f t="shared" si="55"/>
        <v>-1.963502484879168E-2</v>
      </c>
      <c r="M247" s="298">
        <f t="shared" si="56"/>
        <v>5.7724676927563138E-4</v>
      </c>
      <c r="N247" s="298">
        <f t="shared" si="57"/>
        <v>-1.6728846098196816E-3</v>
      </c>
      <c r="O247" s="298">
        <f t="shared" si="58"/>
        <v>1.8541074897802895E-3</v>
      </c>
      <c r="P247" s="298">
        <f t="shared" si="59"/>
        <v>-7.2161774409270456E-3</v>
      </c>
      <c r="Q247" s="298">
        <f t="shared" si="60"/>
        <v>-1.5499766664607235E-2</v>
      </c>
      <c r="R247" s="298">
        <f t="shared" si="61"/>
        <v>-1.1650617219975139E-2</v>
      </c>
      <c r="S247" s="299">
        <f t="shared" si="62"/>
        <v>2.7695186759746594E-3</v>
      </c>
      <c r="U247" s="303">
        <f t="shared" si="63"/>
        <v>-1.8076319428283149E-2</v>
      </c>
      <c r="V247" s="86">
        <f t="shared" si="64"/>
        <v>-5.5204819291850031E-3</v>
      </c>
      <c r="W247" s="86">
        <f t="shared" si="65"/>
        <v>-4.5213879548858509E-3</v>
      </c>
      <c r="X247" s="86">
        <f t="shared" si="66"/>
        <v>1.4827799772657801E-3</v>
      </c>
      <c r="Y247" s="86">
        <f t="shared" si="67"/>
        <v>-8.3251874326206749E-3</v>
      </c>
      <c r="Z247" s="86">
        <f t="shared" si="68"/>
        <v>-1.7061559263784585E-2</v>
      </c>
      <c r="AA247" s="86">
        <f t="shared" si="69"/>
        <v>-5.9386965444316034E-3</v>
      </c>
      <c r="AB247" s="304">
        <f t="shared" si="70"/>
        <v>2.1571607993250983E-3</v>
      </c>
    </row>
    <row r="248" spans="2:28" x14ac:dyDescent="0.3">
      <c r="B248" s="271">
        <v>43760</v>
      </c>
      <c r="C248" s="292">
        <v>149.15</v>
      </c>
      <c r="D248" s="292">
        <v>86.599997999999999</v>
      </c>
      <c r="E248" s="292">
        <v>2991.35</v>
      </c>
      <c r="F248" s="292">
        <v>1239.3000489999999</v>
      </c>
      <c r="G248" s="292">
        <v>1780.2</v>
      </c>
      <c r="H248" s="292">
        <v>1414.150024</v>
      </c>
      <c r="I248" s="292">
        <v>51.8</v>
      </c>
      <c r="J248" s="197">
        <v>2127.3500979999999</v>
      </c>
      <c r="L248" s="297">
        <f t="shared" si="55"/>
        <v>-7.3480624545593631E-3</v>
      </c>
      <c r="M248" s="298">
        <f t="shared" si="56"/>
        <v>-3.4055505185755029E-2</v>
      </c>
      <c r="N248" s="298">
        <f t="shared" si="57"/>
        <v>-3.0891694556109222E-2</v>
      </c>
      <c r="O248" s="298">
        <f t="shared" si="58"/>
        <v>8.3459130432419551E-3</v>
      </c>
      <c r="P248" s="298">
        <f t="shared" si="59"/>
        <v>-2.0323472971914169E-2</v>
      </c>
      <c r="Q248" s="298">
        <f t="shared" si="60"/>
        <v>-1.5544620688840802E-3</v>
      </c>
      <c r="R248" s="298">
        <f t="shared" si="61"/>
        <v>7.7519768043179237E-3</v>
      </c>
      <c r="S248" s="299">
        <f t="shared" si="62"/>
        <v>9.6831322230153862E-3</v>
      </c>
      <c r="U248" s="303">
        <f t="shared" si="63"/>
        <v>-5.7893570340508326E-3</v>
      </c>
      <c r="V248" s="86">
        <f t="shared" si="64"/>
        <v>-4.0153233884215662E-2</v>
      </c>
      <c r="W248" s="86">
        <f t="shared" si="65"/>
        <v>-3.3740197901175391E-2</v>
      </c>
      <c r="X248" s="86">
        <f t="shared" si="66"/>
        <v>7.9745855307274457E-3</v>
      </c>
      <c r="Y248" s="86">
        <f t="shared" si="67"/>
        <v>-2.1432482963607797E-2</v>
      </c>
      <c r="Z248" s="86">
        <f t="shared" si="68"/>
        <v>-3.1162546680614306E-3</v>
      </c>
      <c r="AA248" s="86">
        <f t="shared" si="69"/>
        <v>1.3463897479861459E-2</v>
      </c>
      <c r="AB248" s="304">
        <f t="shared" si="70"/>
        <v>9.0707743463658251E-3</v>
      </c>
    </row>
    <row r="249" spans="2:28" x14ac:dyDescent="0.3">
      <c r="B249" s="271">
        <v>43756</v>
      </c>
      <c r="C249" s="292">
        <v>150.25</v>
      </c>
      <c r="D249" s="292">
        <v>89.599997999999999</v>
      </c>
      <c r="E249" s="292">
        <v>3085.2</v>
      </c>
      <c r="F249" s="292">
        <v>1229</v>
      </c>
      <c r="G249" s="292">
        <v>1816.75</v>
      </c>
      <c r="H249" s="292">
        <v>1416.349976</v>
      </c>
      <c r="I249" s="292">
        <v>51.4</v>
      </c>
      <c r="J249" s="197">
        <v>2106.8500979999999</v>
      </c>
      <c r="L249" s="297">
        <f t="shared" si="55"/>
        <v>1.3063324271430546E-2</v>
      </c>
      <c r="M249" s="298">
        <f t="shared" si="56"/>
        <v>8.4057655686438811E-3</v>
      </c>
      <c r="N249" s="298">
        <f t="shared" si="57"/>
        <v>1.9094010279841329E-2</v>
      </c>
      <c r="O249" s="298">
        <f t="shared" si="58"/>
        <v>7.3499718387324883E-3</v>
      </c>
      <c r="P249" s="298">
        <f t="shared" si="59"/>
        <v>2.4524336839399628E-3</v>
      </c>
      <c r="Q249" s="298">
        <f t="shared" si="60"/>
        <v>1.4114016521969841E-2</v>
      </c>
      <c r="R249" s="298">
        <f t="shared" si="61"/>
        <v>8.1015943760088679E-2</v>
      </c>
      <c r="S249" s="299">
        <f t="shared" si="62"/>
        <v>1.424941395953347E-3</v>
      </c>
      <c r="U249" s="303">
        <f t="shared" si="63"/>
        <v>1.4622029691939075E-2</v>
      </c>
      <c r="V249" s="86">
        <f t="shared" si="64"/>
        <v>2.3080368701832469E-3</v>
      </c>
      <c r="W249" s="86">
        <f t="shared" si="65"/>
        <v>1.624550693477516E-2</v>
      </c>
      <c r="X249" s="86">
        <f t="shared" si="66"/>
        <v>6.9786443262179788E-3</v>
      </c>
      <c r="Y249" s="86">
        <f t="shared" si="67"/>
        <v>1.3434236922463339E-3</v>
      </c>
      <c r="Z249" s="86">
        <f t="shared" si="68"/>
        <v>1.2552223922792489E-2</v>
      </c>
      <c r="AA249" s="86">
        <f t="shared" si="69"/>
        <v>8.6727864435632213E-2</v>
      </c>
      <c r="AB249" s="304">
        <f t="shared" si="70"/>
        <v>8.1258351930378614E-4</v>
      </c>
    </row>
    <row r="250" spans="2:28" x14ac:dyDescent="0.3">
      <c r="B250" s="271">
        <v>43755</v>
      </c>
      <c r="C250" s="292">
        <v>148.30000000000001</v>
      </c>
      <c r="D250" s="292">
        <v>88.849997999999999</v>
      </c>
      <c r="E250" s="292">
        <v>3026.85</v>
      </c>
      <c r="F250" s="292">
        <v>1220</v>
      </c>
      <c r="G250" s="292">
        <v>1812.3</v>
      </c>
      <c r="H250" s="292">
        <v>1396.5</v>
      </c>
      <c r="I250" s="292">
        <v>47.4</v>
      </c>
      <c r="J250" s="197">
        <v>2103.8500979999999</v>
      </c>
      <c r="L250" s="297">
        <f t="shared" si="55"/>
        <v>-1.0731155964665539E-2</v>
      </c>
      <c r="M250" s="298">
        <f t="shared" si="56"/>
        <v>0.10180277008068668</v>
      </c>
      <c r="N250" s="298">
        <f t="shared" si="57"/>
        <v>2.8452815675060234E-3</v>
      </c>
      <c r="O250" s="298">
        <f t="shared" si="58"/>
        <v>-9.0121345726369413E-4</v>
      </c>
      <c r="P250" s="298">
        <f t="shared" si="59"/>
        <v>2.6049544504052745E-2</v>
      </c>
      <c r="Q250" s="298">
        <f t="shared" si="60"/>
        <v>1.7444525079827772E-2</v>
      </c>
      <c r="R250" s="298">
        <f t="shared" si="61"/>
        <v>0.14383139280259363</v>
      </c>
      <c r="S250" s="299">
        <f t="shared" si="62"/>
        <v>1.5737463726166835E-2</v>
      </c>
      <c r="U250" s="303">
        <f t="shared" si="63"/>
        <v>-9.1724505441570098E-3</v>
      </c>
      <c r="V250" s="86">
        <f t="shared" si="64"/>
        <v>9.5705041382226047E-2</v>
      </c>
      <c r="W250" s="86">
        <f t="shared" si="65"/>
        <v>-3.2217775601459109E-6</v>
      </c>
      <c r="X250" s="86">
        <f t="shared" si="66"/>
        <v>-1.2725409697782034E-3</v>
      </c>
      <c r="Y250" s="86">
        <f t="shared" si="67"/>
        <v>2.4940534512359117E-2</v>
      </c>
      <c r="Z250" s="86">
        <f t="shared" si="68"/>
        <v>1.5882732480650422E-2</v>
      </c>
      <c r="AA250" s="86">
        <f t="shared" si="69"/>
        <v>0.14954331347813718</v>
      </c>
      <c r="AB250" s="304">
        <f t="shared" si="70"/>
        <v>1.5125105849517274E-2</v>
      </c>
    </row>
    <row r="251" spans="2:28" x14ac:dyDescent="0.3">
      <c r="B251" s="271">
        <v>43754</v>
      </c>
      <c r="C251" s="292">
        <v>149.9</v>
      </c>
      <c r="D251" s="292">
        <v>80.25</v>
      </c>
      <c r="E251" s="292">
        <v>3018.25</v>
      </c>
      <c r="F251" s="292">
        <v>1221.099976</v>
      </c>
      <c r="G251" s="292">
        <v>1765.7</v>
      </c>
      <c r="H251" s="292">
        <v>1372.349976</v>
      </c>
      <c r="I251" s="292">
        <v>41.05</v>
      </c>
      <c r="J251" s="197">
        <v>2071</v>
      </c>
      <c r="L251" s="297">
        <f t="shared" si="55"/>
        <v>-2.3732161918699767E-2</v>
      </c>
      <c r="M251" s="298">
        <f t="shared" si="56"/>
        <v>3.7453602536148406E-3</v>
      </c>
      <c r="N251" s="298">
        <f t="shared" si="57"/>
        <v>-1.1398387314054492E-2</v>
      </c>
      <c r="O251" s="298">
        <f t="shared" si="58"/>
        <v>-1.5957068050976258E-3</v>
      </c>
      <c r="P251" s="298">
        <f t="shared" si="59"/>
        <v>-2.0960193473570032E-2</v>
      </c>
      <c r="Q251" s="298">
        <f t="shared" si="60"/>
        <v>5.993039680467699E-3</v>
      </c>
      <c r="R251" s="298">
        <f t="shared" si="61"/>
        <v>1.1022769290750065E-2</v>
      </c>
      <c r="S251" s="299">
        <f t="shared" si="62"/>
        <v>3.1920025924334688E-3</v>
      </c>
      <c r="U251" s="303">
        <f t="shared" si="63"/>
        <v>-2.2173456498191236E-2</v>
      </c>
      <c r="V251" s="86">
        <f t="shared" si="64"/>
        <v>-2.3523684448457935E-3</v>
      </c>
      <c r="W251" s="86">
        <f t="shared" si="65"/>
        <v>-1.4246890659120661E-2</v>
      </c>
      <c r="X251" s="86">
        <f t="shared" si="66"/>
        <v>-1.9670343176121353E-3</v>
      </c>
      <c r="Y251" s="86">
        <f t="shared" si="67"/>
        <v>-2.206920346526366E-2</v>
      </c>
      <c r="Z251" s="86">
        <f t="shared" si="68"/>
        <v>4.4312470812903487E-3</v>
      </c>
      <c r="AA251" s="86">
        <f t="shared" si="69"/>
        <v>1.6734689966293601E-2</v>
      </c>
      <c r="AB251" s="304">
        <f t="shared" si="70"/>
        <v>2.5796447157839077E-3</v>
      </c>
    </row>
    <row r="252" spans="2:28" x14ac:dyDescent="0.3">
      <c r="B252" s="271">
        <v>43753</v>
      </c>
      <c r="C252" s="292">
        <v>153.5</v>
      </c>
      <c r="D252" s="292">
        <v>79.949996999999996</v>
      </c>
      <c r="E252" s="292">
        <v>3052.85</v>
      </c>
      <c r="F252" s="292">
        <v>1223.0500489999999</v>
      </c>
      <c r="G252" s="292">
        <v>1803.1</v>
      </c>
      <c r="H252" s="292">
        <v>1364.150024</v>
      </c>
      <c r="I252" s="292">
        <v>40.6</v>
      </c>
      <c r="J252" s="197">
        <v>2064.3999020000001</v>
      </c>
      <c r="L252" s="297">
        <f t="shared" si="55"/>
        <v>3.7840558513150366E-2</v>
      </c>
      <c r="M252" s="298">
        <f t="shared" si="56"/>
        <v>1.0056590161011849E-2</v>
      </c>
      <c r="N252" s="298">
        <f t="shared" si="57"/>
        <v>-9.1137229741479198E-3</v>
      </c>
      <c r="O252" s="298">
        <f t="shared" si="58"/>
        <v>1.5366241455150502E-2</v>
      </c>
      <c r="P252" s="298">
        <f t="shared" si="59"/>
        <v>2.4432240483975177E-3</v>
      </c>
      <c r="Q252" s="298">
        <f t="shared" si="60"/>
        <v>4.5185125062943985E-3</v>
      </c>
      <c r="R252" s="298">
        <f t="shared" si="61"/>
        <v>1.2391732295163457E-2</v>
      </c>
      <c r="S252" s="299">
        <f t="shared" si="62"/>
        <v>2.4592662145845431E-2</v>
      </c>
      <c r="U252" s="303">
        <f t="shared" si="63"/>
        <v>3.9399263933658897E-2</v>
      </c>
      <c r="V252" s="86">
        <f t="shared" si="64"/>
        <v>3.9588614625512145E-3</v>
      </c>
      <c r="W252" s="86">
        <f t="shared" si="65"/>
        <v>-1.1962226319214089E-2</v>
      </c>
      <c r="X252" s="86">
        <f t="shared" si="66"/>
        <v>1.4994913942635992E-2</v>
      </c>
      <c r="Y252" s="86">
        <f t="shared" si="67"/>
        <v>1.3342140567038888E-3</v>
      </c>
      <c r="Z252" s="86">
        <f t="shared" si="68"/>
        <v>2.9567199071170482E-3</v>
      </c>
      <c r="AA252" s="86">
        <f t="shared" si="69"/>
        <v>1.8103652970706992E-2</v>
      </c>
      <c r="AB252" s="304">
        <f t="shared" si="70"/>
        <v>2.3980304269195871E-2</v>
      </c>
    </row>
    <row r="253" spans="2:28" x14ac:dyDescent="0.3">
      <c r="B253" s="271">
        <v>43752</v>
      </c>
      <c r="C253" s="292">
        <v>147.80000000000001</v>
      </c>
      <c r="D253" s="292">
        <v>79.150002000000001</v>
      </c>
      <c r="E253" s="292">
        <v>3080.8</v>
      </c>
      <c r="F253" s="292">
        <v>1204.400024</v>
      </c>
      <c r="G253" s="292">
        <v>1798.7</v>
      </c>
      <c r="H253" s="292">
        <v>1358</v>
      </c>
      <c r="I253" s="292">
        <v>40.1</v>
      </c>
      <c r="J253" s="197">
        <v>2014.25</v>
      </c>
      <c r="L253" s="297">
        <f t="shared" si="55"/>
        <v>5.0873435140974636E-3</v>
      </c>
      <c r="M253" s="298">
        <f t="shared" si="56"/>
        <v>5.0665338897560377E-3</v>
      </c>
      <c r="N253" s="298">
        <f t="shared" si="57"/>
        <v>7.7716166481056189E-3</v>
      </c>
      <c r="O253" s="298">
        <f t="shared" si="58"/>
        <v>4.6604402177984391E-3</v>
      </c>
      <c r="P253" s="298">
        <f t="shared" si="59"/>
        <v>4.7089068468759709E-3</v>
      </c>
      <c r="Q253" s="298">
        <f t="shared" si="60"/>
        <v>3.9843807214070184E-3</v>
      </c>
      <c r="R253" s="298">
        <f t="shared" si="61"/>
        <v>1.2547216052088556E-2</v>
      </c>
      <c r="S253" s="299">
        <f t="shared" si="62"/>
        <v>4.7774237734906208E-3</v>
      </c>
      <c r="U253" s="303">
        <f t="shared" si="63"/>
        <v>6.646048934605994E-3</v>
      </c>
      <c r="V253" s="86">
        <f t="shared" si="64"/>
        <v>-1.0311948087045964E-3</v>
      </c>
      <c r="W253" s="86">
        <f t="shared" si="65"/>
        <v>4.9231133030394492E-3</v>
      </c>
      <c r="X253" s="86">
        <f t="shared" si="66"/>
        <v>4.2891127052839297E-3</v>
      </c>
      <c r="Y253" s="86">
        <f t="shared" si="67"/>
        <v>3.599896855182342E-3</v>
      </c>
      <c r="Z253" s="86">
        <f t="shared" si="68"/>
        <v>2.4225881222296681E-3</v>
      </c>
      <c r="AA253" s="86">
        <f t="shared" si="69"/>
        <v>1.8259136727632092E-2</v>
      </c>
      <c r="AB253" s="304">
        <f t="shared" si="70"/>
        <v>4.1650658968410597E-3</v>
      </c>
    </row>
    <row r="254" spans="2:28" x14ac:dyDescent="0.3">
      <c r="B254" s="271">
        <v>43749</v>
      </c>
      <c r="C254" s="292">
        <v>147.05000000000001</v>
      </c>
      <c r="D254" s="292">
        <v>78.75</v>
      </c>
      <c r="E254" s="292">
        <v>3056.95</v>
      </c>
      <c r="F254" s="292">
        <v>1198.8000489999999</v>
      </c>
      <c r="G254" s="292">
        <v>1790.25</v>
      </c>
      <c r="H254" s="292">
        <v>1352.599976</v>
      </c>
      <c r="I254" s="292">
        <v>39.6</v>
      </c>
      <c r="J254" s="197">
        <v>2004.650024</v>
      </c>
      <c r="L254" s="297">
        <f t="shared" si="55"/>
        <v>4.0949510300505712E-2</v>
      </c>
      <c r="M254" s="298">
        <f t="shared" si="56"/>
        <v>6.4919505448909939E-2</v>
      </c>
      <c r="N254" s="298">
        <f t="shared" si="57"/>
        <v>2.1509049776661567E-2</v>
      </c>
      <c r="O254" s="298">
        <f t="shared" si="58"/>
        <v>-1.458728604696644E-3</v>
      </c>
      <c r="P254" s="298">
        <f t="shared" si="59"/>
        <v>6.5287369215096007E-3</v>
      </c>
      <c r="Q254" s="298">
        <f t="shared" si="60"/>
        <v>-7.4760685471558092E-3</v>
      </c>
      <c r="R254" s="298">
        <f t="shared" si="61"/>
        <v>-3.352269203864356E-2</v>
      </c>
      <c r="S254" s="299">
        <f t="shared" si="62"/>
        <v>1.8070670309871518E-2</v>
      </c>
      <c r="U254" s="303">
        <f t="shared" si="63"/>
        <v>4.2508215721014243E-2</v>
      </c>
      <c r="V254" s="86">
        <f t="shared" si="64"/>
        <v>5.8821776750449306E-2</v>
      </c>
      <c r="W254" s="86">
        <f t="shared" si="65"/>
        <v>1.8660546431595398E-2</v>
      </c>
      <c r="X254" s="86">
        <f t="shared" si="66"/>
        <v>-1.8300561172111532E-3</v>
      </c>
      <c r="Y254" s="86">
        <f t="shared" si="67"/>
        <v>5.4197269298159722E-3</v>
      </c>
      <c r="Z254" s="86">
        <f t="shared" si="68"/>
        <v>-9.0378611463331603E-3</v>
      </c>
      <c r="AA254" s="86">
        <f t="shared" si="69"/>
        <v>-2.7810771363100024E-2</v>
      </c>
      <c r="AB254" s="304">
        <f t="shared" si="70"/>
        <v>1.7458312433221958E-2</v>
      </c>
    </row>
    <row r="255" spans="2:28" x14ac:dyDescent="0.3">
      <c r="B255" s="271">
        <v>43748</v>
      </c>
      <c r="C255" s="292">
        <v>141.15</v>
      </c>
      <c r="D255" s="292">
        <v>73.800003000000004</v>
      </c>
      <c r="E255" s="292">
        <v>2991.9</v>
      </c>
      <c r="F255" s="292">
        <v>1200.5500489999999</v>
      </c>
      <c r="G255" s="292">
        <v>1778.6</v>
      </c>
      <c r="H255" s="292">
        <v>1362.75</v>
      </c>
      <c r="I255" s="292">
        <v>40.950000000000003</v>
      </c>
      <c r="J255" s="197">
        <v>1968.75</v>
      </c>
      <c r="L255" s="297">
        <f t="shared" si="55"/>
        <v>-3.1726558501660729E-2</v>
      </c>
      <c r="M255" s="298">
        <f t="shared" si="56"/>
        <v>3.236090986836089E-2</v>
      </c>
      <c r="N255" s="298">
        <f t="shared" si="57"/>
        <v>-2.9869447763393665E-3</v>
      </c>
      <c r="O255" s="298">
        <f t="shared" si="58"/>
        <v>-2.272916570471278E-2</v>
      </c>
      <c r="P255" s="298">
        <f t="shared" si="59"/>
        <v>2.8997359883076077E-3</v>
      </c>
      <c r="Q255" s="298">
        <f t="shared" si="60"/>
        <v>2.8280954571518815E-2</v>
      </c>
      <c r="R255" s="298">
        <f t="shared" si="61"/>
        <v>-5.4645423078809867E-2</v>
      </c>
      <c r="S255" s="299">
        <f t="shared" si="62"/>
        <v>1.0595618371462695E-2</v>
      </c>
      <c r="U255" s="303">
        <f t="shared" si="63"/>
        <v>-3.0167853081152197E-2</v>
      </c>
      <c r="V255" s="86">
        <f t="shared" si="64"/>
        <v>2.6263181169900257E-2</v>
      </c>
      <c r="W255" s="86">
        <f t="shared" si="65"/>
        <v>-5.8354481214055358E-3</v>
      </c>
      <c r="X255" s="86">
        <f t="shared" si="66"/>
        <v>-2.3100493217227288E-2</v>
      </c>
      <c r="Y255" s="86">
        <f t="shared" si="67"/>
        <v>1.7907259966139788E-3</v>
      </c>
      <c r="Z255" s="86">
        <f t="shared" si="68"/>
        <v>2.6719161972341466E-2</v>
      </c>
      <c r="AA255" s="86">
        <f t="shared" si="69"/>
        <v>-4.8933502403266334E-2</v>
      </c>
      <c r="AB255" s="304">
        <f t="shared" si="70"/>
        <v>9.9832604948131339E-3</v>
      </c>
    </row>
    <row r="256" spans="2:28" x14ac:dyDescent="0.3">
      <c r="B256" s="271">
        <v>43747</v>
      </c>
      <c r="C256" s="292">
        <v>145.69999999999999</v>
      </c>
      <c r="D256" s="292">
        <v>71.449996999999996</v>
      </c>
      <c r="E256" s="292">
        <v>3000.85</v>
      </c>
      <c r="F256" s="292">
        <v>1228.150024</v>
      </c>
      <c r="G256" s="292">
        <v>1773.45</v>
      </c>
      <c r="H256" s="292">
        <v>1324.75</v>
      </c>
      <c r="I256" s="292">
        <v>43.25</v>
      </c>
      <c r="J256" s="197">
        <v>1948</v>
      </c>
      <c r="L256" s="297">
        <f t="shared" si="55"/>
        <v>2.1155635541649943E-2</v>
      </c>
      <c r="M256" s="298">
        <f t="shared" si="56"/>
        <v>4.8755089205766093E-2</v>
      </c>
      <c r="N256" s="298">
        <f t="shared" si="57"/>
        <v>5.563877645950263E-3</v>
      </c>
      <c r="O256" s="298">
        <f t="shared" si="58"/>
        <v>3.4164105342921809E-2</v>
      </c>
      <c r="P256" s="298">
        <f t="shared" si="59"/>
        <v>2.7612798770532021E-2</v>
      </c>
      <c r="Q256" s="298">
        <f t="shared" si="60"/>
        <v>1.1120310532458912E-2</v>
      </c>
      <c r="R256" s="298">
        <f t="shared" si="61"/>
        <v>-5.4006373663089101E-2</v>
      </c>
      <c r="S256" s="299">
        <f t="shared" si="62"/>
        <v>4.0894340242728618E-3</v>
      </c>
      <c r="U256" s="303">
        <f t="shared" si="63"/>
        <v>2.2714340962158474E-2</v>
      </c>
      <c r="V256" s="86">
        <f t="shared" si="64"/>
        <v>4.265736050730546E-2</v>
      </c>
      <c r="W256" s="86">
        <f t="shared" si="65"/>
        <v>2.7153743008840937E-3</v>
      </c>
      <c r="X256" s="86">
        <f t="shared" si="66"/>
        <v>3.3792777830407301E-2</v>
      </c>
      <c r="Y256" s="86">
        <f t="shared" si="67"/>
        <v>2.6503788778838393E-2</v>
      </c>
      <c r="Z256" s="86">
        <f t="shared" si="68"/>
        <v>9.5585179332815604E-3</v>
      </c>
      <c r="AA256" s="86">
        <f t="shared" si="69"/>
        <v>-4.8294452987545568E-2</v>
      </c>
      <c r="AB256" s="304">
        <f t="shared" si="70"/>
        <v>3.4770761476233007E-3</v>
      </c>
    </row>
    <row r="257" spans="2:28" x14ac:dyDescent="0.3">
      <c r="B257" s="271">
        <v>43745</v>
      </c>
      <c r="C257" s="292">
        <v>142.65</v>
      </c>
      <c r="D257" s="292">
        <v>68.050003000000004</v>
      </c>
      <c r="E257" s="292">
        <v>2984.2</v>
      </c>
      <c r="F257" s="292">
        <v>1186.900024</v>
      </c>
      <c r="G257" s="292">
        <v>1725.15</v>
      </c>
      <c r="H257" s="292">
        <v>1310.099976</v>
      </c>
      <c r="I257" s="292">
        <v>45.65</v>
      </c>
      <c r="J257" s="197">
        <v>1940.0500489999999</v>
      </c>
      <c r="L257" s="297">
        <f t="shared" si="55"/>
        <v>-4.5462571746172457E-3</v>
      </c>
      <c r="M257" s="298">
        <f t="shared" si="56"/>
        <v>4.3550438913463552E-2</v>
      </c>
      <c r="N257" s="298">
        <f t="shared" si="57"/>
        <v>-5.8304332493610295E-3</v>
      </c>
      <c r="O257" s="298">
        <f t="shared" si="58"/>
        <v>-2.3562470124232956E-3</v>
      </c>
      <c r="P257" s="298">
        <f t="shared" si="59"/>
        <v>4.3483933372048995E-4</v>
      </c>
      <c r="Q257" s="298">
        <f t="shared" si="60"/>
        <v>1.527767493452572E-3</v>
      </c>
      <c r="R257" s="298">
        <f t="shared" si="61"/>
        <v>7.9768922593112968E-2</v>
      </c>
      <c r="S257" s="299">
        <f t="shared" si="62"/>
        <v>-2.13678500559231E-3</v>
      </c>
      <c r="U257" s="303">
        <f t="shared" si="63"/>
        <v>-2.9875517541087153E-3</v>
      </c>
      <c r="V257" s="86">
        <f t="shared" si="64"/>
        <v>3.7452710215002918E-2</v>
      </c>
      <c r="W257" s="86">
        <f t="shared" si="65"/>
        <v>-8.6789365944271984E-3</v>
      </c>
      <c r="X257" s="86">
        <f t="shared" si="66"/>
        <v>-2.727574524937805E-3</v>
      </c>
      <c r="Y257" s="86">
        <f t="shared" si="67"/>
        <v>-6.7417065797313895E-4</v>
      </c>
      <c r="Z257" s="86">
        <f t="shared" si="68"/>
        <v>-3.4025105724778569E-5</v>
      </c>
      <c r="AA257" s="86">
        <f t="shared" si="69"/>
        <v>8.5480843268656501E-2</v>
      </c>
      <c r="AB257" s="304">
        <f t="shared" si="70"/>
        <v>-2.7491428822418711E-3</v>
      </c>
    </row>
    <row r="258" spans="2:28" x14ac:dyDescent="0.3">
      <c r="B258" s="271">
        <v>43742</v>
      </c>
      <c r="C258" s="292">
        <v>143.30000000000001</v>
      </c>
      <c r="D258" s="292">
        <v>65.150002000000001</v>
      </c>
      <c r="E258" s="292">
        <v>3001.65</v>
      </c>
      <c r="F258" s="292">
        <v>1189.6999510000001</v>
      </c>
      <c r="G258" s="292">
        <v>1724.4</v>
      </c>
      <c r="H258" s="292">
        <v>1308.099976</v>
      </c>
      <c r="I258" s="292">
        <v>42.15</v>
      </c>
      <c r="J258" s="197">
        <v>1944.1999510000001</v>
      </c>
      <c r="L258" s="297">
        <f t="shared" si="55"/>
        <v>-7.6468916245996717E-3</v>
      </c>
      <c r="M258" s="298">
        <f t="shared" si="56"/>
        <v>6.2545128411092429E-2</v>
      </c>
      <c r="N258" s="298">
        <f t="shared" si="57"/>
        <v>2.660296980113059E-2</v>
      </c>
      <c r="O258" s="298">
        <f t="shared" si="58"/>
        <v>-2.8055376166475611E-2</v>
      </c>
      <c r="P258" s="298">
        <f t="shared" si="59"/>
        <v>-1.413644397254769E-2</v>
      </c>
      <c r="Q258" s="298">
        <f t="shared" si="60"/>
        <v>-2.2526958894201806E-3</v>
      </c>
      <c r="R258" s="298">
        <f t="shared" si="61"/>
        <v>-8.2693914825067421E-3</v>
      </c>
      <c r="S258" s="299">
        <f t="shared" si="62"/>
        <v>-9.1393137904668669E-3</v>
      </c>
      <c r="U258" s="303">
        <f t="shared" si="63"/>
        <v>-6.0881862040911413E-3</v>
      </c>
      <c r="V258" s="86">
        <f t="shared" si="64"/>
        <v>5.6447399712631796E-2</v>
      </c>
      <c r="W258" s="86">
        <f t="shared" si="65"/>
        <v>2.3754466456064421E-2</v>
      </c>
      <c r="X258" s="86">
        <f t="shared" si="66"/>
        <v>-2.8426703678990119E-2</v>
      </c>
      <c r="Y258" s="86">
        <f t="shared" si="67"/>
        <v>-1.524545396424132E-2</v>
      </c>
      <c r="Z258" s="86">
        <f t="shared" si="68"/>
        <v>-3.8144884885975309E-3</v>
      </c>
      <c r="AA258" s="86">
        <f t="shared" si="69"/>
        <v>-2.5574708069632064E-3</v>
      </c>
      <c r="AB258" s="304">
        <f t="shared" si="70"/>
        <v>-9.751671667116428E-3</v>
      </c>
    </row>
    <row r="259" spans="2:28" x14ac:dyDescent="0.3">
      <c r="B259" s="271">
        <v>43741</v>
      </c>
      <c r="C259" s="292">
        <v>144.4</v>
      </c>
      <c r="D259" s="292">
        <v>61.200001</v>
      </c>
      <c r="E259" s="292">
        <v>2922.85</v>
      </c>
      <c r="F259" s="292">
        <v>1223.5500489999999</v>
      </c>
      <c r="G259" s="292">
        <v>1748.95</v>
      </c>
      <c r="H259" s="292">
        <v>1311.0500489999999</v>
      </c>
      <c r="I259" s="292">
        <v>42.5</v>
      </c>
      <c r="J259" s="197">
        <v>1962.0500489999999</v>
      </c>
      <c r="L259" s="297">
        <f t="shared" si="55"/>
        <v>-4.667739433558446E-2</v>
      </c>
      <c r="M259" s="298">
        <f t="shared" si="56"/>
        <v>7.9906567705754342E-2</v>
      </c>
      <c r="N259" s="298">
        <f t="shared" si="57"/>
        <v>6.8489303469026295E-3</v>
      </c>
      <c r="O259" s="298">
        <f t="shared" si="58"/>
        <v>-2.0426619976788362E-2</v>
      </c>
      <c r="P259" s="298">
        <f t="shared" si="59"/>
        <v>-9.7581178567979678E-3</v>
      </c>
      <c r="Q259" s="298">
        <f t="shared" si="60"/>
        <v>4.7019523759652335E-3</v>
      </c>
      <c r="R259" s="298">
        <f t="shared" si="61"/>
        <v>0.28376817313064462</v>
      </c>
      <c r="S259" s="299">
        <f t="shared" si="62"/>
        <v>-1.4295535770311715E-2</v>
      </c>
      <c r="U259" s="303">
        <f t="shared" si="63"/>
        <v>-4.5118688915075929E-2</v>
      </c>
      <c r="V259" s="86">
        <f t="shared" si="64"/>
        <v>7.3808839007293708E-2</v>
      </c>
      <c r="W259" s="86">
        <f t="shared" si="65"/>
        <v>4.0004270018364606E-3</v>
      </c>
      <c r="X259" s="86">
        <f t="shared" si="66"/>
        <v>-2.079794748930287E-2</v>
      </c>
      <c r="Y259" s="86">
        <f t="shared" si="67"/>
        <v>-1.0867127848491597E-2</v>
      </c>
      <c r="Z259" s="86">
        <f t="shared" si="68"/>
        <v>3.1401597767878832E-3</v>
      </c>
      <c r="AA259" s="86">
        <f t="shared" si="69"/>
        <v>0.28948009380618817</v>
      </c>
      <c r="AB259" s="304">
        <f t="shared" si="70"/>
        <v>-1.4907893646961276E-2</v>
      </c>
    </row>
    <row r="260" spans="2:28" x14ac:dyDescent="0.3">
      <c r="B260" s="271">
        <v>43739</v>
      </c>
      <c r="C260" s="292">
        <v>151.30000000000001</v>
      </c>
      <c r="D260" s="292">
        <v>56.5</v>
      </c>
      <c r="E260" s="292">
        <v>2902.9</v>
      </c>
      <c r="F260" s="292">
        <v>1248.8000489999999</v>
      </c>
      <c r="G260" s="292">
        <v>1766.1</v>
      </c>
      <c r="H260" s="292">
        <v>1304.900024</v>
      </c>
      <c r="I260" s="292">
        <v>32</v>
      </c>
      <c r="J260" s="197">
        <v>1990.3000489999999</v>
      </c>
      <c r="L260" s="297">
        <f t="shared" ref="L260:L323" si="71">LN(C260/C261)</f>
        <v>-1.8661533537849086E-2</v>
      </c>
      <c r="M260" s="298">
        <f t="shared" ref="M260:M323" si="72">LN(D260/D261)</f>
        <v>-3.050345429341474E-2</v>
      </c>
      <c r="N260" s="298">
        <f t="shared" ref="N260:N323" si="73">LN(E260/E261)</f>
        <v>-3.960771196701419E-4</v>
      </c>
      <c r="O260" s="298">
        <f t="shared" ref="O260:O323" si="74">LN(F260/F261)</f>
        <v>1.7244322717549748E-2</v>
      </c>
      <c r="P260" s="298">
        <f t="shared" ref="P260:P323" si="75">LN(G260/G261)</f>
        <v>2.2390712961140743E-3</v>
      </c>
      <c r="Q260" s="298">
        <f t="shared" ref="Q260:Q323" si="76">LN(H260/H261)</f>
        <v>-2.0742814316476611E-2</v>
      </c>
      <c r="R260" s="298">
        <f t="shared" ref="R260:R323" si="77">LN(I260/I261)</f>
        <v>-0.25754497803154214</v>
      </c>
      <c r="S260" s="299">
        <f t="shared" ref="S260:S323" si="78">LN(J260/J261)</f>
        <v>4.204221939369532E-3</v>
      </c>
      <c r="U260" s="303">
        <f t="shared" ref="U260:U323" si="79">L260-L$494</f>
        <v>-1.7102828117340554E-2</v>
      </c>
      <c r="V260" s="86">
        <f t="shared" ref="V260:V323" si="80">M260-M$494</f>
        <v>-3.6601182991875376E-2</v>
      </c>
      <c r="W260" s="86">
        <f t="shared" ref="W260:W323" si="81">N260-N$494</f>
        <v>-3.244580464736311E-3</v>
      </c>
      <c r="X260" s="86">
        <f t="shared" ref="X260:X323" si="82">O260-O$494</f>
        <v>1.6872995205035241E-2</v>
      </c>
      <c r="Y260" s="86">
        <f t="shared" ref="Y260:Y323" si="83">P260-P$494</f>
        <v>1.1300613044204454E-3</v>
      </c>
      <c r="Z260" s="86">
        <f t="shared" ref="Z260:Z323" si="84">Q260-Q$494</f>
        <v>-2.230460691565396E-2</v>
      </c>
      <c r="AA260" s="86">
        <f t="shared" ref="AA260:AA323" si="85">R260-R$494</f>
        <v>-0.25183305735599859</v>
      </c>
      <c r="AB260" s="304">
        <f t="shared" ref="AB260:AB323" si="86">S260-S$494</f>
        <v>3.5918640627199709E-3</v>
      </c>
    </row>
    <row r="261" spans="2:28" x14ac:dyDescent="0.3">
      <c r="B261" s="271">
        <v>43738</v>
      </c>
      <c r="C261" s="292">
        <v>154.15</v>
      </c>
      <c r="D261" s="292">
        <v>58.25</v>
      </c>
      <c r="E261" s="292">
        <v>2904.05</v>
      </c>
      <c r="F261" s="292">
        <v>1227.4499510000001</v>
      </c>
      <c r="G261" s="292">
        <v>1762.15</v>
      </c>
      <c r="H261" s="292">
        <v>1332.25</v>
      </c>
      <c r="I261" s="292">
        <v>41.4</v>
      </c>
      <c r="J261" s="197">
        <v>1981.9499510000001</v>
      </c>
      <c r="L261" s="297">
        <f t="shared" si="71"/>
        <v>-1.9910741248390516E-2</v>
      </c>
      <c r="M261" s="298">
        <f t="shared" si="72"/>
        <v>1.5571283744014211E-2</v>
      </c>
      <c r="N261" s="298">
        <f t="shared" si="73"/>
        <v>1.6264190146501715E-2</v>
      </c>
      <c r="O261" s="298">
        <f t="shared" si="74"/>
        <v>-1.3553906976842804E-2</v>
      </c>
      <c r="P261" s="298">
        <f t="shared" si="75"/>
        <v>-7.9978947996287731E-3</v>
      </c>
      <c r="Q261" s="298">
        <f t="shared" si="76"/>
        <v>1.7567521467737171E-2</v>
      </c>
      <c r="R261" s="298">
        <f t="shared" si="77"/>
        <v>-0.16342431661258749</v>
      </c>
      <c r="S261" s="299">
        <f t="shared" si="78"/>
        <v>-1.450121116176711E-2</v>
      </c>
      <c r="U261" s="303">
        <f t="shared" si="79"/>
        <v>-1.8352035827881984E-2</v>
      </c>
      <c r="V261" s="86">
        <f t="shared" si="80"/>
        <v>9.4735550455535764E-3</v>
      </c>
      <c r="W261" s="86">
        <f t="shared" si="81"/>
        <v>1.3415686801435546E-2</v>
      </c>
      <c r="X261" s="86">
        <f t="shared" si="82"/>
        <v>-1.3925234489357313E-2</v>
      </c>
      <c r="Y261" s="86">
        <f t="shared" si="83"/>
        <v>-9.1069047913224024E-3</v>
      </c>
      <c r="Z261" s="86">
        <f t="shared" si="84"/>
        <v>1.6005728868559822E-2</v>
      </c>
      <c r="AA261" s="86">
        <f t="shared" si="85"/>
        <v>-0.15771239593704395</v>
      </c>
      <c r="AB261" s="304">
        <f t="shared" si="86"/>
        <v>-1.5113569038416671E-2</v>
      </c>
    </row>
    <row r="262" spans="2:28" x14ac:dyDescent="0.3">
      <c r="B262" s="271">
        <v>43735</v>
      </c>
      <c r="C262" s="292">
        <v>157.25</v>
      </c>
      <c r="D262" s="292">
        <v>57.349997999999999</v>
      </c>
      <c r="E262" s="292">
        <v>2857.2</v>
      </c>
      <c r="F262" s="292">
        <v>1244.1999510000001</v>
      </c>
      <c r="G262" s="292">
        <v>1776.3</v>
      </c>
      <c r="H262" s="292">
        <v>1309.0500489999999</v>
      </c>
      <c r="I262" s="292">
        <v>48.75</v>
      </c>
      <c r="J262" s="197">
        <v>2010.900024</v>
      </c>
      <c r="L262" s="297">
        <f t="shared" si="71"/>
        <v>-5.4753121038699198E-2</v>
      </c>
      <c r="M262" s="298">
        <f t="shared" si="72"/>
        <v>-3.0903815534940857E-2</v>
      </c>
      <c r="N262" s="298">
        <f t="shared" si="73"/>
        <v>-1.6610863824821445E-3</v>
      </c>
      <c r="O262" s="298">
        <f t="shared" si="74"/>
        <v>1.3672347273990932E-3</v>
      </c>
      <c r="P262" s="298">
        <f t="shared" si="75"/>
        <v>3.0164234584832794E-3</v>
      </c>
      <c r="Q262" s="298">
        <f t="shared" si="76"/>
        <v>9.4019915023713652E-3</v>
      </c>
      <c r="R262" s="298">
        <f t="shared" si="77"/>
        <v>-4.6100347166818309E-2</v>
      </c>
      <c r="S262" s="299">
        <f t="shared" si="78"/>
        <v>-1.1618551938023735E-2</v>
      </c>
      <c r="U262" s="303">
        <f t="shared" si="79"/>
        <v>-5.3194415618190667E-2</v>
      </c>
      <c r="V262" s="86">
        <f t="shared" si="80"/>
        <v>-3.700154423340149E-2</v>
      </c>
      <c r="W262" s="86">
        <f t="shared" si="81"/>
        <v>-4.5095897275483137E-3</v>
      </c>
      <c r="X262" s="86">
        <f t="shared" si="82"/>
        <v>9.9590721488458395E-4</v>
      </c>
      <c r="Y262" s="86">
        <f t="shared" si="83"/>
        <v>1.9074134667896505E-3</v>
      </c>
      <c r="Z262" s="86">
        <f t="shared" si="84"/>
        <v>7.840198903194014E-3</v>
      </c>
      <c r="AA262" s="86">
        <f t="shared" si="85"/>
        <v>-4.0388426491274776E-2</v>
      </c>
      <c r="AB262" s="304">
        <f t="shared" si="86"/>
        <v>-1.2230909814673296E-2</v>
      </c>
    </row>
    <row r="263" spans="2:28" x14ac:dyDescent="0.3">
      <c r="B263" s="271">
        <v>43734</v>
      </c>
      <c r="C263" s="292">
        <v>166.1</v>
      </c>
      <c r="D263" s="292">
        <v>59.150002000000001</v>
      </c>
      <c r="E263" s="292">
        <v>2861.95</v>
      </c>
      <c r="F263" s="292">
        <v>1242.5</v>
      </c>
      <c r="G263" s="292">
        <v>1770.95</v>
      </c>
      <c r="H263" s="292">
        <v>1296.8000489999999</v>
      </c>
      <c r="I263" s="292">
        <v>51.05</v>
      </c>
      <c r="J263" s="197">
        <v>2034.400024</v>
      </c>
      <c r="L263" s="297">
        <f t="shared" si="71"/>
        <v>6.1452779213663725E-2</v>
      </c>
      <c r="M263" s="298">
        <f t="shared" si="72"/>
        <v>0.11831154594327242</v>
      </c>
      <c r="N263" s="298">
        <f t="shared" si="73"/>
        <v>1.3579087515011573E-2</v>
      </c>
      <c r="O263" s="298">
        <f t="shared" si="74"/>
        <v>2.2561036523750279E-3</v>
      </c>
      <c r="P263" s="298">
        <f t="shared" si="75"/>
        <v>1.0872295018368245E-2</v>
      </c>
      <c r="Q263" s="298">
        <f t="shared" si="76"/>
        <v>1.339123731099174E-2</v>
      </c>
      <c r="R263" s="298">
        <f t="shared" si="77"/>
        <v>-5.0607456904144588E-2</v>
      </c>
      <c r="S263" s="299">
        <f t="shared" si="78"/>
        <v>-8.3702859772409113E-3</v>
      </c>
      <c r="U263" s="303">
        <f t="shared" si="79"/>
        <v>6.3011484634172249E-2</v>
      </c>
      <c r="V263" s="86">
        <f t="shared" si="80"/>
        <v>0.11221381724481179</v>
      </c>
      <c r="W263" s="86">
        <f t="shared" si="81"/>
        <v>1.0730584169945405E-2</v>
      </c>
      <c r="X263" s="86">
        <f t="shared" si="82"/>
        <v>1.8847761398605185E-3</v>
      </c>
      <c r="Y263" s="86">
        <f t="shared" si="83"/>
        <v>9.7632850266746157E-3</v>
      </c>
      <c r="Z263" s="86">
        <f t="shared" si="84"/>
        <v>1.1829444711814388E-2</v>
      </c>
      <c r="AA263" s="86">
        <f t="shared" si="85"/>
        <v>-4.4895536228601055E-2</v>
      </c>
      <c r="AB263" s="304">
        <f t="shared" si="86"/>
        <v>-8.9826438538904724E-3</v>
      </c>
    </row>
    <row r="264" spans="2:28" x14ac:dyDescent="0.3">
      <c r="B264" s="271">
        <v>43733</v>
      </c>
      <c r="C264" s="292">
        <v>156.19999999999999</v>
      </c>
      <c r="D264" s="292">
        <v>52.549999</v>
      </c>
      <c r="E264" s="292">
        <v>2823.35</v>
      </c>
      <c r="F264" s="292">
        <v>1239.6999510000001</v>
      </c>
      <c r="G264" s="292">
        <v>1751.8</v>
      </c>
      <c r="H264" s="292">
        <v>1279.5500489999999</v>
      </c>
      <c r="I264" s="292">
        <v>53.7</v>
      </c>
      <c r="J264" s="197">
        <v>2051.5</v>
      </c>
      <c r="L264" s="297">
        <f t="shared" si="71"/>
        <v>-2.3724028989941415E-2</v>
      </c>
      <c r="M264" s="298">
        <f t="shared" si="72"/>
        <v>-2.8503962291842552E-3</v>
      </c>
      <c r="N264" s="298">
        <f t="shared" si="73"/>
        <v>-2.8295065476167166E-3</v>
      </c>
      <c r="O264" s="298">
        <f t="shared" si="74"/>
        <v>-1.1309603602651805E-2</v>
      </c>
      <c r="P264" s="298">
        <f t="shared" si="75"/>
        <v>-8.0166446900901012E-3</v>
      </c>
      <c r="Q264" s="298">
        <f t="shared" si="76"/>
        <v>6.6459339883857089E-4</v>
      </c>
      <c r="R264" s="298">
        <f t="shared" si="77"/>
        <v>-4.2831148003349834E-2</v>
      </c>
      <c r="S264" s="299">
        <f t="shared" si="78"/>
        <v>5.1197554113520589E-4</v>
      </c>
      <c r="U264" s="303">
        <f t="shared" si="79"/>
        <v>-2.2165323569432883E-2</v>
      </c>
      <c r="V264" s="86">
        <f t="shared" si="80"/>
        <v>-8.9481249276448897E-3</v>
      </c>
      <c r="W264" s="86">
        <f t="shared" si="81"/>
        <v>-5.6780098926828854E-3</v>
      </c>
      <c r="X264" s="86">
        <f t="shared" si="82"/>
        <v>-1.1680931115166314E-2</v>
      </c>
      <c r="Y264" s="86">
        <f t="shared" si="83"/>
        <v>-9.1256546817837306E-3</v>
      </c>
      <c r="Z264" s="86">
        <f t="shared" si="84"/>
        <v>-8.9719920033877964E-4</v>
      </c>
      <c r="AA264" s="86">
        <f t="shared" si="85"/>
        <v>-3.7119227327806301E-2</v>
      </c>
      <c r="AB264" s="304">
        <f t="shared" si="86"/>
        <v>-1.00382335514355E-4</v>
      </c>
    </row>
    <row r="265" spans="2:28" x14ac:dyDescent="0.3">
      <c r="B265" s="271">
        <v>43732</v>
      </c>
      <c r="C265" s="292">
        <v>159.94999999999999</v>
      </c>
      <c r="D265" s="292">
        <v>52.700001</v>
      </c>
      <c r="E265" s="292">
        <v>2831.35</v>
      </c>
      <c r="F265" s="292">
        <v>1253.8000489999999</v>
      </c>
      <c r="G265" s="292">
        <v>1765.9</v>
      </c>
      <c r="H265" s="292">
        <v>1278.6999510000001</v>
      </c>
      <c r="I265" s="292">
        <v>56.05</v>
      </c>
      <c r="J265" s="197">
        <v>2050.4499510000001</v>
      </c>
      <c r="L265" s="297">
        <f t="shared" si="71"/>
        <v>1.2899345133930465E-2</v>
      </c>
      <c r="M265" s="298">
        <f t="shared" si="72"/>
        <v>9.5329604769676494E-3</v>
      </c>
      <c r="N265" s="298">
        <f t="shared" si="73"/>
        <v>-1.6081347152695744E-2</v>
      </c>
      <c r="O265" s="298">
        <f t="shared" si="74"/>
        <v>-2.747817131013647E-3</v>
      </c>
      <c r="P265" s="298">
        <f t="shared" si="75"/>
        <v>-2.0652801377790179E-2</v>
      </c>
      <c r="Q265" s="298">
        <f t="shared" si="76"/>
        <v>3.1377927935934698E-2</v>
      </c>
      <c r="R265" s="298">
        <f t="shared" si="77"/>
        <v>1.0762435721792789E-2</v>
      </c>
      <c r="S265" s="299">
        <f t="shared" si="78"/>
        <v>5.2320060321959906E-3</v>
      </c>
      <c r="U265" s="303">
        <f t="shared" si="79"/>
        <v>1.4458050554438995E-2</v>
      </c>
      <c r="V265" s="86">
        <f t="shared" si="80"/>
        <v>3.4352317785070153E-3</v>
      </c>
      <c r="W265" s="86">
        <f t="shared" si="81"/>
        <v>-1.8929850497761913E-2</v>
      </c>
      <c r="X265" s="86">
        <f t="shared" si="82"/>
        <v>-3.1191446435281565E-3</v>
      </c>
      <c r="Y265" s="86">
        <f t="shared" si="83"/>
        <v>-2.1761811369483807E-2</v>
      </c>
      <c r="Z265" s="86">
        <f t="shared" si="84"/>
        <v>2.9816135336757348E-2</v>
      </c>
      <c r="AA265" s="86">
        <f t="shared" si="85"/>
        <v>1.6474356397336326E-2</v>
      </c>
      <c r="AB265" s="304">
        <f t="shared" si="86"/>
        <v>4.6196481555464295E-3</v>
      </c>
    </row>
    <row r="266" spans="2:28" x14ac:dyDescent="0.3">
      <c r="B266" s="271">
        <v>43731</v>
      </c>
      <c r="C266" s="292">
        <v>157.9</v>
      </c>
      <c r="D266" s="292">
        <v>52.200001</v>
      </c>
      <c r="E266" s="292">
        <v>2877.25</v>
      </c>
      <c r="F266" s="292">
        <v>1257.25</v>
      </c>
      <c r="G266" s="292">
        <v>1802.75</v>
      </c>
      <c r="H266" s="292">
        <v>1239.1999510000001</v>
      </c>
      <c r="I266" s="292">
        <v>55.45</v>
      </c>
      <c r="J266" s="197">
        <v>2039.75</v>
      </c>
      <c r="L266" s="297">
        <f t="shared" si="71"/>
        <v>-6.6277660952151927E-3</v>
      </c>
      <c r="M266" s="298">
        <f t="shared" si="72"/>
        <v>1.1560880317854507E-2</v>
      </c>
      <c r="N266" s="298">
        <f t="shared" si="73"/>
        <v>8.4939259319586818E-2</v>
      </c>
      <c r="O266" s="298">
        <f t="shared" si="74"/>
        <v>4.6938648183889271E-2</v>
      </c>
      <c r="P266" s="298">
        <f t="shared" si="75"/>
        <v>7.5891027201475267E-2</v>
      </c>
      <c r="Q266" s="298">
        <f t="shared" si="76"/>
        <v>-1.2151520413412874E-2</v>
      </c>
      <c r="R266" s="298">
        <f t="shared" si="77"/>
        <v>-9.0130695601277572E-4</v>
      </c>
      <c r="S266" s="299">
        <f t="shared" si="78"/>
        <v>3.4920620183112108E-2</v>
      </c>
      <c r="U266" s="303">
        <f t="shared" si="79"/>
        <v>-5.0690606747066623E-3</v>
      </c>
      <c r="V266" s="86">
        <f t="shared" si="80"/>
        <v>5.4631516193938733E-3</v>
      </c>
      <c r="W266" s="86">
        <f t="shared" si="81"/>
        <v>8.2090755974520646E-2</v>
      </c>
      <c r="X266" s="86">
        <f t="shared" si="82"/>
        <v>4.6567320671374764E-2</v>
      </c>
      <c r="Y266" s="86">
        <f t="shared" si="83"/>
        <v>7.4782017209781643E-2</v>
      </c>
      <c r="Z266" s="86">
        <f t="shared" si="84"/>
        <v>-1.3713313012590225E-2</v>
      </c>
      <c r="AA266" s="86">
        <f t="shared" si="85"/>
        <v>4.8106137195307597E-3</v>
      </c>
      <c r="AB266" s="304">
        <f t="shared" si="86"/>
        <v>3.4308262306462549E-2</v>
      </c>
    </row>
    <row r="267" spans="2:28" x14ac:dyDescent="0.3">
      <c r="B267" s="271">
        <v>43728</v>
      </c>
      <c r="C267" s="292">
        <v>158.94999999999999</v>
      </c>
      <c r="D267" s="292">
        <v>51.599997999999999</v>
      </c>
      <c r="E267" s="292">
        <v>2642.95</v>
      </c>
      <c r="F267" s="292">
        <v>1199.599976</v>
      </c>
      <c r="G267" s="292">
        <v>1671</v>
      </c>
      <c r="H267" s="292">
        <v>1254.349976</v>
      </c>
      <c r="I267" s="292">
        <v>55.5</v>
      </c>
      <c r="J267" s="197">
        <v>1969.75</v>
      </c>
      <c r="L267" s="297">
        <f t="shared" si="71"/>
        <v>8.3956195799556613E-2</v>
      </c>
      <c r="M267" s="298">
        <f t="shared" si="72"/>
        <v>2.8503079439523699E-2</v>
      </c>
      <c r="N267" s="298">
        <f t="shared" si="73"/>
        <v>3.411750403129829E-2</v>
      </c>
      <c r="O267" s="298">
        <f t="shared" si="74"/>
        <v>8.5723833413010431E-2</v>
      </c>
      <c r="P267" s="298">
        <f t="shared" si="75"/>
        <v>7.2654349802705201E-2</v>
      </c>
      <c r="Q267" s="298">
        <f t="shared" si="76"/>
        <v>6.1908419956372966E-2</v>
      </c>
      <c r="R267" s="298">
        <f t="shared" si="77"/>
        <v>2.5548834899952876E-2</v>
      </c>
      <c r="S267" s="299">
        <f t="shared" si="78"/>
        <v>8.3061601874095406E-2</v>
      </c>
      <c r="U267" s="303">
        <f t="shared" si="79"/>
        <v>8.5514901220065137E-2</v>
      </c>
      <c r="V267" s="86">
        <f t="shared" si="80"/>
        <v>2.2405350741063066E-2</v>
      </c>
      <c r="W267" s="86">
        <f t="shared" si="81"/>
        <v>3.1269000686232118E-2</v>
      </c>
      <c r="X267" s="86">
        <f t="shared" si="82"/>
        <v>8.5352505900495923E-2</v>
      </c>
      <c r="Y267" s="86">
        <f t="shared" si="83"/>
        <v>7.1545339811011577E-2</v>
      </c>
      <c r="Z267" s="86">
        <f t="shared" si="84"/>
        <v>6.0346627357195613E-2</v>
      </c>
      <c r="AA267" s="86">
        <f t="shared" si="85"/>
        <v>3.1260755575496409E-2</v>
      </c>
      <c r="AB267" s="304">
        <f t="shared" si="86"/>
        <v>8.244924399744584E-2</v>
      </c>
    </row>
    <row r="268" spans="2:28" x14ac:dyDescent="0.3">
      <c r="B268" s="271">
        <v>43727</v>
      </c>
      <c r="C268" s="292">
        <v>146.15</v>
      </c>
      <c r="D268" s="292">
        <v>50.150002000000001</v>
      </c>
      <c r="E268" s="292">
        <v>2554.3000000000002</v>
      </c>
      <c r="F268" s="292">
        <v>1101.0500489999999</v>
      </c>
      <c r="G268" s="292">
        <v>1553.9</v>
      </c>
      <c r="H268" s="292">
        <v>1179.0500489999999</v>
      </c>
      <c r="I268" s="292">
        <v>54.1</v>
      </c>
      <c r="J268" s="197">
        <v>1812.75</v>
      </c>
      <c r="L268" s="297">
        <f t="shared" si="71"/>
        <v>-2.399979986832762E-2</v>
      </c>
      <c r="M268" s="298">
        <f t="shared" si="72"/>
        <v>-5.6216291921547847E-2</v>
      </c>
      <c r="N268" s="298">
        <f t="shared" si="73"/>
        <v>2.3517433329471888E-3</v>
      </c>
      <c r="O268" s="298">
        <f t="shared" si="74"/>
        <v>6.5333011325584417E-3</v>
      </c>
      <c r="P268" s="298">
        <f t="shared" si="75"/>
        <v>3.9656363933471064E-3</v>
      </c>
      <c r="Q268" s="298">
        <f t="shared" si="76"/>
        <v>-2.2351199464914092E-2</v>
      </c>
      <c r="R268" s="298">
        <f t="shared" si="77"/>
        <v>-0.16961017807418835</v>
      </c>
      <c r="S268" s="299">
        <f t="shared" si="78"/>
        <v>-9.0336567445309171E-3</v>
      </c>
      <c r="U268" s="303">
        <f t="shared" si="79"/>
        <v>-2.2441094447819089E-2</v>
      </c>
      <c r="V268" s="86">
        <f t="shared" si="80"/>
        <v>-6.231402062000848E-2</v>
      </c>
      <c r="W268" s="86">
        <f t="shared" si="81"/>
        <v>-4.9676001211898047E-4</v>
      </c>
      <c r="X268" s="86">
        <f t="shared" si="82"/>
        <v>6.1619736200439323E-3</v>
      </c>
      <c r="Y268" s="86">
        <f t="shared" si="83"/>
        <v>2.8566264016534775E-3</v>
      </c>
      <c r="Z268" s="86">
        <f t="shared" si="84"/>
        <v>-2.3912992064091441E-2</v>
      </c>
      <c r="AA268" s="86">
        <f t="shared" si="85"/>
        <v>-0.1638982573986448</v>
      </c>
      <c r="AB268" s="304">
        <f t="shared" si="86"/>
        <v>-9.6460146211804782E-3</v>
      </c>
    </row>
    <row r="269" spans="2:28" x14ac:dyDescent="0.3">
      <c r="B269" s="271">
        <v>43726</v>
      </c>
      <c r="C269" s="292">
        <v>149.69999999999999</v>
      </c>
      <c r="D269" s="292">
        <v>53.049999</v>
      </c>
      <c r="E269" s="292">
        <v>2548.3000000000002</v>
      </c>
      <c r="F269" s="292">
        <v>1093.880005</v>
      </c>
      <c r="G269" s="292">
        <v>1547.75</v>
      </c>
      <c r="H269" s="292">
        <v>1205.6999510000001</v>
      </c>
      <c r="I269" s="292">
        <v>64.099999999999994</v>
      </c>
      <c r="J269" s="197">
        <v>1829.1999510000001</v>
      </c>
      <c r="L269" s="297">
        <f t="shared" si="71"/>
        <v>2.9144726326163488E-2</v>
      </c>
      <c r="M269" s="298">
        <f t="shared" si="72"/>
        <v>-3.3367304048306866E-2</v>
      </c>
      <c r="N269" s="298">
        <f t="shared" si="73"/>
        <v>3.3599840919298615E-2</v>
      </c>
      <c r="O269" s="298">
        <f t="shared" si="74"/>
        <v>-1.0729565811877576E-2</v>
      </c>
      <c r="P269" s="298">
        <f t="shared" si="75"/>
        <v>1.0946465661306002E-2</v>
      </c>
      <c r="Q269" s="298">
        <f t="shared" si="76"/>
        <v>6.8660156433444849E-3</v>
      </c>
      <c r="R269" s="298">
        <f t="shared" si="77"/>
        <v>-1.5480185287899172E-2</v>
      </c>
      <c r="S269" s="299">
        <f t="shared" si="78"/>
        <v>-1.0927768837138234E-3</v>
      </c>
      <c r="U269" s="303">
        <f t="shared" si="79"/>
        <v>3.0703431746672019E-2</v>
      </c>
      <c r="V269" s="86">
        <f t="shared" si="80"/>
        <v>-3.9465032746767499E-2</v>
      </c>
      <c r="W269" s="86">
        <f t="shared" si="81"/>
        <v>3.0751337574232446E-2</v>
      </c>
      <c r="X269" s="86">
        <f t="shared" si="82"/>
        <v>-1.1100893324392085E-2</v>
      </c>
      <c r="Y269" s="86">
        <f t="shared" si="83"/>
        <v>9.8374556696123727E-3</v>
      </c>
      <c r="Z269" s="86">
        <f t="shared" si="84"/>
        <v>5.3042230441671346E-3</v>
      </c>
      <c r="AA269" s="86">
        <f t="shared" si="85"/>
        <v>-9.7682646123556371E-3</v>
      </c>
      <c r="AB269" s="304">
        <f t="shared" si="86"/>
        <v>-1.7051347603633843E-3</v>
      </c>
    </row>
    <row r="270" spans="2:28" x14ac:dyDescent="0.3">
      <c r="B270" s="271">
        <v>43725</v>
      </c>
      <c r="C270" s="292">
        <v>145.4</v>
      </c>
      <c r="D270" s="292">
        <v>54.849997999999999</v>
      </c>
      <c r="E270" s="292">
        <v>2464.1</v>
      </c>
      <c r="F270" s="292">
        <v>1105.6800539999999</v>
      </c>
      <c r="G270" s="292">
        <v>1530.9</v>
      </c>
      <c r="H270" s="292">
        <v>1197.4499510000001</v>
      </c>
      <c r="I270" s="292">
        <v>65.099999999999994</v>
      </c>
      <c r="J270" s="197">
        <v>1831.1999510000001</v>
      </c>
      <c r="L270" s="297">
        <f t="shared" si="71"/>
        <v>-2.2105984344687683E-2</v>
      </c>
      <c r="M270" s="298">
        <f t="shared" si="72"/>
        <v>-1.2681347825681245E-2</v>
      </c>
      <c r="N270" s="298">
        <f t="shared" si="73"/>
        <v>-3.4325551706378035E-2</v>
      </c>
      <c r="O270" s="298">
        <f t="shared" si="74"/>
        <v>-1.4714566468520159E-2</v>
      </c>
      <c r="P270" s="298">
        <f t="shared" si="75"/>
        <v>6.2905652689524806E-3</v>
      </c>
      <c r="Q270" s="298">
        <f t="shared" si="76"/>
        <v>-1.104574744371069E-2</v>
      </c>
      <c r="R270" s="298">
        <f t="shared" si="77"/>
        <v>-2.9514060513163968E-2</v>
      </c>
      <c r="S270" s="299">
        <f t="shared" si="78"/>
        <v>8.1699711466272553E-3</v>
      </c>
      <c r="U270" s="303">
        <f t="shared" si="79"/>
        <v>-2.0547278924179152E-2</v>
      </c>
      <c r="V270" s="86">
        <f t="shared" si="80"/>
        <v>-1.8779076524141878E-2</v>
      </c>
      <c r="W270" s="86">
        <f t="shared" si="81"/>
        <v>-3.7174055051444208E-2</v>
      </c>
      <c r="X270" s="86">
        <f t="shared" si="82"/>
        <v>-1.5085893981034668E-2</v>
      </c>
      <c r="Y270" s="86">
        <f t="shared" si="83"/>
        <v>5.1815552772588522E-3</v>
      </c>
      <c r="Z270" s="86">
        <f t="shared" si="84"/>
        <v>-1.2607540042888041E-2</v>
      </c>
      <c r="AA270" s="86">
        <f t="shared" si="85"/>
        <v>-2.3802139837620431E-2</v>
      </c>
      <c r="AB270" s="304">
        <f t="shared" si="86"/>
        <v>7.5576132699776942E-3</v>
      </c>
    </row>
    <row r="271" spans="2:28" x14ac:dyDescent="0.3">
      <c r="B271" s="271">
        <v>43724</v>
      </c>
      <c r="C271" s="292">
        <v>148.65</v>
      </c>
      <c r="D271" s="292">
        <v>55.549999</v>
      </c>
      <c r="E271" s="292">
        <v>2550.15</v>
      </c>
      <c r="F271" s="292">
        <v>1122.0699460000001</v>
      </c>
      <c r="G271" s="292">
        <v>1521.3</v>
      </c>
      <c r="H271" s="292">
        <v>1210.75</v>
      </c>
      <c r="I271" s="292">
        <v>67.05</v>
      </c>
      <c r="J271" s="197">
        <v>1816.3000489999999</v>
      </c>
      <c r="L271" s="297">
        <f t="shared" si="71"/>
        <v>-4.3631551010380777E-3</v>
      </c>
      <c r="M271" s="298">
        <f t="shared" si="72"/>
        <v>0.10027295114465361</v>
      </c>
      <c r="N271" s="298">
        <f t="shared" si="73"/>
        <v>1.1159421801654556E-2</v>
      </c>
      <c r="O271" s="298">
        <f t="shared" si="74"/>
        <v>-5.9090760090678282E-3</v>
      </c>
      <c r="P271" s="298">
        <f t="shared" si="75"/>
        <v>-1.7527733301530034E-2</v>
      </c>
      <c r="Q271" s="298">
        <f t="shared" si="76"/>
        <v>-1.2190498120742721E-2</v>
      </c>
      <c r="R271" s="298">
        <f t="shared" si="77"/>
        <v>-2.2124796280635871E-2</v>
      </c>
      <c r="S271" s="299">
        <f t="shared" si="78"/>
        <v>5.9362101009214005E-3</v>
      </c>
      <c r="U271" s="303">
        <f t="shared" si="79"/>
        <v>-2.8044496805295473E-3</v>
      </c>
      <c r="V271" s="86">
        <f t="shared" si="80"/>
        <v>9.4175222446192974E-2</v>
      </c>
      <c r="W271" s="86">
        <f t="shared" si="81"/>
        <v>8.3109184565883874E-3</v>
      </c>
      <c r="X271" s="86">
        <f t="shared" si="82"/>
        <v>-6.2804035215823376E-3</v>
      </c>
      <c r="Y271" s="86">
        <f t="shared" si="83"/>
        <v>-1.8636743293223661E-2</v>
      </c>
      <c r="Z271" s="86">
        <f t="shared" si="84"/>
        <v>-1.3752290719920072E-2</v>
      </c>
      <c r="AA271" s="86">
        <f t="shared" si="85"/>
        <v>-1.6412875605092334E-2</v>
      </c>
      <c r="AB271" s="304">
        <f t="shared" si="86"/>
        <v>5.3238522242718394E-3</v>
      </c>
    </row>
    <row r="272" spans="2:28" x14ac:dyDescent="0.3">
      <c r="B272" s="271">
        <v>43721</v>
      </c>
      <c r="C272" s="292">
        <v>149.30000000000001</v>
      </c>
      <c r="D272" s="292">
        <v>50.25</v>
      </c>
      <c r="E272" s="292">
        <v>2521.85</v>
      </c>
      <c r="F272" s="292">
        <v>1128.719971</v>
      </c>
      <c r="G272" s="292">
        <v>1548.2</v>
      </c>
      <c r="H272" s="292">
        <v>1225.599976</v>
      </c>
      <c r="I272" s="292">
        <v>68.55</v>
      </c>
      <c r="J272" s="197">
        <v>1805.5500489999999</v>
      </c>
      <c r="L272" s="297">
        <f t="shared" si="71"/>
        <v>2.6125319603934247E-2</v>
      </c>
      <c r="M272" s="298">
        <f t="shared" si="72"/>
        <v>2.72331095585642E-2</v>
      </c>
      <c r="N272" s="298">
        <f t="shared" si="73"/>
        <v>-2.2379127444334727E-3</v>
      </c>
      <c r="O272" s="298">
        <f t="shared" si="74"/>
        <v>-5.927259740752323E-3</v>
      </c>
      <c r="P272" s="298">
        <f t="shared" si="75"/>
        <v>5.115763140201247E-3</v>
      </c>
      <c r="Q272" s="298">
        <f t="shared" si="76"/>
        <v>1.252094627043115E-2</v>
      </c>
      <c r="R272" s="298">
        <f t="shared" si="77"/>
        <v>8.7912654111705034E-3</v>
      </c>
      <c r="S272" s="299">
        <f t="shared" si="78"/>
        <v>8.3094474890794184E-5</v>
      </c>
      <c r="U272" s="303">
        <f t="shared" si="79"/>
        <v>2.7684025024442779E-2</v>
      </c>
      <c r="V272" s="86">
        <f t="shared" si="80"/>
        <v>2.1135380860103567E-2</v>
      </c>
      <c r="W272" s="86">
        <f t="shared" si="81"/>
        <v>-5.0864160894996419E-3</v>
      </c>
      <c r="X272" s="86">
        <f t="shared" si="82"/>
        <v>-6.2985872532668324E-3</v>
      </c>
      <c r="Y272" s="86">
        <f t="shared" si="83"/>
        <v>4.0067531485076177E-3</v>
      </c>
      <c r="Z272" s="86">
        <f t="shared" si="84"/>
        <v>1.0959153671253798E-2</v>
      </c>
      <c r="AA272" s="86">
        <f t="shared" si="85"/>
        <v>1.450318608671404E-2</v>
      </c>
      <c r="AB272" s="304">
        <f t="shared" si="86"/>
        <v>-5.2926340175876675E-4</v>
      </c>
    </row>
    <row r="273" spans="2:28" x14ac:dyDescent="0.3">
      <c r="B273" s="271">
        <v>43720</v>
      </c>
      <c r="C273" s="292">
        <v>145.44999999999999</v>
      </c>
      <c r="D273" s="292">
        <v>48.900002000000001</v>
      </c>
      <c r="E273" s="292">
        <v>2527.5</v>
      </c>
      <c r="F273" s="292">
        <v>1135.4300539999999</v>
      </c>
      <c r="G273" s="292">
        <v>1540.3</v>
      </c>
      <c r="H273" s="292">
        <v>1210.349976</v>
      </c>
      <c r="I273" s="292">
        <v>67.95</v>
      </c>
      <c r="J273" s="197">
        <v>1805.400024</v>
      </c>
      <c r="L273" s="297">
        <f t="shared" si="71"/>
        <v>-5.8269230848681207E-3</v>
      </c>
      <c r="M273" s="298">
        <f t="shared" si="72"/>
        <v>1.2345897426027923E-2</v>
      </c>
      <c r="N273" s="298">
        <f t="shared" si="73"/>
        <v>-2.9318695825227645E-2</v>
      </c>
      <c r="O273" s="298">
        <f t="shared" si="74"/>
        <v>8.6508134648368464E-3</v>
      </c>
      <c r="P273" s="298">
        <f t="shared" si="75"/>
        <v>-1.3637674086938816E-2</v>
      </c>
      <c r="Q273" s="298">
        <f t="shared" si="76"/>
        <v>-1.9675487357945151E-2</v>
      </c>
      <c r="R273" s="298">
        <f t="shared" si="77"/>
        <v>-5.2322933369447107E-2</v>
      </c>
      <c r="S273" s="299">
        <f t="shared" si="78"/>
        <v>-1.0414191496283327E-2</v>
      </c>
      <c r="U273" s="303">
        <f t="shared" si="79"/>
        <v>-4.2682176643595903E-3</v>
      </c>
      <c r="V273" s="86">
        <f t="shared" si="80"/>
        <v>6.2481687275672887E-3</v>
      </c>
      <c r="W273" s="86">
        <f t="shared" si="81"/>
        <v>-3.2167199170293814E-2</v>
      </c>
      <c r="X273" s="86">
        <f t="shared" si="82"/>
        <v>8.2794859523223369E-3</v>
      </c>
      <c r="Y273" s="86">
        <f t="shared" si="83"/>
        <v>-1.4746684078632446E-2</v>
      </c>
      <c r="Z273" s="86">
        <f t="shared" si="84"/>
        <v>-2.1237279957122501E-2</v>
      </c>
      <c r="AA273" s="86">
        <f t="shared" si="85"/>
        <v>-4.6611012693903574E-2</v>
      </c>
      <c r="AB273" s="304">
        <f t="shared" si="86"/>
        <v>-1.1026549372932888E-2</v>
      </c>
    </row>
    <row r="274" spans="2:28" x14ac:dyDescent="0.3">
      <c r="B274" s="271">
        <v>43719</v>
      </c>
      <c r="C274" s="292">
        <v>146.30000000000001</v>
      </c>
      <c r="D274" s="292">
        <v>48.299999</v>
      </c>
      <c r="E274" s="292">
        <v>2602.6999999999998</v>
      </c>
      <c r="F274" s="292">
        <v>1125.650024</v>
      </c>
      <c r="G274" s="292">
        <v>1561.45</v>
      </c>
      <c r="H274" s="292">
        <v>1234.400024</v>
      </c>
      <c r="I274" s="292">
        <v>71.599999999999994</v>
      </c>
      <c r="J274" s="197">
        <v>1824.3000489999999</v>
      </c>
      <c r="L274" s="297">
        <f t="shared" si="71"/>
        <v>3.5127937999528305E-2</v>
      </c>
      <c r="M274" s="298">
        <f t="shared" si="72"/>
        <v>5.9719213997688231E-2</v>
      </c>
      <c r="N274" s="298">
        <f t="shared" si="73"/>
        <v>2.6353517671204637E-3</v>
      </c>
      <c r="O274" s="298">
        <f t="shared" si="74"/>
        <v>7.5538226829748522E-4</v>
      </c>
      <c r="P274" s="298">
        <f t="shared" si="75"/>
        <v>1.3442925798485309E-2</v>
      </c>
      <c r="Q274" s="298">
        <f t="shared" si="76"/>
        <v>9.9325681224188434E-3</v>
      </c>
      <c r="R274" s="298">
        <f t="shared" si="77"/>
        <v>0.1263743044194324</v>
      </c>
      <c r="S274" s="299">
        <f t="shared" si="78"/>
        <v>-5.3302843213465243E-3</v>
      </c>
      <c r="U274" s="303">
        <f t="shared" si="79"/>
        <v>3.6686643420036837E-2</v>
      </c>
      <c r="V274" s="86">
        <f t="shared" si="80"/>
        <v>5.3621485299227598E-2</v>
      </c>
      <c r="W274" s="86">
        <f t="shared" si="81"/>
        <v>-2.1315157794570558E-4</v>
      </c>
      <c r="X274" s="86">
        <f t="shared" si="82"/>
        <v>3.8405475578297591E-4</v>
      </c>
      <c r="Y274" s="86">
        <f t="shared" si="83"/>
        <v>1.2333915806791679E-2</v>
      </c>
      <c r="Z274" s="86">
        <f t="shared" si="84"/>
        <v>8.3707755232414922E-3</v>
      </c>
      <c r="AA274" s="86">
        <f t="shared" si="85"/>
        <v>0.13208622509497595</v>
      </c>
      <c r="AB274" s="304">
        <f t="shared" si="86"/>
        <v>-5.9426421979960854E-3</v>
      </c>
    </row>
    <row r="275" spans="2:28" x14ac:dyDescent="0.3">
      <c r="B275" s="271">
        <v>43717</v>
      </c>
      <c r="C275" s="292">
        <v>141.25</v>
      </c>
      <c r="D275" s="292">
        <v>45.5</v>
      </c>
      <c r="E275" s="292">
        <v>2595.85</v>
      </c>
      <c r="F275" s="292">
        <v>1124.8000489999999</v>
      </c>
      <c r="G275" s="292">
        <v>1540.6</v>
      </c>
      <c r="H275" s="292">
        <v>1222.1999510000001</v>
      </c>
      <c r="I275" s="292">
        <v>63.1</v>
      </c>
      <c r="J275" s="197">
        <v>1834.0500489999999</v>
      </c>
      <c r="L275" s="297">
        <f t="shared" si="71"/>
        <v>-3.8862440714768497E-3</v>
      </c>
      <c r="M275" s="298">
        <f t="shared" si="72"/>
        <v>8.8301237941711495E-3</v>
      </c>
      <c r="N275" s="298">
        <f t="shared" si="73"/>
        <v>3.0965496432375051E-2</v>
      </c>
      <c r="O275" s="298">
        <f t="shared" si="74"/>
        <v>1.6461781050372097E-3</v>
      </c>
      <c r="P275" s="298">
        <f t="shared" si="75"/>
        <v>5.3368170923713855E-3</v>
      </c>
      <c r="Q275" s="298">
        <f t="shared" si="76"/>
        <v>-2.4546897985072014E-4</v>
      </c>
      <c r="R275" s="298">
        <f t="shared" si="77"/>
        <v>4.3731664606398268E-2</v>
      </c>
      <c r="S275" s="299">
        <f t="shared" si="78"/>
        <v>8.1572907722188507E-3</v>
      </c>
      <c r="U275" s="303">
        <f t="shared" si="79"/>
        <v>-2.3275386509683197E-3</v>
      </c>
      <c r="V275" s="86">
        <f t="shared" si="80"/>
        <v>2.7323950957105153E-3</v>
      </c>
      <c r="W275" s="86">
        <f t="shared" si="81"/>
        <v>2.8116993087308882E-2</v>
      </c>
      <c r="X275" s="86">
        <f t="shared" si="82"/>
        <v>1.2748505925227003E-3</v>
      </c>
      <c r="Y275" s="86">
        <f t="shared" si="83"/>
        <v>4.2278071006777562E-3</v>
      </c>
      <c r="Z275" s="86">
        <f t="shared" si="84"/>
        <v>-1.8072615790280706E-3</v>
      </c>
      <c r="AA275" s="86">
        <f t="shared" si="85"/>
        <v>4.9443585281941801E-2</v>
      </c>
      <c r="AB275" s="304">
        <f t="shared" si="86"/>
        <v>7.5449328955692896E-3</v>
      </c>
    </row>
    <row r="276" spans="2:28" x14ac:dyDescent="0.3">
      <c r="B276" s="271">
        <v>43714</v>
      </c>
      <c r="C276" s="292">
        <v>141.80000000000001</v>
      </c>
      <c r="D276" s="292">
        <v>45.099997999999999</v>
      </c>
      <c r="E276" s="292">
        <v>2516.6999999999998</v>
      </c>
      <c r="F276" s="292">
        <v>1122.9499510000001</v>
      </c>
      <c r="G276" s="292">
        <v>1532.4</v>
      </c>
      <c r="H276" s="292">
        <v>1222.5</v>
      </c>
      <c r="I276" s="292">
        <v>60.4</v>
      </c>
      <c r="J276" s="197">
        <v>1819.150024</v>
      </c>
      <c r="L276" s="297">
        <f t="shared" si="71"/>
        <v>1.7787733312267202E-2</v>
      </c>
      <c r="M276" s="298">
        <f t="shared" si="72"/>
        <v>1.1092403059452991E-3</v>
      </c>
      <c r="N276" s="298">
        <f t="shared" si="73"/>
        <v>-4.9149886885492934E-3</v>
      </c>
      <c r="O276" s="298">
        <f t="shared" si="74"/>
        <v>4.802470486823229E-3</v>
      </c>
      <c r="P276" s="298">
        <f t="shared" si="75"/>
        <v>8.2892861976620689E-3</v>
      </c>
      <c r="Q276" s="298">
        <f t="shared" si="76"/>
        <v>1.9743753348302921E-2</v>
      </c>
      <c r="R276" s="298">
        <f t="shared" si="77"/>
        <v>-2.5338503134382229E-2</v>
      </c>
      <c r="S276" s="299">
        <f t="shared" si="78"/>
        <v>-5.8099732784181995E-3</v>
      </c>
      <c r="U276" s="303">
        <f t="shared" si="79"/>
        <v>1.9346438732775733E-2</v>
      </c>
      <c r="V276" s="86">
        <f t="shared" si="80"/>
        <v>-4.9884883925153355E-3</v>
      </c>
      <c r="W276" s="86">
        <f t="shared" si="81"/>
        <v>-7.7634920336154632E-3</v>
      </c>
      <c r="X276" s="86">
        <f t="shared" si="82"/>
        <v>4.4311429743087195E-3</v>
      </c>
      <c r="Y276" s="86">
        <f t="shared" si="83"/>
        <v>7.1802762059684395E-3</v>
      </c>
      <c r="Z276" s="86">
        <f t="shared" si="84"/>
        <v>1.8181960749125571E-2</v>
      </c>
      <c r="AA276" s="86">
        <f t="shared" si="85"/>
        <v>-1.9626582458838693E-2</v>
      </c>
      <c r="AB276" s="304">
        <f t="shared" si="86"/>
        <v>-6.4223311550677606E-3</v>
      </c>
    </row>
    <row r="277" spans="2:28" x14ac:dyDescent="0.3">
      <c r="B277" s="271">
        <v>43713</v>
      </c>
      <c r="C277" s="292">
        <v>139.30000000000001</v>
      </c>
      <c r="D277" s="292">
        <v>45.049999</v>
      </c>
      <c r="E277" s="292">
        <v>2529.1</v>
      </c>
      <c r="F277" s="292">
        <v>1117.5699460000001</v>
      </c>
      <c r="G277" s="292">
        <v>1519.75</v>
      </c>
      <c r="H277" s="292">
        <v>1198.599976</v>
      </c>
      <c r="I277" s="292">
        <v>61.95</v>
      </c>
      <c r="J277" s="197">
        <v>1829.75</v>
      </c>
      <c r="L277" s="297">
        <f t="shared" si="71"/>
        <v>1.8841137055856313E-2</v>
      </c>
      <c r="M277" s="298">
        <f t="shared" si="72"/>
        <v>2.6998288648631529E-2</v>
      </c>
      <c r="N277" s="298">
        <f t="shared" si="73"/>
        <v>-2.966513166362909E-2</v>
      </c>
      <c r="O277" s="298">
        <f t="shared" si="74"/>
        <v>-5.6303516094127412E-3</v>
      </c>
      <c r="P277" s="298">
        <f t="shared" si="75"/>
        <v>-1.0082248487897147E-2</v>
      </c>
      <c r="Q277" s="298">
        <f t="shared" si="76"/>
        <v>-2.1252621813314877E-3</v>
      </c>
      <c r="R277" s="298">
        <f t="shared" si="77"/>
        <v>4.1191984938360557E-2</v>
      </c>
      <c r="S277" s="299">
        <f t="shared" si="78"/>
        <v>-9.1667518603318517E-3</v>
      </c>
      <c r="U277" s="303">
        <f t="shared" si="79"/>
        <v>2.0399842476364845E-2</v>
      </c>
      <c r="V277" s="86">
        <f t="shared" si="80"/>
        <v>2.0900559950170896E-2</v>
      </c>
      <c r="W277" s="86">
        <f t="shared" si="81"/>
        <v>-3.2513635008695259E-2</v>
      </c>
      <c r="X277" s="86">
        <f t="shared" si="82"/>
        <v>-6.0016791219272506E-3</v>
      </c>
      <c r="Y277" s="86">
        <f t="shared" si="83"/>
        <v>-1.1191258479590776E-2</v>
      </c>
      <c r="Z277" s="86">
        <f t="shared" si="84"/>
        <v>-3.6870547805088385E-3</v>
      </c>
      <c r="AA277" s="86">
        <f t="shared" si="85"/>
        <v>4.690390561390409E-2</v>
      </c>
      <c r="AB277" s="304">
        <f t="shared" si="86"/>
        <v>-9.7791097369814128E-3</v>
      </c>
    </row>
    <row r="278" spans="2:28" x14ac:dyDescent="0.3">
      <c r="B278" s="271">
        <v>43712</v>
      </c>
      <c r="C278" s="292">
        <v>136.69999999999999</v>
      </c>
      <c r="D278" s="292">
        <v>43.849997999999999</v>
      </c>
      <c r="E278" s="292">
        <v>2605.25</v>
      </c>
      <c r="F278" s="292">
        <v>1123.880005</v>
      </c>
      <c r="G278" s="292">
        <v>1535.15</v>
      </c>
      <c r="H278" s="292">
        <v>1201.150024</v>
      </c>
      <c r="I278" s="292">
        <v>59.45</v>
      </c>
      <c r="J278" s="197">
        <v>1846.599976</v>
      </c>
      <c r="L278" s="297">
        <f t="shared" si="71"/>
        <v>1.8830166858270707E-2</v>
      </c>
      <c r="M278" s="298">
        <f t="shared" si="72"/>
        <v>-1.3590311248944376E-2</v>
      </c>
      <c r="N278" s="298">
        <f t="shared" si="73"/>
        <v>-1.6427044178154243E-2</v>
      </c>
      <c r="O278" s="298">
        <f t="shared" si="74"/>
        <v>1.6516430983215733E-2</v>
      </c>
      <c r="P278" s="298">
        <f t="shared" si="75"/>
        <v>-2.6737670427031606E-2</v>
      </c>
      <c r="Q278" s="298">
        <f t="shared" si="76"/>
        <v>-4.3612869655350528E-3</v>
      </c>
      <c r="R278" s="298">
        <f t="shared" si="77"/>
        <v>1.1844470112522468E-2</v>
      </c>
      <c r="S278" s="299">
        <f t="shared" si="78"/>
        <v>2.5756090974141722E-3</v>
      </c>
      <c r="U278" s="303">
        <f t="shared" si="79"/>
        <v>2.0388872278779238E-2</v>
      </c>
      <c r="V278" s="86">
        <f t="shared" si="80"/>
        <v>-1.968803994740501E-2</v>
      </c>
      <c r="W278" s="86">
        <f t="shared" si="81"/>
        <v>-1.9275547523220412E-2</v>
      </c>
      <c r="X278" s="86">
        <f t="shared" si="82"/>
        <v>1.6145103470701225E-2</v>
      </c>
      <c r="Y278" s="86">
        <f t="shared" si="83"/>
        <v>-2.7846680418725234E-2</v>
      </c>
      <c r="Z278" s="86">
        <f t="shared" si="84"/>
        <v>-5.9230795647124031E-3</v>
      </c>
      <c r="AA278" s="86">
        <f t="shared" si="85"/>
        <v>1.7556390788066003E-2</v>
      </c>
      <c r="AB278" s="304">
        <f t="shared" si="86"/>
        <v>1.9632512207646115E-3</v>
      </c>
    </row>
    <row r="279" spans="2:28" x14ac:dyDescent="0.3">
      <c r="B279" s="271">
        <v>43711</v>
      </c>
      <c r="C279" s="292">
        <v>134.15</v>
      </c>
      <c r="D279" s="292">
        <v>44.450001</v>
      </c>
      <c r="E279" s="292">
        <v>2648.4</v>
      </c>
      <c r="F279" s="292">
        <v>1105.469971</v>
      </c>
      <c r="G279" s="292">
        <v>1576.75</v>
      </c>
      <c r="H279" s="292">
        <v>1206.400024</v>
      </c>
      <c r="I279" s="292">
        <v>58.75</v>
      </c>
      <c r="J279" s="197">
        <v>1841.849976</v>
      </c>
      <c r="L279" s="297">
        <f t="shared" si="71"/>
        <v>-3.6593911100266677E-2</v>
      </c>
      <c r="M279" s="298">
        <f t="shared" si="72"/>
        <v>-4.2934517878555796E-2</v>
      </c>
      <c r="N279" s="298">
        <f t="shared" si="73"/>
        <v>-4.4456238685047283E-3</v>
      </c>
      <c r="O279" s="298">
        <f t="shared" si="74"/>
        <v>-7.65962745551066E-3</v>
      </c>
      <c r="P279" s="298">
        <f t="shared" si="75"/>
        <v>-2.4711948255586737E-2</v>
      </c>
      <c r="Q279" s="298">
        <f t="shared" si="76"/>
        <v>-3.4342179073528351E-2</v>
      </c>
      <c r="R279" s="298">
        <f t="shared" si="77"/>
        <v>-2.0219728449254973E-2</v>
      </c>
      <c r="S279" s="299">
        <f t="shared" si="78"/>
        <v>-2.1511429279621717E-2</v>
      </c>
      <c r="U279" s="303">
        <f t="shared" si="79"/>
        <v>-3.5035205679758145E-2</v>
      </c>
      <c r="V279" s="86">
        <f t="shared" si="80"/>
        <v>-4.9032246577016429E-2</v>
      </c>
      <c r="W279" s="86">
        <f t="shared" si="81"/>
        <v>-7.294127213570898E-3</v>
      </c>
      <c r="X279" s="86">
        <f t="shared" si="82"/>
        <v>-8.0309549680251686E-3</v>
      </c>
      <c r="Y279" s="86">
        <f t="shared" si="83"/>
        <v>-2.5820958247280364E-2</v>
      </c>
      <c r="Z279" s="86">
        <f t="shared" si="84"/>
        <v>-3.5903971672705703E-2</v>
      </c>
      <c r="AA279" s="86">
        <f t="shared" si="85"/>
        <v>-1.4507807773711436E-2</v>
      </c>
      <c r="AB279" s="304">
        <f t="shared" si="86"/>
        <v>-2.2123787156271276E-2</v>
      </c>
    </row>
    <row r="280" spans="2:28" x14ac:dyDescent="0.3">
      <c r="B280" s="271">
        <v>43707</v>
      </c>
      <c r="C280" s="292">
        <v>139.15</v>
      </c>
      <c r="D280" s="292">
        <v>46.400002000000001</v>
      </c>
      <c r="E280" s="292">
        <v>2660.2</v>
      </c>
      <c r="F280" s="292">
        <v>1113.969971</v>
      </c>
      <c r="G280" s="292">
        <v>1616.2</v>
      </c>
      <c r="H280" s="292">
        <v>1248.5500489999999</v>
      </c>
      <c r="I280" s="292">
        <v>59.95</v>
      </c>
      <c r="J280" s="197">
        <v>1881.900024</v>
      </c>
      <c r="L280" s="297">
        <f t="shared" si="71"/>
        <v>2.4737529157855032E-2</v>
      </c>
      <c r="M280" s="298">
        <f t="shared" si="72"/>
        <v>6.6840015146349491E-2</v>
      </c>
      <c r="N280" s="298">
        <f t="shared" si="73"/>
        <v>7.2626070239233155E-3</v>
      </c>
      <c r="O280" s="298">
        <f t="shared" si="74"/>
        <v>4.4894589431590954E-4</v>
      </c>
      <c r="P280" s="298">
        <f t="shared" si="75"/>
        <v>5.8797136107244469E-4</v>
      </c>
      <c r="Q280" s="298">
        <f t="shared" si="76"/>
        <v>5.461242233659157E-3</v>
      </c>
      <c r="R280" s="298">
        <f t="shared" si="77"/>
        <v>4.3466578148002644E-2</v>
      </c>
      <c r="S280" s="299">
        <f t="shared" si="78"/>
        <v>2.6355253475928531E-2</v>
      </c>
      <c r="U280" s="303">
        <f t="shared" si="79"/>
        <v>2.6296234578363564E-2</v>
      </c>
      <c r="V280" s="86">
        <f t="shared" si="80"/>
        <v>6.0742286447888857E-2</v>
      </c>
      <c r="W280" s="86">
        <f t="shared" si="81"/>
        <v>4.4141036788571467E-3</v>
      </c>
      <c r="X280" s="86">
        <f t="shared" si="82"/>
        <v>7.761838180140023E-5</v>
      </c>
      <c r="Y280" s="86">
        <f t="shared" si="83"/>
        <v>-5.2103863062118421E-4</v>
      </c>
      <c r="Z280" s="86">
        <f t="shared" si="84"/>
        <v>3.8994496344818066E-3</v>
      </c>
      <c r="AA280" s="86">
        <f t="shared" si="85"/>
        <v>4.9178498823546177E-2</v>
      </c>
      <c r="AB280" s="304">
        <f t="shared" si="86"/>
        <v>2.5742895599278972E-2</v>
      </c>
    </row>
    <row r="281" spans="2:28" x14ac:dyDescent="0.3">
      <c r="B281" s="271">
        <v>43706</v>
      </c>
      <c r="C281" s="292">
        <v>135.75</v>
      </c>
      <c r="D281" s="292">
        <v>43.400002000000001</v>
      </c>
      <c r="E281" s="292">
        <v>2640.95</v>
      </c>
      <c r="F281" s="292">
        <v>1113.469971</v>
      </c>
      <c r="G281" s="292">
        <v>1615.25</v>
      </c>
      <c r="H281" s="292">
        <v>1241.75</v>
      </c>
      <c r="I281" s="292">
        <v>57.4</v>
      </c>
      <c r="J281" s="197">
        <v>1832.9499510000001</v>
      </c>
      <c r="L281" s="297">
        <f t="shared" si="71"/>
        <v>2.5365030140934608E-2</v>
      </c>
      <c r="M281" s="298">
        <f t="shared" si="72"/>
        <v>-1.486584249140527E-2</v>
      </c>
      <c r="N281" s="298">
        <f t="shared" si="73"/>
        <v>-1.9461411402159259E-2</v>
      </c>
      <c r="O281" s="298">
        <f t="shared" si="74"/>
        <v>-9.1900675705990625E-3</v>
      </c>
      <c r="P281" s="298">
        <f t="shared" si="75"/>
        <v>7.5192996588236945E-3</v>
      </c>
      <c r="Q281" s="298">
        <f t="shared" si="76"/>
        <v>-1.7205708635834212E-2</v>
      </c>
      <c r="R281" s="298">
        <f t="shared" si="77"/>
        <v>-3.5932009226063329E-2</v>
      </c>
      <c r="S281" s="299">
        <f t="shared" si="78"/>
        <v>2.6495010632926275E-3</v>
      </c>
      <c r="U281" s="303">
        <f t="shared" si="79"/>
        <v>2.6923735561443139E-2</v>
      </c>
      <c r="V281" s="86">
        <f t="shared" si="80"/>
        <v>-2.0963571189865905E-2</v>
      </c>
      <c r="W281" s="86">
        <f t="shared" si="81"/>
        <v>-2.2309914747225428E-2</v>
      </c>
      <c r="X281" s="86">
        <f t="shared" si="82"/>
        <v>-9.5613950831135719E-3</v>
      </c>
      <c r="Y281" s="86">
        <f t="shared" si="83"/>
        <v>6.410289667130066E-3</v>
      </c>
      <c r="Z281" s="86">
        <f t="shared" si="84"/>
        <v>-1.8767501235011561E-2</v>
      </c>
      <c r="AA281" s="86">
        <f t="shared" si="85"/>
        <v>-3.0220088550519792E-2</v>
      </c>
      <c r="AB281" s="304">
        <f t="shared" si="86"/>
        <v>2.0371431866430664E-3</v>
      </c>
    </row>
    <row r="282" spans="2:28" x14ac:dyDescent="0.3">
      <c r="B282" s="271">
        <v>43705</v>
      </c>
      <c r="C282" s="292">
        <v>132.35</v>
      </c>
      <c r="D282" s="292">
        <v>44.049999</v>
      </c>
      <c r="E282" s="292">
        <v>2692.85</v>
      </c>
      <c r="F282" s="292">
        <v>1123.75</v>
      </c>
      <c r="G282" s="292">
        <v>1603.15</v>
      </c>
      <c r="H282" s="292">
        <v>1263.3000489999999</v>
      </c>
      <c r="I282" s="292">
        <v>59.5</v>
      </c>
      <c r="J282" s="197">
        <v>1828.099976</v>
      </c>
      <c r="L282" s="297">
        <f t="shared" si="71"/>
        <v>-4.2528131742136148E-2</v>
      </c>
      <c r="M282" s="298">
        <f t="shared" si="72"/>
        <v>-2.0225453483857375E-2</v>
      </c>
      <c r="N282" s="298">
        <f t="shared" si="73"/>
        <v>5.5782075827255993E-2</v>
      </c>
      <c r="O282" s="298">
        <f t="shared" si="74"/>
        <v>-5.5197512311690455E-3</v>
      </c>
      <c r="P282" s="298">
        <f t="shared" si="75"/>
        <v>2.3106236471528781E-3</v>
      </c>
      <c r="Q282" s="298">
        <f t="shared" si="76"/>
        <v>-9.1011221637064457E-3</v>
      </c>
      <c r="R282" s="298">
        <f t="shared" si="77"/>
        <v>-8.0688911250142756E-2</v>
      </c>
      <c r="S282" s="299">
        <f t="shared" si="78"/>
        <v>-1.8051742660476305E-2</v>
      </c>
      <c r="U282" s="303">
        <f t="shared" si="79"/>
        <v>-4.0969426321627617E-2</v>
      </c>
      <c r="V282" s="86">
        <f t="shared" si="80"/>
        <v>-2.6323182182318008E-2</v>
      </c>
      <c r="W282" s="86">
        <f t="shared" si="81"/>
        <v>5.2933572482189821E-2</v>
      </c>
      <c r="X282" s="86">
        <f t="shared" si="82"/>
        <v>-5.891078743683555E-3</v>
      </c>
      <c r="Y282" s="86">
        <f t="shared" si="83"/>
        <v>1.2016136554592492E-3</v>
      </c>
      <c r="Z282" s="86">
        <f t="shared" si="84"/>
        <v>-1.0662914762883797E-2</v>
      </c>
      <c r="AA282" s="86">
        <f t="shared" si="85"/>
        <v>-7.4976990574599223E-2</v>
      </c>
      <c r="AB282" s="304">
        <f t="shared" si="86"/>
        <v>-1.8664100537125864E-2</v>
      </c>
    </row>
    <row r="283" spans="2:28" x14ac:dyDescent="0.3">
      <c r="B283" s="271">
        <v>43704</v>
      </c>
      <c r="C283" s="292">
        <v>138.1</v>
      </c>
      <c r="D283" s="292">
        <v>44.950001</v>
      </c>
      <c r="E283" s="292">
        <v>2546.75</v>
      </c>
      <c r="F283" s="292">
        <v>1129.969971</v>
      </c>
      <c r="G283" s="292">
        <v>1599.45</v>
      </c>
      <c r="H283" s="292">
        <v>1274.849976</v>
      </c>
      <c r="I283" s="292">
        <v>64.5</v>
      </c>
      <c r="J283" s="197">
        <v>1861.400024</v>
      </c>
      <c r="L283" s="297">
        <f t="shared" si="71"/>
        <v>2.2332980176621837E-2</v>
      </c>
      <c r="M283" s="298">
        <f t="shared" si="72"/>
        <v>2.9347455059944912E-2</v>
      </c>
      <c r="N283" s="298">
        <f t="shared" si="73"/>
        <v>6.2583690810803588E-2</v>
      </c>
      <c r="O283" s="298">
        <f t="shared" si="74"/>
        <v>1.6828980162168421E-3</v>
      </c>
      <c r="P283" s="298">
        <f t="shared" si="75"/>
        <v>1.188614465870476E-3</v>
      </c>
      <c r="Q283" s="298">
        <f t="shared" si="76"/>
        <v>6.3344314423776612E-3</v>
      </c>
      <c r="R283" s="298">
        <f t="shared" si="77"/>
        <v>2.5119060095332019E-2</v>
      </c>
      <c r="S283" s="299">
        <f t="shared" si="78"/>
        <v>-8.1061050370970882E-3</v>
      </c>
      <c r="U283" s="303">
        <f t="shared" si="79"/>
        <v>2.3891685597130369E-2</v>
      </c>
      <c r="V283" s="86">
        <f t="shared" si="80"/>
        <v>2.3249726361484278E-2</v>
      </c>
      <c r="W283" s="86">
        <f t="shared" si="81"/>
        <v>5.9735187465737416E-2</v>
      </c>
      <c r="X283" s="86">
        <f t="shared" si="82"/>
        <v>1.3115705037023326E-3</v>
      </c>
      <c r="Y283" s="86">
        <f t="shared" si="83"/>
        <v>7.9604474176847139E-5</v>
      </c>
      <c r="Z283" s="86">
        <f t="shared" si="84"/>
        <v>4.7726388432003108E-3</v>
      </c>
      <c r="AA283" s="86">
        <f t="shared" si="85"/>
        <v>3.0830980770875555E-2</v>
      </c>
      <c r="AB283" s="304">
        <f t="shared" si="86"/>
        <v>-8.7184629137466493E-3</v>
      </c>
    </row>
    <row r="284" spans="2:28" x14ac:dyDescent="0.3">
      <c r="B284" s="271">
        <v>43703</v>
      </c>
      <c r="C284" s="292">
        <v>135.05000000000001</v>
      </c>
      <c r="D284" s="292">
        <v>43.650002000000001</v>
      </c>
      <c r="E284" s="292">
        <v>2392.25</v>
      </c>
      <c r="F284" s="292">
        <v>1128.0699460000001</v>
      </c>
      <c r="G284" s="292">
        <v>1597.55</v>
      </c>
      <c r="H284" s="292">
        <v>1266.8000489999999</v>
      </c>
      <c r="I284" s="292">
        <v>62.9</v>
      </c>
      <c r="J284" s="197">
        <v>1876.5500489999999</v>
      </c>
      <c r="L284" s="297">
        <f t="shared" si="71"/>
        <v>-1.7251299549624361E-2</v>
      </c>
      <c r="M284" s="298">
        <f t="shared" si="72"/>
        <v>-4.5713451035317093E-3</v>
      </c>
      <c r="N284" s="298">
        <f t="shared" si="73"/>
        <v>3.0257761055581003E-2</v>
      </c>
      <c r="O284" s="298">
        <f t="shared" si="74"/>
        <v>4.2297921676564459E-2</v>
      </c>
      <c r="P284" s="298">
        <f t="shared" si="75"/>
        <v>1.0793226129191858E-2</v>
      </c>
      <c r="Q284" s="298">
        <f t="shared" si="76"/>
        <v>-7.1185299800751905E-3</v>
      </c>
      <c r="R284" s="298">
        <f t="shared" si="77"/>
        <v>5.9780383691154237E-2</v>
      </c>
      <c r="S284" s="299">
        <f t="shared" si="78"/>
        <v>8.8585229749810913E-3</v>
      </c>
      <c r="U284" s="303">
        <f t="shared" si="79"/>
        <v>-1.569259412911583E-2</v>
      </c>
      <c r="V284" s="86">
        <f t="shared" si="80"/>
        <v>-1.0669073801992343E-2</v>
      </c>
      <c r="W284" s="86">
        <f t="shared" si="81"/>
        <v>2.7409257710514834E-2</v>
      </c>
      <c r="X284" s="86">
        <f t="shared" si="82"/>
        <v>4.1926594164049952E-2</v>
      </c>
      <c r="Y284" s="86">
        <f t="shared" si="83"/>
        <v>9.6842161374982288E-3</v>
      </c>
      <c r="Z284" s="86">
        <f t="shared" si="84"/>
        <v>-8.6803225792525408E-3</v>
      </c>
      <c r="AA284" s="86">
        <f t="shared" si="85"/>
        <v>6.5492304366697771E-2</v>
      </c>
      <c r="AB284" s="304">
        <f t="shared" si="86"/>
        <v>8.2461650983315302E-3</v>
      </c>
    </row>
    <row r="285" spans="2:28" x14ac:dyDescent="0.3">
      <c r="B285" s="271">
        <v>43700</v>
      </c>
      <c r="C285" s="292">
        <v>137.4</v>
      </c>
      <c r="D285" s="292">
        <v>43.849997999999999</v>
      </c>
      <c r="E285" s="292">
        <v>2320.9499999999998</v>
      </c>
      <c r="F285" s="292">
        <v>1081.349976</v>
      </c>
      <c r="G285" s="292">
        <v>1580.4</v>
      </c>
      <c r="H285" s="292">
        <v>1275.849976</v>
      </c>
      <c r="I285" s="292">
        <v>59.25</v>
      </c>
      <c r="J285" s="197">
        <v>1860</v>
      </c>
      <c r="L285" s="297">
        <f t="shared" si="71"/>
        <v>6.2696453623626081E-2</v>
      </c>
      <c r="M285" s="298">
        <f t="shared" si="72"/>
        <v>8.0137351135183329E-3</v>
      </c>
      <c r="N285" s="298">
        <f t="shared" si="73"/>
        <v>8.1982743219633329E-3</v>
      </c>
      <c r="O285" s="298">
        <f t="shared" si="74"/>
        <v>-5.2574119753045871E-3</v>
      </c>
      <c r="P285" s="298">
        <f t="shared" si="75"/>
        <v>6.4749797730805315E-3</v>
      </c>
      <c r="Q285" s="298">
        <f t="shared" si="76"/>
        <v>2.3072438898466253E-2</v>
      </c>
      <c r="R285" s="298">
        <f t="shared" si="77"/>
        <v>5.1071244869595932E-2</v>
      </c>
      <c r="S285" s="299">
        <f t="shared" si="78"/>
        <v>-6.4842948871476989E-3</v>
      </c>
      <c r="U285" s="303">
        <f t="shared" si="79"/>
        <v>6.4255159044134605E-2</v>
      </c>
      <c r="V285" s="86">
        <f t="shared" si="80"/>
        <v>1.9160064150576988E-3</v>
      </c>
      <c r="W285" s="86">
        <f t="shared" si="81"/>
        <v>5.3497709768971641E-3</v>
      </c>
      <c r="X285" s="86">
        <f t="shared" si="82"/>
        <v>-5.6287394878190965E-3</v>
      </c>
      <c r="Y285" s="86">
        <f t="shared" si="83"/>
        <v>5.365969781386903E-3</v>
      </c>
      <c r="Z285" s="86">
        <f t="shared" si="84"/>
        <v>2.1510646299288904E-2</v>
      </c>
      <c r="AA285" s="86">
        <f t="shared" si="85"/>
        <v>5.6783165545139465E-2</v>
      </c>
      <c r="AB285" s="304">
        <f t="shared" si="86"/>
        <v>-7.09665276379726E-3</v>
      </c>
    </row>
    <row r="286" spans="2:28" x14ac:dyDescent="0.3">
      <c r="B286" s="271">
        <v>43699</v>
      </c>
      <c r="C286" s="292">
        <v>129.05000000000001</v>
      </c>
      <c r="D286" s="292">
        <v>43.5</v>
      </c>
      <c r="E286" s="292">
        <v>2302</v>
      </c>
      <c r="F286" s="292">
        <v>1087.0500489999999</v>
      </c>
      <c r="G286" s="292">
        <v>1570.2</v>
      </c>
      <c r="H286" s="292">
        <v>1246.75</v>
      </c>
      <c r="I286" s="292">
        <v>56.3</v>
      </c>
      <c r="J286" s="197">
        <v>1872.099976</v>
      </c>
      <c r="L286" s="297">
        <f t="shared" si="71"/>
        <v>-8.1085289796839502E-2</v>
      </c>
      <c r="M286" s="298">
        <f t="shared" si="72"/>
        <v>-1.3698799006686914E-2</v>
      </c>
      <c r="N286" s="298">
        <f t="shared" si="73"/>
        <v>3.8729087713315499E-2</v>
      </c>
      <c r="O286" s="298">
        <f t="shared" si="74"/>
        <v>-2.3528575436979053E-2</v>
      </c>
      <c r="P286" s="298">
        <f t="shared" si="75"/>
        <v>-1.1996282310333636E-2</v>
      </c>
      <c r="Q286" s="298">
        <f t="shared" si="76"/>
        <v>-1.9224448332512536E-2</v>
      </c>
      <c r="R286" s="298">
        <f t="shared" si="77"/>
        <v>-0.14982772331750846</v>
      </c>
      <c r="S286" s="299">
        <f t="shared" si="78"/>
        <v>1.1875143522024104E-2</v>
      </c>
      <c r="U286" s="303">
        <f t="shared" si="79"/>
        <v>-7.9526584376330978E-2</v>
      </c>
      <c r="V286" s="86">
        <f t="shared" si="80"/>
        <v>-1.9796527705147549E-2</v>
      </c>
      <c r="W286" s="86">
        <f t="shared" si="81"/>
        <v>3.5880584368249327E-2</v>
      </c>
      <c r="X286" s="86">
        <f t="shared" si="82"/>
        <v>-2.3899902949493561E-2</v>
      </c>
      <c r="Y286" s="86">
        <f t="shared" si="83"/>
        <v>-1.3105292302027265E-2</v>
      </c>
      <c r="Z286" s="86">
        <f t="shared" si="84"/>
        <v>-2.0786240931689886E-2</v>
      </c>
      <c r="AA286" s="86">
        <f t="shared" si="85"/>
        <v>-0.14411580264196491</v>
      </c>
      <c r="AB286" s="304">
        <f t="shared" si="86"/>
        <v>1.1262785645374543E-2</v>
      </c>
    </row>
    <row r="287" spans="2:28" x14ac:dyDescent="0.3">
      <c r="B287" s="271">
        <v>43698</v>
      </c>
      <c r="C287" s="292">
        <v>139.94999999999999</v>
      </c>
      <c r="D287" s="292">
        <v>44.099997999999999</v>
      </c>
      <c r="E287" s="292">
        <v>2214.5500000000002</v>
      </c>
      <c r="F287" s="292">
        <v>1112.9300539999999</v>
      </c>
      <c r="G287" s="292">
        <v>1589.15</v>
      </c>
      <c r="H287" s="292">
        <v>1270.9499510000001</v>
      </c>
      <c r="I287" s="292">
        <v>65.400000000000006</v>
      </c>
      <c r="J287" s="197">
        <v>1850</v>
      </c>
      <c r="L287" s="297">
        <f t="shared" si="71"/>
        <v>-1.7354783016413002E-2</v>
      </c>
      <c r="M287" s="298">
        <f t="shared" si="72"/>
        <v>-3.7824332184752528E-2</v>
      </c>
      <c r="N287" s="298">
        <f t="shared" si="73"/>
        <v>1.4686447051594476E-3</v>
      </c>
      <c r="O287" s="298">
        <f t="shared" si="74"/>
        <v>2.3659325440660468E-3</v>
      </c>
      <c r="P287" s="298">
        <f t="shared" si="75"/>
        <v>-3.7684936097543385E-3</v>
      </c>
      <c r="Q287" s="298">
        <f t="shared" si="76"/>
        <v>-3.9263470225030187E-3</v>
      </c>
      <c r="R287" s="298">
        <f t="shared" si="77"/>
        <v>-8.4970559954776981E-2</v>
      </c>
      <c r="S287" s="299">
        <f t="shared" si="78"/>
        <v>3.5739334933861046E-3</v>
      </c>
      <c r="U287" s="303">
        <f t="shared" si="79"/>
        <v>-1.579607759590447E-2</v>
      </c>
      <c r="V287" s="86">
        <f t="shared" si="80"/>
        <v>-4.3922060883213161E-2</v>
      </c>
      <c r="W287" s="86">
        <f t="shared" si="81"/>
        <v>-1.3798586399067217E-3</v>
      </c>
      <c r="X287" s="86">
        <f t="shared" si="82"/>
        <v>1.9946050315515374E-3</v>
      </c>
      <c r="Y287" s="86">
        <f t="shared" si="83"/>
        <v>-4.8775036014479679E-3</v>
      </c>
      <c r="Z287" s="86">
        <f t="shared" si="84"/>
        <v>-5.488139621680369E-3</v>
      </c>
      <c r="AA287" s="86">
        <f t="shared" si="85"/>
        <v>-7.9258639279233448E-2</v>
      </c>
      <c r="AB287" s="304">
        <f t="shared" si="86"/>
        <v>2.9615756167365439E-3</v>
      </c>
    </row>
    <row r="288" spans="2:28" x14ac:dyDescent="0.3">
      <c r="B288" s="271">
        <v>43697</v>
      </c>
      <c r="C288" s="292">
        <v>142.4</v>
      </c>
      <c r="D288" s="292">
        <v>45.799999</v>
      </c>
      <c r="E288" s="292">
        <v>2211.3000000000002</v>
      </c>
      <c r="F288" s="292">
        <v>1110.3000489999999</v>
      </c>
      <c r="G288" s="292">
        <v>1595.15</v>
      </c>
      <c r="H288" s="292">
        <v>1275.9499510000001</v>
      </c>
      <c r="I288" s="292">
        <v>71.2</v>
      </c>
      <c r="J288" s="197">
        <v>1843.400024</v>
      </c>
      <c r="L288" s="297">
        <f t="shared" si="71"/>
        <v>-1.3254466801949815E-2</v>
      </c>
      <c r="M288" s="298">
        <f t="shared" si="72"/>
        <v>-1.1937179575839233E-2</v>
      </c>
      <c r="N288" s="298">
        <f t="shared" si="73"/>
        <v>-4.4510746397485486E-2</v>
      </c>
      <c r="O288" s="298">
        <f t="shared" si="74"/>
        <v>6.2067340958963284E-3</v>
      </c>
      <c r="P288" s="298">
        <f t="shared" si="75"/>
        <v>5.4689600731672519E-3</v>
      </c>
      <c r="Q288" s="298">
        <f t="shared" si="76"/>
        <v>-1.296471448031865E-2</v>
      </c>
      <c r="R288" s="298">
        <f t="shared" si="77"/>
        <v>-7.3756786899893109E-2</v>
      </c>
      <c r="S288" s="299">
        <f t="shared" si="78"/>
        <v>1.2280808060891367E-2</v>
      </c>
      <c r="U288" s="303">
        <f t="shared" si="79"/>
        <v>-1.1695761381441286E-2</v>
      </c>
      <c r="V288" s="86">
        <f t="shared" si="80"/>
        <v>-1.8034908274299866E-2</v>
      </c>
      <c r="W288" s="86">
        <f t="shared" si="81"/>
        <v>-4.7359249742551658E-2</v>
      </c>
      <c r="X288" s="86">
        <f t="shared" si="82"/>
        <v>5.835406583381819E-3</v>
      </c>
      <c r="Y288" s="86">
        <f t="shared" si="83"/>
        <v>4.3599500814736226E-3</v>
      </c>
      <c r="Z288" s="86">
        <f t="shared" si="84"/>
        <v>-1.4526507079496001E-2</v>
      </c>
      <c r="AA288" s="86">
        <f t="shared" si="85"/>
        <v>-6.8044866224349576E-2</v>
      </c>
      <c r="AB288" s="304">
        <f t="shared" si="86"/>
        <v>1.1668450184241806E-2</v>
      </c>
    </row>
    <row r="289" spans="2:28" x14ac:dyDescent="0.3">
      <c r="B289" s="271">
        <v>43696</v>
      </c>
      <c r="C289" s="292">
        <v>144.30000000000001</v>
      </c>
      <c r="D289" s="292">
        <v>46.349997999999999</v>
      </c>
      <c r="E289" s="292">
        <v>2311.9499999999998</v>
      </c>
      <c r="F289" s="292">
        <v>1103.4300539999999</v>
      </c>
      <c r="G289" s="292">
        <v>1586.45</v>
      </c>
      <c r="H289" s="292">
        <v>1292.599976</v>
      </c>
      <c r="I289" s="292">
        <v>76.650000000000006</v>
      </c>
      <c r="J289" s="197">
        <v>1820.900024</v>
      </c>
      <c r="L289" s="297">
        <f t="shared" si="71"/>
        <v>-6.9276067890060484E-4</v>
      </c>
      <c r="M289" s="298">
        <f t="shared" si="72"/>
        <v>-1.0729717133078718E-2</v>
      </c>
      <c r="N289" s="298">
        <f t="shared" si="73"/>
        <v>-2.2644413473133895E-2</v>
      </c>
      <c r="O289" s="298">
        <f t="shared" si="74"/>
        <v>-9.3989018674566268E-3</v>
      </c>
      <c r="P289" s="298">
        <f t="shared" si="75"/>
        <v>-6.9097922462546379E-3</v>
      </c>
      <c r="Q289" s="298">
        <f t="shared" si="76"/>
        <v>1.135931932408594E-2</v>
      </c>
      <c r="R289" s="298">
        <f t="shared" si="77"/>
        <v>-3.5878287664901795E-2</v>
      </c>
      <c r="S289" s="299">
        <f t="shared" si="78"/>
        <v>-4.2471052856079506E-3</v>
      </c>
      <c r="U289" s="303">
        <f t="shared" si="79"/>
        <v>8.6594474160792535E-4</v>
      </c>
      <c r="V289" s="86">
        <f t="shared" si="80"/>
        <v>-1.6827445831539351E-2</v>
      </c>
      <c r="W289" s="86">
        <f t="shared" si="81"/>
        <v>-2.5492916818200064E-2</v>
      </c>
      <c r="X289" s="86">
        <f t="shared" si="82"/>
        <v>-9.7702293799711362E-3</v>
      </c>
      <c r="Y289" s="86">
        <f t="shared" si="83"/>
        <v>-8.0188022379482672E-3</v>
      </c>
      <c r="Z289" s="86">
        <f t="shared" si="84"/>
        <v>9.7975267249085889E-3</v>
      </c>
      <c r="AA289" s="86">
        <f t="shared" si="85"/>
        <v>-3.0166366989358259E-2</v>
      </c>
      <c r="AB289" s="304">
        <f t="shared" si="86"/>
        <v>-4.8594631622575117E-3</v>
      </c>
    </row>
    <row r="290" spans="2:28" x14ac:dyDescent="0.3">
      <c r="B290" s="271">
        <v>43693</v>
      </c>
      <c r="C290" s="292">
        <v>144.4</v>
      </c>
      <c r="D290" s="292">
        <v>46.849997999999999</v>
      </c>
      <c r="E290" s="292">
        <v>2364.9</v>
      </c>
      <c r="F290" s="292">
        <v>1113.849976</v>
      </c>
      <c r="G290" s="292">
        <v>1597.45</v>
      </c>
      <c r="H290" s="292">
        <v>1278</v>
      </c>
      <c r="I290" s="292">
        <v>79.45</v>
      </c>
      <c r="J290" s="197">
        <v>1828.650024</v>
      </c>
      <c r="L290" s="297">
        <f t="shared" si="71"/>
        <v>-1.4779440698175625E-2</v>
      </c>
      <c r="M290" s="298">
        <f t="shared" si="72"/>
        <v>5.3504677818516687E-3</v>
      </c>
      <c r="N290" s="298">
        <f t="shared" si="73"/>
        <v>6.0438520966374252E-3</v>
      </c>
      <c r="O290" s="298">
        <f t="shared" si="74"/>
        <v>-7.8076530231105618E-4</v>
      </c>
      <c r="P290" s="298">
        <f t="shared" si="75"/>
        <v>1.7524089576169417E-2</v>
      </c>
      <c r="Q290" s="298">
        <f t="shared" si="76"/>
        <v>-7.988352270853526E-3</v>
      </c>
      <c r="R290" s="298">
        <f t="shared" si="77"/>
        <v>3.7183770879032255E-2</v>
      </c>
      <c r="S290" s="299">
        <f t="shared" si="78"/>
        <v>-5.671157764710482E-3</v>
      </c>
      <c r="U290" s="303">
        <f t="shared" si="79"/>
        <v>-1.3220735277667095E-2</v>
      </c>
      <c r="V290" s="86">
        <f t="shared" si="80"/>
        <v>-7.472609166089654E-4</v>
      </c>
      <c r="W290" s="86">
        <f t="shared" si="81"/>
        <v>3.1953487515712559E-3</v>
      </c>
      <c r="X290" s="86">
        <f t="shared" si="82"/>
        <v>-1.1520928148255655E-3</v>
      </c>
      <c r="Y290" s="86">
        <f t="shared" si="83"/>
        <v>1.641507958447579E-2</v>
      </c>
      <c r="Z290" s="86">
        <f t="shared" si="84"/>
        <v>-9.5501448700308772E-3</v>
      </c>
      <c r="AA290" s="86">
        <f t="shared" si="85"/>
        <v>4.2895691554575788E-2</v>
      </c>
      <c r="AB290" s="304">
        <f t="shared" si="86"/>
        <v>-6.2835156413600431E-3</v>
      </c>
    </row>
    <row r="291" spans="2:28" x14ac:dyDescent="0.3">
      <c r="B291" s="271">
        <v>43691</v>
      </c>
      <c r="C291" s="292">
        <v>146.55000000000001</v>
      </c>
      <c r="D291" s="292">
        <v>46.599997999999999</v>
      </c>
      <c r="E291" s="292">
        <v>2350.65</v>
      </c>
      <c r="F291" s="292">
        <v>1114.719971</v>
      </c>
      <c r="G291" s="292">
        <v>1569.7</v>
      </c>
      <c r="H291" s="292">
        <v>1288.25</v>
      </c>
      <c r="I291" s="292">
        <v>76.55</v>
      </c>
      <c r="J291" s="197">
        <v>1839.0500489999999</v>
      </c>
      <c r="L291" s="297">
        <f t="shared" si="71"/>
        <v>4.7511555121692903E-2</v>
      </c>
      <c r="M291" s="298">
        <f t="shared" si="72"/>
        <v>2.1481856198336995E-3</v>
      </c>
      <c r="N291" s="298">
        <f t="shared" si="73"/>
        <v>0.16547742812296523</v>
      </c>
      <c r="O291" s="298">
        <f t="shared" si="74"/>
        <v>4.0810133038671967E-3</v>
      </c>
      <c r="P291" s="298">
        <f t="shared" si="75"/>
        <v>-2.3225857945612348E-3</v>
      </c>
      <c r="Q291" s="298">
        <f t="shared" si="76"/>
        <v>1.0534627273068461E-2</v>
      </c>
      <c r="R291" s="298">
        <f t="shared" si="77"/>
        <v>3.9299096368862148E-2</v>
      </c>
      <c r="S291" s="299">
        <f t="shared" si="78"/>
        <v>7.806169236669807E-3</v>
      </c>
      <c r="U291" s="303">
        <f t="shared" si="79"/>
        <v>4.9070260542201434E-2</v>
      </c>
      <c r="V291" s="86">
        <f t="shared" si="80"/>
        <v>-3.9495430786269346E-3</v>
      </c>
      <c r="W291" s="86">
        <f t="shared" si="81"/>
        <v>0.16262892477789906</v>
      </c>
      <c r="X291" s="86">
        <f t="shared" si="82"/>
        <v>3.7096857913526873E-3</v>
      </c>
      <c r="Y291" s="86">
        <f t="shared" si="83"/>
        <v>-3.4315957862548637E-3</v>
      </c>
      <c r="Z291" s="86">
        <f t="shared" si="84"/>
        <v>8.9728346738911103E-3</v>
      </c>
      <c r="AA291" s="86">
        <f t="shared" si="85"/>
        <v>4.5011017044405681E-2</v>
      </c>
      <c r="AB291" s="304">
        <f t="shared" si="86"/>
        <v>7.1938113600202459E-3</v>
      </c>
    </row>
    <row r="292" spans="2:28" x14ac:dyDescent="0.3">
      <c r="B292" s="271">
        <v>43690</v>
      </c>
      <c r="C292" s="292">
        <v>139.75</v>
      </c>
      <c r="D292" s="292">
        <v>46.5</v>
      </c>
      <c r="E292" s="292">
        <v>1992.15</v>
      </c>
      <c r="F292" s="292">
        <v>1110.1800539999999</v>
      </c>
      <c r="G292" s="292">
        <v>1573.35</v>
      </c>
      <c r="H292" s="292">
        <v>1274.75</v>
      </c>
      <c r="I292" s="292">
        <v>73.599999999999994</v>
      </c>
      <c r="J292" s="197">
        <v>1824.75</v>
      </c>
      <c r="L292" s="297">
        <f t="shared" si="71"/>
        <v>-1.2444605048083751E-2</v>
      </c>
      <c r="M292" s="298">
        <f t="shared" si="72"/>
        <v>2.1528102576536859E-3</v>
      </c>
      <c r="N292" s="298">
        <f t="shared" si="73"/>
        <v>2.611419832458382E-2</v>
      </c>
      <c r="O292" s="298">
        <f t="shared" si="74"/>
        <v>-2.7382857899636116E-2</v>
      </c>
      <c r="P292" s="298">
        <f t="shared" si="75"/>
        <v>-1.3655781216067324E-3</v>
      </c>
      <c r="Q292" s="298">
        <f t="shared" si="76"/>
        <v>9.2521388358704881E-2</v>
      </c>
      <c r="R292" s="298">
        <f t="shared" si="77"/>
        <v>-0.10990181874844672</v>
      </c>
      <c r="S292" s="299">
        <f t="shared" si="78"/>
        <v>-9.0559938664724407E-3</v>
      </c>
      <c r="U292" s="303">
        <f t="shared" si="79"/>
        <v>-1.0885899627575222E-2</v>
      </c>
      <c r="V292" s="86">
        <f t="shared" si="80"/>
        <v>-3.9449184408069486E-3</v>
      </c>
      <c r="W292" s="86">
        <f t="shared" si="81"/>
        <v>2.3265694979517651E-2</v>
      </c>
      <c r="X292" s="86">
        <f t="shared" si="82"/>
        <v>-2.7754185412150623E-2</v>
      </c>
      <c r="Y292" s="86">
        <f t="shared" si="83"/>
        <v>-2.4745881133003611E-3</v>
      </c>
      <c r="Z292" s="86">
        <f t="shared" si="84"/>
        <v>9.0959595759527528E-2</v>
      </c>
      <c r="AA292" s="86">
        <f t="shared" si="85"/>
        <v>-0.10418989807290319</v>
      </c>
      <c r="AB292" s="304">
        <f t="shared" si="86"/>
        <v>-9.6683517431220018E-3</v>
      </c>
    </row>
    <row r="293" spans="2:28" x14ac:dyDescent="0.3">
      <c r="B293" s="271">
        <v>43686</v>
      </c>
      <c r="C293" s="292">
        <v>141.5</v>
      </c>
      <c r="D293" s="292">
        <v>46.400002000000001</v>
      </c>
      <c r="E293" s="292">
        <v>1940.8</v>
      </c>
      <c r="F293" s="292">
        <v>1141</v>
      </c>
      <c r="G293" s="292">
        <v>1575.5</v>
      </c>
      <c r="H293" s="292">
        <v>1162.099976</v>
      </c>
      <c r="I293" s="292">
        <v>82.15</v>
      </c>
      <c r="J293" s="197">
        <v>1841.349976</v>
      </c>
      <c r="L293" s="297">
        <f t="shared" si="71"/>
        <v>1.9986389762506409E-2</v>
      </c>
      <c r="M293" s="298">
        <f t="shared" si="72"/>
        <v>-2.0267275057781052E-2</v>
      </c>
      <c r="N293" s="298">
        <f t="shared" si="73"/>
        <v>3.6146301382502057E-2</v>
      </c>
      <c r="O293" s="298">
        <f t="shared" si="74"/>
        <v>2.1643632984802076E-2</v>
      </c>
      <c r="P293" s="298">
        <f t="shared" si="75"/>
        <v>6.1119436459319059E-3</v>
      </c>
      <c r="Q293" s="298">
        <f t="shared" si="76"/>
        <v>8.4253778470666681E-3</v>
      </c>
      <c r="R293" s="298">
        <f t="shared" si="77"/>
        <v>-8.2334195102686525E-2</v>
      </c>
      <c r="S293" s="299">
        <f t="shared" si="78"/>
        <v>2.0991592726301349E-2</v>
      </c>
      <c r="U293" s="303">
        <f t="shared" si="79"/>
        <v>2.154509518301494E-2</v>
      </c>
      <c r="V293" s="86">
        <f t="shared" si="80"/>
        <v>-2.6365003756241685E-2</v>
      </c>
      <c r="W293" s="86">
        <f t="shared" si="81"/>
        <v>3.3297798037435884E-2</v>
      </c>
      <c r="X293" s="86">
        <f t="shared" si="82"/>
        <v>2.1272305472287568E-2</v>
      </c>
      <c r="Y293" s="86">
        <f t="shared" si="83"/>
        <v>5.0029336542382775E-3</v>
      </c>
      <c r="Z293" s="86">
        <f t="shared" si="84"/>
        <v>6.8635852478893178E-3</v>
      </c>
      <c r="AA293" s="86">
        <f t="shared" si="85"/>
        <v>-7.6622274427142992E-2</v>
      </c>
      <c r="AB293" s="304">
        <f t="shared" si="86"/>
        <v>2.0379234849651789E-2</v>
      </c>
    </row>
    <row r="294" spans="2:28" x14ac:dyDescent="0.3">
      <c r="B294" s="271">
        <v>43685</v>
      </c>
      <c r="C294" s="292">
        <v>138.69999999999999</v>
      </c>
      <c r="D294" s="292">
        <v>47.349997999999999</v>
      </c>
      <c r="E294" s="292">
        <v>1871.9</v>
      </c>
      <c r="F294" s="292">
        <v>1116.5699460000001</v>
      </c>
      <c r="G294" s="292">
        <v>1565.9</v>
      </c>
      <c r="H294" s="292">
        <v>1152.349976</v>
      </c>
      <c r="I294" s="292">
        <v>89.2</v>
      </c>
      <c r="J294" s="197">
        <v>1803.099976</v>
      </c>
      <c r="L294" s="297">
        <f t="shared" si="71"/>
        <v>1.4890414946708664E-2</v>
      </c>
      <c r="M294" s="298">
        <f t="shared" si="72"/>
        <v>-9.4588411834700282E-3</v>
      </c>
      <c r="N294" s="298">
        <f t="shared" si="73"/>
        <v>-8.2769305324674372E-4</v>
      </c>
      <c r="O294" s="298">
        <f t="shared" si="74"/>
        <v>2.2250560572423021E-2</v>
      </c>
      <c r="P294" s="298">
        <f t="shared" si="75"/>
        <v>4.2878693580462269E-3</v>
      </c>
      <c r="Q294" s="298">
        <f t="shared" si="76"/>
        <v>3.7983964475044416E-2</v>
      </c>
      <c r="R294" s="298">
        <f t="shared" si="77"/>
        <v>2.6698546898849894E-2</v>
      </c>
      <c r="S294" s="299">
        <f t="shared" si="78"/>
        <v>1.4440166662320191E-2</v>
      </c>
      <c r="U294" s="303">
        <f t="shared" si="79"/>
        <v>1.6449120367217195E-2</v>
      </c>
      <c r="V294" s="86">
        <f t="shared" si="80"/>
        <v>-1.5556569881930663E-2</v>
      </c>
      <c r="W294" s="86">
        <f t="shared" si="81"/>
        <v>-3.6761963983129131E-3</v>
      </c>
      <c r="X294" s="86">
        <f t="shared" si="82"/>
        <v>2.1879233059908514E-2</v>
      </c>
      <c r="Y294" s="86">
        <f t="shared" si="83"/>
        <v>3.178859366352598E-3</v>
      </c>
      <c r="Z294" s="86">
        <f t="shared" si="84"/>
        <v>3.6422171875867063E-2</v>
      </c>
      <c r="AA294" s="86">
        <f t="shared" si="85"/>
        <v>3.2410467574393427E-2</v>
      </c>
      <c r="AB294" s="304">
        <f t="shared" si="86"/>
        <v>1.382780878567063E-2</v>
      </c>
    </row>
    <row r="295" spans="2:28" x14ac:dyDescent="0.3">
      <c r="B295" s="271">
        <v>43684</v>
      </c>
      <c r="C295" s="292">
        <v>136.65</v>
      </c>
      <c r="D295" s="292">
        <v>47.799999</v>
      </c>
      <c r="E295" s="292">
        <v>1873.45</v>
      </c>
      <c r="F295" s="292">
        <v>1092</v>
      </c>
      <c r="G295" s="292">
        <v>1559.2</v>
      </c>
      <c r="H295" s="292">
        <v>1109.400024</v>
      </c>
      <c r="I295" s="292">
        <v>86.85</v>
      </c>
      <c r="J295" s="197">
        <v>1777.25</v>
      </c>
      <c r="L295" s="297">
        <f t="shared" si="71"/>
        <v>-2.9917531349865068E-2</v>
      </c>
      <c r="M295" s="298">
        <f t="shared" si="72"/>
        <v>6.2959075363124613E-3</v>
      </c>
      <c r="N295" s="298">
        <f t="shared" si="73"/>
        <v>-5.8012829686709374E-3</v>
      </c>
      <c r="O295" s="298">
        <f t="shared" si="74"/>
        <v>-2.3324873421433131E-3</v>
      </c>
      <c r="P295" s="298">
        <f t="shared" si="75"/>
        <v>-4.2559383290659289E-3</v>
      </c>
      <c r="Q295" s="298">
        <f t="shared" si="76"/>
        <v>-1.689276831811639E-2</v>
      </c>
      <c r="R295" s="298">
        <f t="shared" si="77"/>
        <v>1.7422043446664415E-2</v>
      </c>
      <c r="S295" s="299">
        <f t="shared" si="78"/>
        <v>1.8828576295648717E-2</v>
      </c>
      <c r="U295" s="303">
        <f t="shared" si="79"/>
        <v>-2.8358825929356537E-2</v>
      </c>
      <c r="V295" s="86">
        <f t="shared" si="80"/>
        <v>1.9817883785182722E-4</v>
      </c>
      <c r="W295" s="86">
        <f t="shared" si="81"/>
        <v>-8.6497863137371071E-3</v>
      </c>
      <c r="X295" s="86">
        <f t="shared" si="82"/>
        <v>-2.7038148546578225E-3</v>
      </c>
      <c r="Y295" s="86">
        <f t="shared" si="83"/>
        <v>-5.3649483207595574E-3</v>
      </c>
      <c r="Z295" s="86">
        <f t="shared" si="84"/>
        <v>-1.8454560917293739E-2</v>
      </c>
      <c r="AA295" s="86">
        <f t="shared" si="85"/>
        <v>2.3133964122207952E-2</v>
      </c>
      <c r="AB295" s="304">
        <f t="shared" si="86"/>
        <v>1.8216218418999158E-2</v>
      </c>
    </row>
    <row r="296" spans="2:28" x14ac:dyDescent="0.3">
      <c r="B296" s="271">
        <v>43683</v>
      </c>
      <c r="C296" s="292">
        <v>140.80000000000001</v>
      </c>
      <c r="D296" s="292">
        <v>47.5</v>
      </c>
      <c r="E296" s="292">
        <v>1884.35</v>
      </c>
      <c r="F296" s="292">
        <v>1094.5500489999999</v>
      </c>
      <c r="G296" s="292">
        <v>1565.85</v>
      </c>
      <c r="H296" s="292">
        <v>1128.3000489999999</v>
      </c>
      <c r="I296" s="292">
        <v>85.35</v>
      </c>
      <c r="J296" s="197">
        <v>1744.099976</v>
      </c>
      <c r="L296" s="297">
        <f t="shared" si="71"/>
        <v>7.1047960359885663E-4</v>
      </c>
      <c r="M296" s="298">
        <f t="shared" si="72"/>
        <v>3.644564175451772E-2</v>
      </c>
      <c r="N296" s="298">
        <f t="shared" si="73"/>
        <v>-1.0872827667988886E-2</v>
      </c>
      <c r="O296" s="298">
        <f t="shared" si="74"/>
        <v>4.5143576491940892E-3</v>
      </c>
      <c r="P296" s="298">
        <f t="shared" si="75"/>
        <v>2.6172136792278734E-2</v>
      </c>
      <c r="Q296" s="298">
        <f t="shared" si="76"/>
        <v>-1.3250410081590287E-2</v>
      </c>
      <c r="R296" s="298">
        <f t="shared" si="77"/>
        <v>5.1077488119082443E-2</v>
      </c>
      <c r="S296" s="299">
        <f t="shared" si="78"/>
        <v>1.6641469773134134E-3</v>
      </c>
      <c r="U296" s="303">
        <f t="shared" si="79"/>
        <v>2.269185024107387E-3</v>
      </c>
      <c r="V296" s="86">
        <f t="shared" si="80"/>
        <v>3.0347913056057087E-2</v>
      </c>
      <c r="W296" s="86">
        <f t="shared" si="81"/>
        <v>-1.3721331013055055E-2</v>
      </c>
      <c r="X296" s="86">
        <f t="shared" si="82"/>
        <v>4.1430301366795798E-3</v>
      </c>
      <c r="Y296" s="86">
        <f t="shared" si="83"/>
        <v>2.5063126800585107E-2</v>
      </c>
      <c r="Z296" s="86">
        <f t="shared" si="84"/>
        <v>-1.4812202680767638E-2</v>
      </c>
      <c r="AA296" s="86">
        <f t="shared" si="85"/>
        <v>5.6789408794625976E-2</v>
      </c>
      <c r="AB296" s="304">
        <f t="shared" si="86"/>
        <v>1.0517891006638525E-3</v>
      </c>
    </row>
    <row r="297" spans="2:28" x14ac:dyDescent="0.3">
      <c r="B297" s="271">
        <v>43682</v>
      </c>
      <c r="C297" s="292">
        <v>140.69999999999999</v>
      </c>
      <c r="D297" s="292">
        <v>45.799999</v>
      </c>
      <c r="E297" s="292">
        <v>1904.95</v>
      </c>
      <c r="F297" s="292">
        <v>1089.619995</v>
      </c>
      <c r="G297" s="292">
        <v>1525.4</v>
      </c>
      <c r="H297" s="292">
        <v>1143.349976</v>
      </c>
      <c r="I297" s="292">
        <v>81.099999999999994</v>
      </c>
      <c r="J297" s="197">
        <v>1741.1999510000001</v>
      </c>
      <c r="L297" s="297">
        <f t="shared" si="71"/>
        <v>-1.6214666139563953E-2</v>
      </c>
      <c r="M297" s="298">
        <f t="shared" si="72"/>
        <v>-2.2666896708917979E-2</v>
      </c>
      <c r="N297" s="298">
        <f t="shared" si="73"/>
        <v>-3.0323761686707262E-2</v>
      </c>
      <c r="O297" s="298">
        <f t="shared" si="74"/>
        <v>-1.5987283891197902E-2</v>
      </c>
      <c r="P297" s="298">
        <f t="shared" si="75"/>
        <v>-1.289668106198804E-2</v>
      </c>
      <c r="Q297" s="298">
        <f t="shared" si="76"/>
        <v>-3.5231551950154691E-2</v>
      </c>
      <c r="R297" s="298">
        <f t="shared" si="77"/>
        <v>-8.5057146488547106E-2</v>
      </c>
      <c r="S297" s="299">
        <f t="shared" si="78"/>
        <v>2.1560096924165576E-3</v>
      </c>
      <c r="U297" s="303">
        <f t="shared" si="79"/>
        <v>-1.4655960719055424E-2</v>
      </c>
      <c r="V297" s="86">
        <f t="shared" si="80"/>
        <v>-2.8764625407378612E-2</v>
      </c>
      <c r="W297" s="86">
        <f t="shared" si="81"/>
        <v>-3.317226503177343E-2</v>
      </c>
      <c r="X297" s="86">
        <f t="shared" si="82"/>
        <v>-1.6358611403712409E-2</v>
      </c>
      <c r="Y297" s="86">
        <f t="shared" si="83"/>
        <v>-1.4005691053681669E-2</v>
      </c>
      <c r="Z297" s="86">
        <f t="shared" si="84"/>
        <v>-3.6793344549332044E-2</v>
      </c>
      <c r="AA297" s="86">
        <f t="shared" si="85"/>
        <v>-7.9345225813003573E-2</v>
      </c>
      <c r="AB297" s="304">
        <f t="shared" si="86"/>
        <v>1.5436518157669968E-3</v>
      </c>
    </row>
    <row r="298" spans="2:28" x14ac:dyDescent="0.3">
      <c r="B298" s="271">
        <v>43679</v>
      </c>
      <c r="C298" s="292">
        <v>143</v>
      </c>
      <c r="D298" s="292">
        <v>46.849997999999999</v>
      </c>
      <c r="E298" s="292">
        <v>1963.6</v>
      </c>
      <c r="F298" s="292">
        <v>1107.1800539999999</v>
      </c>
      <c r="G298" s="292">
        <v>1545.2</v>
      </c>
      <c r="H298" s="292">
        <v>1184.349976</v>
      </c>
      <c r="I298" s="292">
        <v>88.3</v>
      </c>
      <c r="J298" s="197">
        <v>1737.4499510000001</v>
      </c>
      <c r="L298" s="297">
        <f t="shared" si="71"/>
        <v>-1.6987754681303317E-2</v>
      </c>
      <c r="M298" s="298">
        <f t="shared" si="72"/>
        <v>2.7043293334305586E-2</v>
      </c>
      <c r="N298" s="298">
        <f t="shared" si="73"/>
        <v>-1.5538659514637747E-2</v>
      </c>
      <c r="O298" s="298">
        <f t="shared" si="74"/>
        <v>-3.3542283027836127E-3</v>
      </c>
      <c r="P298" s="298">
        <f t="shared" si="75"/>
        <v>2.6559809027293789E-2</v>
      </c>
      <c r="Q298" s="298">
        <f t="shared" si="76"/>
        <v>3.4678001779145538E-3</v>
      </c>
      <c r="R298" s="298">
        <f t="shared" si="77"/>
        <v>-1.1318620336835288E-3</v>
      </c>
      <c r="S298" s="299">
        <f t="shared" si="78"/>
        <v>3.5458931567522215E-3</v>
      </c>
      <c r="U298" s="303">
        <f t="shared" si="79"/>
        <v>-1.5429049260794787E-2</v>
      </c>
      <c r="V298" s="86">
        <f t="shared" si="80"/>
        <v>2.0945564635844953E-2</v>
      </c>
      <c r="W298" s="86">
        <f t="shared" si="81"/>
        <v>-1.8387162859703918E-2</v>
      </c>
      <c r="X298" s="86">
        <f t="shared" si="82"/>
        <v>-3.7255558152981222E-3</v>
      </c>
      <c r="Y298" s="86">
        <f t="shared" si="83"/>
        <v>2.5450799035600161E-2</v>
      </c>
      <c r="Z298" s="86">
        <f t="shared" si="84"/>
        <v>1.9060075787372033E-3</v>
      </c>
      <c r="AA298" s="86">
        <f t="shared" si="85"/>
        <v>4.5800586418600067E-3</v>
      </c>
      <c r="AB298" s="304">
        <f t="shared" si="86"/>
        <v>2.9335352801026608E-3</v>
      </c>
    </row>
    <row r="299" spans="2:28" x14ac:dyDescent="0.3">
      <c r="B299" s="271">
        <v>43678</v>
      </c>
      <c r="C299" s="292">
        <v>145.44999999999999</v>
      </c>
      <c r="D299" s="292">
        <v>45.599997999999999</v>
      </c>
      <c r="E299" s="292">
        <v>1994.35</v>
      </c>
      <c r="F299" s="292">
        <v>1110.900024</v>
      </c>
      <c r="G299" s="292">
        <v>1504.7</v>
      </c>
      <c r="H299" s="292">
        <v>1180.25</v>
      </c>
      <c r="I299" s="292">
        <v>88.4</v>
      </c>
      <c r="J299" s="197">
        <v>1731.3000489999999</v>
      </c>
      <c r="L299" s="297">
        <f t="shared" si="71"/>
        <v>-5.7769357384859499E-2</v>
      </c>
      <c r="M299" s="298">
        <f t="shared" si="72"/>
        <v>-2.5975508895389101E-2</v>
      </c>
      <c r="N299" s="298">
        <f t="shared" si="73"/>
        <v>-6.5545547699012607E-2</v>
      </c>
      <c r="O299" s="298">
        <f t="shared" si="74"/>
        <v>-1.3341091860092646E-2</v>
      </c>
      <c r="P299" s="298">
        <f t="shared" si="75"/>
        <v>-1.0840214552864833E-2</v>
      </c>
      <c r="Q299" s="298">
        <f t="shared" si="76"/>
        <v>1.1932807264842629E-2</v>
      </c>
      <c r="R299" s="298">
        <f t="shared" si="77"/>
        <v>-3.1182927436687938E-2</v>
      </c>
      <c r="S299" s="299">
        <f t="shared" si="78"/>
        <v>2.6894707585330391E-3</v>
      </c>
      <c r="U299" s="303">
        <f t="shared" si="79"/>
        <v>-5.6210651964350968E-2</v>
      </c>
      <c r="V299" s="86">
        <f t="shared" si="80"/>
        <v>-3.2073237593849738E-2</v>
      </c>
      <c r="W299" s="86">
        <f t="shared" si="81"/>
        <v>-6.839405104407878E-2</v>
      </c>
      <c r="X299" s="86">
        <f t="shared" si="82"/>
        <v>-1.3712419372607155E-2</v>
      </c>
      <c r="Y299" s="86">
        <f t="shared" si="83"/>
        <v>-1.1949224544558462E-2</v>
      </c>
      <c r="Z299" s="86">
        <f t="shared" si="84"/>
        <v>1.0371014665665278E-2</v>
      </c>
      <c r="AA299" s="86">
        <f t="shared" si="85"/>
        <v>-2.5471006761144402E-2</v>
      </c>
      <c r="AB299" s="304">
        <f t="shared" si="86"/>
        <v>2.0771128818834785E-3</v>
      </c>
    </row>
    <row r="300" spans="2:28" x14ac:dyDescent="0.3">
      <c r="B300" s="271">
        <v>43677</v>
      </c>
      <c r="C300" s="292">
        <v>154.1</v>
      </c>
      <c r="D300" s="292">
        <v>46.799999</v>
      </c>
      <c r="E300" s="292">
        <v>2129.4499999999998</v>
      </c>
      <c r="F300" s="292">
        <v>1125.8199460000001</v>
      </c>
      <c r="G300" s="292">
        <v>1521.1</v>
      </c>
      <c r="H300" s="292">
        <v>1166.25</v>
      </c>
      <c r="I300" s="292">
        <v>91.2</v>
      </c>
      <c r="J300" s="197">
        <v>1726.650024</v>
      </c>
      <c r="L300" s="297">
        <f t="shared" si="71"/>
        <v>2.2974426960276843E-2</v>
      </c>
      <c r="M300" s="298">
        <f t="shared" si="72"/>
        <v>8.5836792204224584E-3</v>
      </c>
      <c r="N300" s="298">
        <f t="shared" si="73"/>
        <v>4.1395468151781634E-2</v>
      </c>
      <c r="O300" s="298">
        <f t="shared" si="74"/>
        <v>-2.6648046540916274E-4</v>
      </c>
      <c r="P300" s="298">
        <f t="shared" si="75"/>
        <v>8.152263905955975E-3</v>
      </c>
      <c r="Q300" s="298">
        <f t="shared" si="76"/>
        <v>-1.248340676916429E-2</v>
      </c>
      <c r="R300" s="298">
        <f t="shared" si="77"/>
        <v>5.8126374422737374E-2</v>
      </c>
      <c r="S300" s="299">
        <f t="shared" si="78"/>
        <v>3.9169653921824641E-3</v>
      </c>
      <c r="U300" s="303">
        <f t="shared" si="79"/>
        <v>2.4533132380785375E-2</v>
      </c>
      <c r="V300" s="86">
        <f t="shared" si="80"/>
        <v>2.4859505219618242E-3</v>
      </c>
      <c r="W300" s="86">
        <f t="shared" si="81"/>
        <v>3.8546964806715461E-2</v>
      </c>
      <c r="X300" s="86">
        <f t="shared" si="82"/>
        <v>-6.3780797792367205E-4</v>
      </c>
      <c r="Y300" s="86">
        <f t="shared" si="83"/>
        <v>7.0432539142623457E-3</v>
      </c>
      <c r="Z300" s="86">
        <f t="shared" si="84"/>
        <v>-1.4045199368341641E-2</v>
      </c>
      <c r="AA300" s="86">
        <f t="shared" si="85"/>
        <v>6.3838295098280914E-2</v>
      </c>
      <c r="AB300" s="304">
        <f t="shared" si="86"/>
        <v>3.304607515532903E-3</v>
      </c>
    </row>
    <row r="301" spans="2:28" x14ac:dyDescent="0.3">
      <c r="B301" s="271">
        <v>43676</v>
      </c>
      <c r="C301" s="292">
        <v>150.6</v>
      </c>
      <c r="D301" s="292">
        <v>46.400002000000001</v>
      </c>
      <c r="E301" s="292">
        <v>2043.1</v>
      </c>
      <c r="F301" s="292">
        <v>1126.119995</v>
      </c>
      <c r="G301" s="292">
        <v>1508.75</v>
      </c>
      <c r="H301" s="292">
        <v>1180.900024</v>
      </c>
      <c r="I301" s="292">
        <v>86.05</v>
      </c>
      <c r="J301" s="197">
        <v>1719.900024</v>
      </c>
      <c r="L301" s="297">
        <f t="shared" si="71"/>
        <v>-3.2982581521824025E-2</v>
      </c>
      <c r="M301" s="298">
        <f t="shared" si="72"/>
        <v>-5.0430790031641019E-2</v>
      </c>
      <c r="N301" s="298">
        <f t="shared" si="73"/>
        <v>-4.64543823768288E-2</v>
      </c>
      <c r="O301" s="298">
        <f t="shared" si="74"/>
        <v>3.531582143244563E-3</v>
      </c>
      <c r="P301" s="298">
        <f t="shared" si="75"/>
        <v>-2.9781623600553895E-3</v>
      </c>
      <c r="Q301" s="298">
        <f t="shared" si="76"/>
        <v>-2.5128255114317117E-2</v>
      </c>
      <c r="R301" s="298">
        <f t="shared" si="77"/>
        <v>-9.6313321304987293E-2</v>
      </c>
      <c r="S301" s="299">
        <f t="shared" si="78"/>
        <v>3.844799598041581E-3</v>
      </c>
      <c r="U301" s="303">
        <f t="shared" si="79"/>
        <v>-3.1423876101315494E-2</v>
      </c>
      <c r="V301" s="86">
        <f t="shared" si="80"/>
        <v>-5.6528518730101653E-2</v>
      </c>
      <c r="W301" s="86">
        <f t="shared" si="81"/>
        <v>-4.9302885721894972E-2</v>
      </c>
      <c r="X301" s="86">
        <f t="shared" si="82"/>
        <v>3.1602546307300536E-3</v>
      </c>
      <c r="Y301" s="86">
        <f t="shared" si="83"/>
        <v>-4.0871723517490188E-3</v>
      </c>
      <c r="Z301" s="86">
        <f t="shared" si="84"/>
        <v>-2.6690047713494466E-2</v>
      </c>
      <c r="AA301" s="86">
        <f t="shared" si="85"/>
        <v>-9.060140062944376E-2</v>
      </c>
      <c r="AB301" s="304">
        <f t="shared" si="86"/>
        <v>3.2324417213920199E-3</v>
      </c>
    </row>
    <row r="302" spans="2:28" x14ac:dyDescent="0.3">
      <c r="B302" s="271">
        <v>43675</v>
      </c>
      <c r="C302" s="292">
        <v>155.65</v>
      </c>
      <c r="D302" s="292">
        <v>48.799999</v>
      </c>
      <c r="E302" s="292">
        <v>2140.25</v>
      </c>
      <c r="F302" s="292">
        <v>1122.150024</v>
      </c>
      <c r="G302" s="292">
        <v>1513.25</v>
      </c>
      <c r="H302" s="292">
        <v>1210.9499510000001</v>
      </c>
      <c r="I302" s="292">
        <v>94.75</v>
      </c>
      <c r="J302" s="197">
        <v>1713.3000489999999</v>
      </c>
      <c r="L302" s="297">
        <f t="shared" si="71"/>
        <v>-5.2866101208427996E-2</v>
      </c>
      <c r="M302" s="298">
        <f t="shared" si="72"/>
        <v>-1.6260501041002354E-2</v>
      </c>
      <c r="N302" s="298">
        <f t="shared" si="73"/>
        <v>-2.6534215390228679E-2</v>
      </c>
      <c r="O302" s="298">
        <f t="shared" si="74"/>
        <v>-1.4596861834440106E-2</v>
      </c>
      <c r="P302" s="298">
        <f t="shared" si="75"/>
        <v>-8.6851221991500176E-3</v>
      </c>
      <c r="Q302" s="298">
        <f t="shared" si="76"/>
        <v>-2.3508397258077958E-3</v>
      </c>
      <c r="R302" s="298">
        <f t="shared" si="77"/>
        <v>-1.3627045252029842E-2</v>
      </c>
      <c r="S302" s="299">
        <f t="shared" si="78"/>
        <v>-1.0075710398054639E-2</v>
      </c>
      <c r="U302" s="303">
        <f t="shared" si="79"/>
        <v>-5.1307395787919464E-2</v>
      </c>
      <c r="V302" s="86">
        <f t="shared" si="80"/>
        <v>-2.2358229739462988E-2</v>
      </c>
      <c r="W302" s="86">
        <f t="shared" si="81"/>
        <v>-2.9382718735294848E-2</v>
      </c>
      <c r="X302" s="86">
        <f t="shared" si="82"/>
        <v>-1.4968189346954616E-2</v>
      </c>
      <c r="Y302" s="86">
        <f t="shared" si="83"/>
        <v>-9.794132190843647E-3</v>
      </c>
      <c r="Z302" s="86">
        <f t="shared" si="84"/>
        <v>-3.9126323249851465E-3</v>
      </c>
      <c r="AA302" s="86">
        <f t="shared" si="85"/>
        <v>-7.9151245764863057E-3</v>
      </c>
      <c r="AB302" s="304">
        <f t="shared" si="86"/>
        <v>-1.0688068274704201E-2</v>
      </c>
    </row>
    <row r="303" spans="2:28" x14ac:dyDescent="0.3">
      <c r="B303" s="271">
        <v>43672</v>
      </c>
      <c r="C303" s="292">
        <v>164.1</v>
      </c>
      <c r="D303" s="292">
        <v>49.599997999999999</v>
      </c>
      <c r="E303" s="292">
        <v>2197.8000000000002</v>
      </c>
      <c r="F303" s="292">
        <v>1138.650024</v>
      </c>
      <c r="G303" s="292">
        <v>1526.45</v>
      </c>
      <c r="H303" s="292">
        <v>1213.8000489999999</v>
      </c>
      <c r="I303" s="292">
        <v>96.05</v>
      </c>
      <c r="J303" s="197">
        <v>1730.650024</v>
      </c>
      <c r="L303" s="297">
        <f t="shared" si="71"/>
        <v>-4.3815680812884165E-2</v>
      </c>
      <c r="M303" s="298">
        <f t="shared" si="72"/>
        <v>1.626050104100232E-2</v>
      </c>
      <c r="N303" s="298">
        <f t="shared" si="73"/>
        <v>1.2748135035521484E-3</v>
      </c>
      <c r="O303" s="298">
        <f t="shared" si="74"/>
        <v>-3.8392853322153767E-3</v>
      </c>
      <c r="P303" s="298">
        <f t="shared" si="75"/>
        <v>2.0250170843312949E-2</v>
      </c>
      <c r="Q303" s="298">
        <f t="shared" si="76"/>
        <v>-1.4476963789749922E-2</v>
      </c>
      <c r="R303" s="298">
        <f t="shared" si="77"/>
        <v>9.1517277847322151E-2</v>
      </c>
      <c r="S303" s="299">
        <f t="shared" si="78"/>
        <v>-3.4609095872203339E-3</v>
      </c>
      <c r="U303" s="303">
        <f t="shared" si="79"/>
        <v>-4.2256975392375634E-2</v>
      </c>
      <c r="V303" s="86">
        <f t="shared" si="80"/>
        <v>1.0162772342541686E-2</v>
      </c>
      <c r="W303" s="86">
        <f t="shared" si="81"/>
        <v>-1.5736898415140209E-3</v>
      </c>
      <c r="X303" s="86">
        <f t="shared" si="82"/>
        <v>-4.2106128447298857E-3</v>
      </c>
      <c r="Y303" s="86">
        <f t="shared" si="83"/>
        <v>1.9141160851619321E-2</v>
      </c>
      <c r="Z303" s="86">
        <f t="shared" si="84"/>
        <v>-1.6038756388927274E-2</v>
      </c>
      <c r="AA303" s="86">
        <f t="shared" si="85"/>
        <v>9.7229198522865684E-2</v>
      </c>
      <c r="AB303" s="304">
        <f t="shared" si="86"/>
        <v>-4.073267463869895E-3</v>
      </c>
    </row>
    <row r="304" spans="2:28" x14ac:dyDescent="0.3">
      <c r="B304" s="271">
        <v>43671</v>
      </c>
      <c r="C304" s="292">
        <v>171.45</v>
      </c>
      <c r="D304" s="292">
        <v>48.799999</v>
      </c>
      <c r="E304" s="292">
        <v>2195</v>
      </c>
      <c r="F304" s="292">
        <v>1143.030029</v>
      </c>
      <c r="G304" s="292">
        <v>1495.85</v>
      </c>
      <c r="H304" s="292">
        <v>1231.5</v>
      </c>
      <c r="I304" s="292">
        <v>87.65</v>
      </c>
      <c r="J304" s="197">
        <v>1736.650024</v>
      </c>
      <c r="L304" s="297">
        <f t="shared" si="71"/>
        <v>3.8043220609727237E-2</v>
      </c>
      <c r="M304" s="298">
        <f t="shared" si="72"/>
        <v>7.1979333906880194E-3</v>
      </c>
      <c r="N304" s="298">
        <f t="shared" si="73"/>
        <v>-2.8433343011441733E-3</v>
      </c>
      <c r="O304" s="298">
        <f t="shared" si="74"/>
        <v>2.259778163635462E-3</v>
      </c>
      <c r="P304" s="298">
        <f t="shared" si="75"/>
        <v>8.3578568251757579E-3</v>
      </c>
      <c r="Q304" s="298">
        <f t="shared" si="76"/>
        <v>-2.2164222385827811E-2</v>
      </c>
      <c r="R304" s="298">
        <f t="shared" si="77"/>
        <v>-1.6968732941905925E-2</v>
      </c>
      <c r="S304" s="299">
        <f t="shared" si="78"/>
        <v>4.6172129983661579E-3</v>
      </c>
      <c r="U304" s="303">
        <f t="shared" si="79"/>
        <v>3.9601926030235768E-2</v>
      </c>
      <c r="V304" s="86">
        <f t="shared" si="80"/>
        <v>1.1002046922273852E-3</v>
      </c>
      <c r="W304" s="86">
        <f t="shared" si="81"/>
        <v>-5.6918376462103421E-3</v>
      </c>
      <c r="X304" s="86">
        <f t="shared" si="82"/>
        <v>1.8884506511209526E-3</v>
      </c>
      <c r="Y304" s="86">
        <f t="shared" si="83"/>
        <v>7.2488468334821286E-3</v>
      </c>
      <c r="Z304" s="86">
        <f t="shared" si="84"/>
        <v>-2.3726014985005161E-2</v>
      </c>
      <c r="AA304" s="86">
        <f t="shared" si="85"/>
        <v>-1.1256812266362388E-2</v>
      </c>
      <c r="AB304" s="304">
        <f t="shared" si="86"/>
        <v>4.0048551217165967E-3</v>
      </c>
    </row>
    <row r="305" spans="2:28" x14ac:dyDescent="0.3">
      <c r="B305" s="271">
        <v>43670</v>
      </c>
      <c r="C305" s="292">
        <v>165.05</v>
      </c>
      <c r="D305" s="292">
        <v>48.450001</v>
      </c>
      <c r="E305" s="292">
        <v>2201.25</v>
      </c>
      <c r="F305" s="292">
        <v>1140.4499510000001</v>
      </c>
      <c r="G305" s="292">
        <v>1483.4</v>
      </c>
      <c r="H305" s="292">
        <v>1259.099976</v>
      </c>
      <c r="I305" s="292">
        <v>89.15</v>
      </c>
      <c r="J305" s="197">
        <v>1728.650024</v>
      </c>
      <c r="L305" s="297">
        <f t="shared" si="71"/>
        <v>-1.8310582115367818E-2</v>
      </c>
      <c r="M305" s="298">
        <f t="shared" si="72"/>
        <v>-7.1979333906880974E-3</v>
      </c>
      <c r="N305" s="298">
        <f t="shared" si="73"/>
        <v>-1.4980256103873432E-3</v>
      </c>
      <c r="O305" s="298">
        <f t="shared" si="74"/>
        <v>7.6577710609905128E-3</v>
      </c>
      <c r="P305" s="298">
        <f t="shared" si="75"/>
        <v>3.7116954840150852E-2</v>
      </c>
      <c r="Q305" s="298">
        <f t="shared" si="76"/>
        <v>-1.1411154054209484E-2</v>
      </c>
      <c r="R305" s="298">
        <f t="shared" si="77"/>
        <v>-1.6685592891710677E-2</v>
      </c>
      <c r="S305" s="299">
        <f t="shared" si="78"/>
        <v>2.0631969723036943E-2</v>
      </c>
      <c r="U305" s="303">
        <f t="shared" si="79"/>
        <v>-1.6751876694859287E-2</v>
      </c>
      <c r="V305" s="86">
        <f t="shared" si="80"/>
        <v>-1.3295662089148732E-2</v>
      </c>
      <c r="W305" s="86">
        <f t="shared" si="81"/>
        <v>-4.346528955453512E-3</v>
      </c>
      <c r="X305" s="86">
        <f t="shared" si="82"/>
        <v>7.2864435484760034E-3</v>
      </c>
      <c r="Y305" s="86">
        <f t="shared" si="83"/>
        <v>3.6007944848457221E-2</v>
      </c>
      <c r="Z305" s="86">
        <f t="shared" si="84"/>
        <v>-1.2972946653386835E-2</v>
      </c>
      <c r="AA305" s="86">
        <f t="shared" si="85"/>
        <v>-1.097367221616714E-2</v>
      </c>
      <c r="AB305" s="304">
        <f t="shared" si="86"/>
        <v>2.0019611846387383E-2</v>
      </c>
    </row>
    <row r="306" spans="2:28" x14ac:dyDescent="0.3">
      <c r="B306" s="271">
        <v>43669</v>
      </c>
      <c r="C306" s="292">
        <v>168.1</v>
      </c>
      <c r="D306" s="292">
        <v>48.799999</v>
      </c>
      <c r="E306" s="292">
        <v>2204.5500000000002</v>
      </c>
      <c r="F306" s="292">
        <v>1131.75</v>
      </c>
      <c r="G306" s="292">
        <v>1429.35</v>
      </c>
      <c r="H306" s="292">
        <v>1273.5500489999999</v>
      </c>
      <c r="I306" s="292">
        <v>90.65</v>
      </c>
      <c r="J306" s="197">
        <v>1693.349976</v>
      </c>
      <c r="L306" s="297">
        <f t="shared" si="71"/>
        <v>5.069341406232092E-3</v>
      </c>
      <c r="M306" s="298">
        <f t="shared" si="72"/>
        <v>4.1847110811218446E-2</v>
      </c>
      <c r="N306" s="298">
        <f t="shared" si="73"/>
        <v>2.6116494342978726E-3</v>
      </c>
      <c r="O306" s="298">
        <f t="shared" si="74"/>
        <v>-1.4796110111659103E-2</v>
      </c>
      <c r="P306" s="298">
        <f t="shared" si="75"/>
        <v>1.7752049879158297E-2</v>
      </c>
      <c r="Q306" s="298">
        <f t="shared" si="76"/>
        <v>-5.4423116389500266E-3</v>
      </c>
      <c r="R306" s="298">
        <f t="shared" si="77"/>
        <v>-5.5005639238119687E-3</v>
      </c>
      <c r="S306" s="299">
        <f t="shared" si="78"/>
        <v>7.4984570745751586E-3</v>
      </c>
      <c r="U306" s="303">
        <f t="shared" si="79"/>
        <v>6.6280468267406224E-3</v>
      </c>
      <c r="V306" s="86">
        <f t="shared" si="80"/>
        <v>3.5749382112757813E-2</v>
      </c>
      <c r="W306" s="86">
        <f t="shared" si="81"/>
        <v>-2.3685391076829669E-4</v>
      </c>
      <c r="X306" s="86">
        <f t="shared" si="82"/>
        <v>-1.5167437624173613E-2</v>
      </c>
      <c r="Y306" s="86">
        <f t="shared" si="83"/>
        <v>1.664303988746467E-2</v>
      </c>
      <c r="Z306" s="86">
        <f t="shared" si="84"/>
        <v>-7.0041042381273769E-3</v>
      </c>
      <c r="AA306" s="86">
        <f t="shared" si="85"/>
        <v>2.1135675173156697E-4</v>
      </c>
      <c r="AB306" s="304">
        <f t="shared" si="86"/>
        <v>6.8860991979255975E-3</v>
      </c>
    </row>
    <row r="307" spans="2:28" x14ac:dyDescent="0.3">
      <c r="B307" s="271">
        <v>43668</v>
      </c>
      <c r="C307" s="292">
        <v>167.25</v>
      </c>
      <c r="D307" s="292">
        <v>46.799999</v>
      </c>
      <c r="E307" s="292">
        <v>2198.8000000000002</v>
      </c>
      <c r="F307" s="292">
        <v>1148.619995</v>
      </c>
      <c r="G307" s="292">
        <v>1404.2</v>
      </c>
      <c r="H307" s="292">
        <v>1280.5</v>
      </c>
      <c r="I307" s="292">
        <v>91.15</v>
      </c>
      <c r="J307" s="197">
        <v>1680.6999510000001</v>
      </c>
      <c r="L307" s="297">
        <f t="shared" si="71"/>
        <v>3.653374333245607E-2</v>
      </c>
      <c r="M307" s="298">
        <f t="shared" si="72"/>
        <v>2.1599112270001476E-2</v>
      </c>
      <c r="N307" s="298">
        <f t="shared" si="73"/>
        <v>-4.1527262265439648E-3</v>
      </c>
      <c r="O307" s="298">
        <f t="shared" si="74"/>
        <v>-3.3558431402333284E-2</v>
      </c>
      <c r="P307" s="298">
        <f t="shared" si="75"/>
        <v>2.5314155943438145E-2</v>
      </c>
      <c r="Q307" s="298">
        <f t="shared" si="76"/>
        <v>2.4907395514002291E-2</v>
      </c>
      <c r="R307" s="298">
        <f t="shared" si="77"/>
        <v>9.0658372264118825E-2</v>
      </c>
      <c r="S307" s="299">
        <f t="shared" si="78"/>
        <v>-2.3346491731823831E-2</v>
      </c>
      <c r="U307" s="303">
        <f t="shared" si="79"/>
        <v>3.8092448752964601E-2</v>
      </c>
      <c r="V307" s="86">
        <f t="shared" si="80"/>
        <v>1.5501383571540843E-2</v>
      </c>
      <c r="W307" s="86">
        <f t="shared" si="81"/>
        <v>-7.0012295716101337E-3</v>
      </c>
      <c r="X307" s="86">
        <f t="shared" si="82"/>
        <v>-3.3929758914847792E-2</v>
      </c>
      <c r="Y307" s="86">
        <f t="shared" si="83"/>
        <v>2.4205145951744517E-2</v>
      </c>
      <c r="Z307" s="86">
        <f t="shared" si="84"/>
        <v>2.3345602914824942E-2</v>
      </c>
      <c r="AA307" s="86">
        <f t="shared" si="85"/>
        <v>9.6370292939662358E-2</v>
      </c>
      <c r="AB307" s="304">
        <f t="shared" si="86"/>
        <v>-2.3958849608473391E-2</v>
      </c>
    </row>
    <row r="308" spans="2:28" x14ac:dyDescent="0.3">
      <c r="B308" s="271">
        <v>43665</v>
      </c>
      <c r="C308" s="292">
        <v>161.25</v>
      </c>
      <c r="D308" s="292">
        <v>45.799999</v>
      </c>
      <c r="E308" s="292">
        <v>2207.9499999999998</v>
      </c>
      <c r="F308" s="292">
        <v>1187.8199460000001</v>
      </c>
      <c r="G308" s="292">
        <v>1369.1</v>
      </c>
      <c r="H308" s="292">
        <v>1249</v>
      </c>
      <c r="I308" s="292">
        <v>83.25</v>
      </c>
      <c r="J308" s="197">
        <v>1720.400024</v>
      </c>
      <c r="L308" s="297">
        <f t="shared" si="71"/>
        <v>-1.1100946559446332E-2</v>
      </c>
      <c r="M308" s="298">
        <f t="shared" si="72"/>
        <v>-3.6445641754517644E-2</v>
      </c>
      <c r="N308" s="298">
        <f t="shared" si="73"/>
        <v>3.0618170274457992E-3</v>
      </c>
      <c r="O308" s="298">
        <f t="shared" si="74"/>
        <v>-1.5147948595921602E-2</v>
      </c>
      <c r="P308" s="298">
        <f t="shared" si="75"/>
        <v>-1.1510448247036334E-2</v>
      </c>
      <c r="Q308" s="298">
        <f t="shared" si="76"/>
        <v>-1.0235647937560799E-2</v>
      </c>
      <c r="R308" s="298">
        <f t="shared" si="77"/>
        <v>-3.0170877633363354E-2</v>
      </c>
      <c r="S308" s="299">
        <f t="shared" si="78"/>
        <v>-1.0839666043662266E-2</v>
      </c>
      <c r="U308" s="303">
        <f t="shared" si="79"/>
        <v>-9.5422411389378022E-3</v>
      </c>
      <c r="V308" s="86">
        <f t="shared" si="80"/>
        <v>-4.2543370452978277E-2</v>
      </c>
      <c r="W308" s="86">
        <f t="shared" si="81"/>
        <v>2.1331368237962993E-4</v>
      </c>
      <c r="X308" s="86">
        <f t="shared" si="82"/>
        <v>-1.5519276108436111E-2</v>
      </c>
      <c r="Y308" s="86">
        <f t="shared" si="83"/>
        <v>-1.2619458238729963E-2</v>
      </c>
      <c r="Z308" s="86">
        <f t="shared" si="84"/>
        <v>-1.179744053673815E-2</v>
      </c>
      <c r="AA308" s="86">
        <f t="shared" si="85"/>
        <v>-2.4458956957819817E-2</v>
      </c>
      <c r="AB308" s="304">
        <f t="shared" si="86"/>
        <v>-1.1452023920311827E-2</v>
      </c>
    </row>
    <row r="309" spans="2:28" x14ac:dyDescent="0.3">
      <c r="B309" s="271">
        <v>43664</v>
      </c>
      <c r="C309" s="292">
        <v>163.05000000000001</v>
      </c>
      <c r="D309" s="292">
        <v>47.5</v>
      </c>
      <c r="E309" s="292">
        <v>2201.1999999999998</v>
      </c>
      <c r="F309" s="292">
        <v>1205.9499510000001</v>
      </c>
      <c r="G309" s="292">
        <v>1384.95</v>
      </c>
      <c r="H309" s="292">
        <v>1261.849976</v>
      </c>
      <c r="I309" s="292">
        <v>85.8</v>
      </c>
      <c r="J309" s="197">
        <v>1739.150024</v>
      </c>
      <c r="L309" s="297">
        <f t="shared" si="71"/>
        <v>-3.3768659272331032E-2</v>
      </c>
      <c r="M309" s="298">
        <f t="shared" si="72"/>
        <v>-1.9802647936014398E-2</v>
      </c>
      <c r="N309" s="298">
        <f t="shared" si="73"/>
        <v>-9.7626325992984685E-4</v>
      </c>
      <c r="O309" s="298">
        <f t="shared" si="74"/>
        <v>6.0133008027853443E-3</v>
      </c>
      <c r="P309" s="298">
        <f t="shared" si="75"/>
        <v>-7.8753306319659152E-3</v>
      </c>
      <c r="Q309" s="298">
        <f t="shared" si="76"/>
        <v>-1.5725449168768422E-2</v>
      </c>
      <c r="R309" s="298">
        <f t="shared" si="77"/>
        <v>-0.13702179756429128</v>
      </c>
      <c r="S309" s="299">
        <f t="shared" si="78"/>
        <v>-1.2314927499070167E-2</v>
      </c>
      <c r="U309" s="303">
        <f t="shared" si="79"/>
        <v>-3.2209953851822501E-2</v>
      </c>
      <c r="V309" s="86">
        <f t="shared" si="80"/>
        <v>-2.5900376634475031E-2</v>
      </c>
      <c r="W309" s="86">
        <f t="shared" si="81"/>
        <v>-3.8247666049960162E-3</v>
      </c>
      <c r="X309" s="86">
        <f t="shared" si="82"/>
        <v>5.6419732902708349E-3</v>
      </c>
      <c r="Y309" s="86">
        <f t="shared" si="83"/>
        <v>-8.9843406236595445E-3</v>
      </c>
      <c r="Z309" s="86">
        <f t="shared" si="84"/>
        <v>-1.7287241767945771E-2</v>
      </c>
      <c r="AA309" s="86">
        <f t="shared" si="85"/>
        <v>-0.13130987688874773</v>
      </c>
      <c r="AB309" s="304">
        <f t="shared" si="86"/>
        <v>-1.2927285375719728E-2</v>
      </c>
    </row>
    <row r="310" spans="2:28" x14ac:dyDescent="0.3">
      <c r="B310" s="271">
        <v>43663</v>
      </c>
      <c r="C310" s="292">
        <v>168.65</v>
      </c>
      <c r="D310" s="292">
        <v>48.450001</v>
      </c>
      <c r="E310" s="292">
        <v>2203.35</v>
      </c>
      <c r="F310" s="292">
        <v>1198.719971</v>
      </c>
      <c r="G310" s="292">
        <v>1395.9</v>
      </c>
      <c r="H310" s="292">
        <v>1281.849976</v>
      </c>
      <c r="I310" s="292">
        <v>98.4</v>
      </c>
      <c r="J310" s="197">
        <v>1760.6999510000001</v>
      </c>
      <c r="L310" s="297">
        <f t="shared" si="71"/>
        <v>1.0430730839869883E-2</v>
      </c>
      <c r="M310" s="298">
        <f t="shared" si="72"/>
        <v>-1.5361284846855613E-2</v>
      </c>
      <c r="N310" s="298">
        <f t="shared" si="73"/>
        <v>-1.134571530279032E-4</v>
      </c>
      <c r="O310" s="298">
        <f t="shared" si="74"/>
        <v>2.6061652870173133E-3</v>
      </c>
      <c r="P310" s="298">
        <f t="shared" si="75"/>
        <v>1.7051204243125017E-2</v>
      </c>
      <c r="Q310" s="298">
        <f t="shared" si="76"/>
        <v>-8.6607715399506235E-3</v>
      </c>
      <c r="R310" s="298">
        <f t="shared" si="77"/>
        <v>-5.3906746263913417E-2</v>
      </c>
      <c r="S310" s="299">
        <f t="shared" si="78"/>
        <v>1.1079440577325758E-2</v>
      </c>
      <c r="U310" s="303">
        <f t="shared" si="79"/>
        <v>1.1989436260378412E-2</v>
      </c>
      <c r="V310" s="86">
        <f t="shared" si="80"/>
        <v>-2.1459013545316246E-2</v>
      </c>
      <c r="W310" s="86">
        <f t="shared" si="81"/>
        <v>-2.9619604980940725E-3</v>
      </c>
      <c r="X310" s="86">
        <f t="shared" si="82"/>
        <v>2.2348377745028038E-3</v>
      </c>
      <c r="Y310" s="86">
        <f t="shared" si="83"/>
        <v>1.5942194251431389E-2</v>
      </c>
      <c r="Z310" s="86">
        <f t="shared" si="84"/>
        <v>-1.0222564139127975E-2</v>
      </c>
      <c r="AA310" s="86">
        <f t="shared" si="85"/>
        <v>-4.8194825588369884E-2</v>
      </c>
      <c r="AB310" s="304">
        <f t="shared" si="86"/>
        <v>1.0467082700676197E-2</v>
      </c>
    </row>
    <row r="311" spans="2:28" x14ac:dyDescent="0.3">
      <c r="B311" s="271">
        <v>43662</v>
      </c>
      <c r="C311" s="292">
        <v>166.9</v>
      </c>
      <c r="D311" s="292">
        <v>49.200001</v>
      </c>
      <c r="E311" s="292">
        <v>2203.6</v>
      </c>
      <c r="F311" s="292">
        <v>1195.599976</v>
      </c>
      <c r="G311" s="292">
        <v>1372.3</v>
      </c>
      <c r="H311" s="292">
        <v>1293</v>
      </c>
      <c r="I311" s="292">
        <v>103.85</v>
      </c>
      <c r="J311" s="197">
        <v>1741.3000489999999</v>
      </c>
      <c r="L311" s="297">
        <f t="shared" si="71"/>
        <v>8.9914587205637206E-4</v>
      </c>
      <c r="M311" s="298">
        <f t="shared" si="72"/>
        <v>1.432984588002807E-2</v>
      </c>
      <c r="N311" s="298">
        <f t="shared" si="73"/>
        <v>1.1364017966273413E-2</v>
      </c>
      <c r="O311" s="298">
        <f t="shared" si="74"/>
        <v>-1.4877093351733806E-3</v>
      </c>
      <c r="P311" s="298">
        <f t="shared" si="75"/>
        <v>1.4052956504829881E-2</v>
      </c>
      <c r="Q311" s="298">
        <f t="shared" si="76"/>
        <v>1.315656683923053E-2</v>
      </c>
      <c r="R311" s="298">
        <f t="shared" si="77"/>
        <v>0.10819982863057571</v>
      </c>
      <c r="S311" s="299">
        <f t="shared" si="78"/>
        <v>1.4082556449862288E-2</v>
      </c>
      <c r="U311" s="303">
        <f t="shared" si="79"/>
        <v>2.4578512925649025E-3</v>
      </c>
      <c r="V311" s="86">
        <f t="shared" si="80"/>
        <v>8.2321171815674353E-3</v>
      </c>
      <c r="W311" s="86">
        <f t="shared" si="81"/>
        <v>8.5155146212072437E-3</v>
      </c>
      <c r="X311" s="86">
        <f t="shared" si="82"/>
        <v>-1.85903684768789E-3</v>
      </c>
      <c r="Y311" s="86">
        <f t="shared" si="83"/>
        <v>1.2943946513136252E-2</v>
      </c>
      <c r="Z311" s="86">
        <f t="shared" si="84"/>
        <v>1.1594774240053179E-2</v>
      </c>
      <c r="AA311" s="86">
        <f t="shared" si="85"/>
        <v>0.11391174930611925</v>
      </c>
      <c r="AB311" s="304">
        <f t="shared" si="86"/>
        <v>1.3470198573212726E-2</v>
      </c>
    </row>
    <row r="312" spans="2:28" x14ac:dyDescent="0.3">
      <c r="B312" s="271">
        <v>43661</v>
      </c>
      <c r="C312" s="292">
        <v>166.75</v>
      </c>
      <c r="D312" s="292">
        <v>48.5</v>
      </c>
      <c r="E312" s="292">
        <v>2178.6999999999998</v>
      </c>
      <c r="F312" s="292">
        <v>1197.380005</v>
      </c>
      <c r="G312" s="292">
        <v>1353.15</v>
      </c>
      <c r="H312" s="292">
        <v>1276.099976</v>
      </c>
      <c r="I312" s="292">
        <v>93.2</v>
      </c>
      <c r="J312" s="197">
        <v>1716.9499510000001</v>
      </c>
      <c r="L312" s="297">
        <f t="shared" si="71"/>
        <v>-5.3827881165044366E-3</v>
      </c>
      <c r="M312" s="298">
        <f t="shared" si="72"/>
        <v>-2.1418442650924574E-2</v>
      </c>
      <c r="N312" s="298">
        <f t="shared" si="73"/>
        <v>-1.8688733085591103E-2</v>
      </c>
      <c r="O312" s="298">
        <f t="shared" si="74"/>
        <v>3.59227017602013E-4</v>
      </c>
      <c r="P312" s="298">
        <f t="shared" si="75"/>
        <v>-6.4822885453151508E-3</v>
      </c>
      <c r="Q312" s="298">
        <f t="shared" si="76"/>
        <v>-3.4420937069529582E-3</v>
      </c>
      <c r="R312" s="298">
        <f t="shared" si="77"/>
        <v>-1.0672459890771872E-2</v>
      </c>
      <c r="S312" s="299">
        <f t="shared" si="78"/>
        <v>2.1864942356017098E-3</v>
      </c>
      <c r="U312" s="303">
        <f t="shared" si="79"/>
        <v>-3.8240826959959062E-3</v>
      </c>
      <c r="V312" s="86">
        <f t="shared" si="80"/>
        <v>-2.7516171349385207E-2</v>
      </c>
      <c r="W312" s="86">
        <f t="shared" si="81"/>
        <v>-2.1537236430657272E-2</v>
      </c>
      <c r="X312" s="86">
        <f t="shared" si="82"/>
        <v>-1.2100494912496316E-5</v>
      </c>
      <c r="Y312" s="86">
        <f t="shared" si="83"/>
        <v>-7.5912985370087793E-3</v>
      </c>
      <c r="Z312" s="86">
        <f t="shared" si="84"/>
        <v>-5.0038863061303085E-3</v>
      </c>
      <c r="AA312" s="86">
        <f t="shared" si="85"/>
        <v>-4.9605392152283359E-3</v>
      </c>
      <c r="AB312" s="304">
        <f t="shared" si="86"/>
        <v>1.5741363589521489E-3</v>
      </c>
    </row>
    <row r="313" spans="2:28" x14ac:dyDescent="0.3">
      <c r="B313" s="271">
        <v>43658</v>
      </c>
      <c r="C313" s="292">
        <v>167.65</v>
      </c>
      <c r="D313" s="292">
        <v>49.549999</v>
      </c>
      <c r="E313" s="292">
        <v>2219.8000000000002</v>
      </c>
      <c r="F313" s="292">
        <v>1196.9499510000001</v>
      </c>
      <c r="G313" s="292">
        <v>1361.95</v>
      </c>
      <c r="H313" s="292">
        <v>1280.5</v>
      </c>
      <c r="I313" s="292">
        <v>94.2</v>
      </c>
      <c r="J313" s="197">
        <v>1713.1999510000001</v>
      </c>
      <c r="L313" s="297">
        <f t="shared" si="71"/>
        <v>2.4148471965048011E-2</v>
      </c>
      <c r="M313" s="298">
        <f t="shared" si="72"/>
        <v>2.0201623031943124E-3</v>
      </c>
      <c r="N313" s="298">
        <f t="shared" si="73"/>
        <v>-2.4848624144332258E-2</v>
      </c>
      <c r="O313" s="298">
        <f t="shared" si="74"/>
        <v>-5.5154817006508325E-3</v>
      </c>
      <c r="P313" s="298">
        <f t="shared" si="75"/>
        <v>2.1898143432253006E-2</v>
      </c>
      <c r="Q313" s="298">
        <f t="shared" si="76"/>
        <v>-8.1969441557448058E-4</v>
      </c>
      <c r="R313" s="298">
        <f t="shared" si="77"/>
        <v>1.8752223749183609E-2</v>
      </c>
      <c r="S313" s="299">
        <f t="shared" si="78"/>
        <v>-1.0278580158204112E-2</v>
      </c>
      <c r="U313" s="303">
        <f t="shared" si="79"/>
        <v>2.5707177385556543E-2</v>
      </c>
      <c r="V313" s="86">
        <f t="shared" si="80"/>
        <v>-4.0775663952663218E-3</v>
      </c>
      <c r="W313" s="86">
        <f t="shared" si="81"/>
        <v>-2.7697127489398427E-2</v>
      </c>
      <c r="X313" s="86">
        <f t="shared" si="82"/>
        <v>-5.8868092131653419E-3</v>
      </c>
      <c r="Y313" s="86">
        <f t="shared" si="83"/>
        <v>2.0789133440559378E-2</v>
      </c>
      <c r="Z313" s="86">
        <f t="shared" si="84"/>
        <v>-2.3814870147518311E-3</v>
      </c>
      <c r="AA313" s="86">
        <f t="shared" si="85"/>
        <v>2.4464144424727146E-2</v>
      </c>
      <c r="AB313" s="304">
        <f t="shared" si="86"/>
        <v>-1.0890938034853673E-2</v>
      </c>
    </row>
    <row r="314" spans="2:28" x14ac:dyDescent="0.3">
      <c r="B314" s="271">
        <v>43657</v>
      </c>
      <c r="C314" s="292">
        <v>163.65</v>
      </c>
      <c r="D314" s="292">
        <v>49.450001</v>
      </c>
      <c r="E314" s="292">
        <v>2275.65</v>
      </c>
      <c r="F314" s="292">
        <v>1203.5699460000001</v>
      </c>
      <c r="G314" s="292">
        <v>1332.45</v>
      </c>
      <c r="H314" s="292">
        <v>1281.5500489999999</v>
      </c>
      <c r="I314" s="292">
        <v>92.45</v>
      </c>
      <c r="J314" s="197">
        <v>1730.900024</v>
      </c>
      <c r="L314" s="297">
        <f t="shared" si="71"/>
        <v>2.2556185713362716E-2</v>
      </c>
      <c r="M314" s="298">
        <f t="shared" si="72"/>
        <v>7.1030842238914383E-3</v>
      </c>
      <c r="N314" s="298">
        <f t="shared" si="73"/>
        <v>6.347968152706579E-3</v>
      </c>
      <c r="O314" s="298">
        <f t="shared" si="74"/>
        <v>7.6648688924535729E-3</v>
      </c>
      <c r="P314" s="298">
        <f t="shared" si="75"/>
        <v>7.1552613779690879E-3</v>
      </c>
      <c r="Q314" s="298">
        <f t="shared" si="76"/>
        <v>2.1091032452229446E-3</v>
      </c>
      <c r="R314" s="298">
        <f t="shared" si="77"/>
        <v>-5.9315353201220338E-3</v>
      </c>
      <c r="S314" s="299">
        <f t="shared" si="78"/>
        <v>7.1315263837045543E-3</v>
      </c>
      <c r="U314" s="303">
        <f t="shared" si="79"/>
        <v>2.4114891133871247E-2</v>
      </c>
      <c r="V314" s="86">
        <f t="shared" si="80"/>
        <v>1.0053555254308042E-3</v>
      </c>
      <c r="W314" s="86">
        <f t="shared" si="81"/>
        <v>3.4994648076404097E-3</v>
      </c>
      <c r="X314" s="86">
        <f t="shared" si="82"/>
        <v>7.2935413799390635E-3</v>
      </c>
      <c r="Y314" s="86">
        <f t="shared" si="83"/>
        <v>6.0462513862754586E-3</v>
      </c>
      <c r="Z314" s="86">
        <f t="shared" si="84"/>
        <v>5.4731064604559405E-4</v>
      </c>
      <c r="AA314" s="86">
        <f t="shared" si="85"/>
        <v>-2.1961464457849814E-4</v>
      </c>
      <c r="AB314" s="304">
        <f t="shared" si="86"/>
        <v>6.5191685070549931E-3</v>
      </c>
    </row>
    <row r="315" spans="2:28" x14ac:dyDescent="0.3">
      <c r="B315" s="271">
        <v>43656</v>
      </c>
      <c r="C315" s="292">
        <v>160</v>
      </c>
      <c r="D315" s="292">
        <v>49.099997999999999</v>
      </c>
      <c r="E315" s="292">
        <v>2261.25</v>
      </c>
      <c r="F315" s="292">
        <v>1194.380005</v>
      </c>
      <c r="G315" s="292">
        <v>1322.95</v>
      </c>
      <c r="H315" s="292">
        <v>1278.849976</v>
      </c>
      <c r="I315" s="292">
        <v>93</v>
      </c>
      <c r="J315" s="197">
        <v>1718.599976</v>
      </c>
      <c r="L315" s="297">
        <f t="shared" si="71"/>
        <v>-9.3313274288843052E-3</v>
      </c>
      <c r="M315" s="298">
        <f t="shared" si="72"/>
        <v>-1.0131799341023864E-2</v>
      </c>
      <c r="N315" s="298">
        <f t="shared" si="73"/>
        <v>1.4746112973436601E-2</v>
      </c>
      <c r="O315" s="298">
        <f t="shared" si="74"/>
        <v>4.0353745894120508E-3</v>
      </c>
      <c r="P315" s="298">
        <f t="shared" si="75"/>
        <v>1.4750659835252636E-3</v>
      </c>
      <c r="Q315" s="298">
        <f t="shared" si="76"/>
        <v>-9.7696330359703897E-4</v>
      </c>
      <c r="R315" s="298">
        <f t="shared" si="77"/>
        <v>1.7901210329240302E-2</v>
      </c>
      <c r="S315" s="299">
        <f t="shared" si="78"/>
        <v>-1.2518789134508431E-2</v>
      </c>
      <c r="U315" s="303">
        <f t="shared" si="79"/>
        <v>-7.7726220083757748E-3</v>
      </c>
      <c r="V315" s="86">
        <f t="shared" si="80"/>
        <v>-1.6229528039484499E-2</v>
      </c>
      <c r="W315" s="86">
        <f t="shared" si="81"/>
        <v>1.1897609628370432E-2</v>
      </c>
      <c r="X315" s="86">
        <f t="shared" si="82"/>
        <v>3.6640470768975414E-3</v>
      </c>
      <c r="Y315" s="86">
        <f t="shared" si="83"/>
        <v>3.6605599183163473E-4</v>
      </c>
      <c r="Z315" s="86">
        <f t="shared" si="84"/>
        <v>-2.5387559027743893E-3</v>
      </c>
      <c r="AA315" s="86">
        <f t="shared" si="85"/>
        <v>2.3613131004783839E-2</v>
      </c>
      <c r="AB315" s="304">
        <f t="shared" si="86"/>
        <v>-1.3131147011157992E-2</v>
      </c>
    </row>
    <row r="316" spans="2:28" x14ac:dyDescent="0.3">
      <c r="B316" s="271">
        <v>43655</v>
      </c>
      <c r="C316" s="292">
        <v>161.5</v>
      </c>
      <c r="D316" s="292">
        <v>49.599997999999999</v>
      </c>
      <c r="E316" s="292">
        <v>2228.15</v>
      </c>
      <c r="F316" s="292">
        <v>1189.5699460000001</v>
      </c>
      <c r="G316" s="292">
        <v>1321</v>
      </c>
      <c r="H316" s="292">
        <v>1280.099976</v>
      </c>
      <c r="I316" s="292">
        <v>91.35</v>
      </c>
      <c r="J316" s="197">
        <v>1740.25</v>
      </c>
      <c r="L316" s="297">
        <f t="shared" si="71"/>
        <v>-2.7825029546269691E-3</v>
      </c>
      <c r="M316" s="298">
        <f t="shared" si="72"/>
        <v>0.10066724949658437</v>
      </c>
      <c r="N316" s="298">
        <f t="shared" si="73"/>
        <v>7.8624372950051834E-3</v>
      </c>
      <c r="O316" s="298">
        <f t="shared" si="74"/>
        <v>-1.2721766843743069E-2</v>
      </c>
      <c r="P316" s="298">
        <f t="shared" si="75"/>
        <v>-1.4467138185321816E-2</v>
      </c>
      <c r="Q316" s="298">
        <f t="shared" si="76"/>
        <v>2.215593401285661E-2</v>
      </c>
      <c r="R316" s="298">
        <f t="shared" si="77"/>
        <v>-1.951281422358183E-2</v>
      </c>
      <c r="S316" s="299">
        <f t="shared" si="78"/>
        <v>-7.6135514680156545E-3</v>
      </c>
      <c r="U316" s="303">
        <f t="shared" si="79"/>
        <v>-1.2237975341184389E-3</v>
      </c>
      <c r="V316" s="86">
        <f t="shared" si="80"/>
        <v>9.4569520798123738E-2</v>
      </c>
      <c r="W316" s="86">
        <f t="shared" si="81"/>
        <v>5.0139339499390145E-3</v>
      </c>
      <c r="X316" s="86">
        <f t="shared" si="82"/>
        <v>-1.3093094356257579E-2</v>
      </c>
      <c r="Y316" s="86">
        <f t="shared" si="83"/>
        <v>-1.5576148177015445E-2</v>
      </c>
      <c r="Z316" s="86">
        <f t="shared" si="84"/>
        <v>2.0594141413679261E-2</v>
      </c>
      <c r="AA316" s="86">
        <f t="shared" si="85"/>
        <v>-1.3800893548038293E-2</v>
      </c>
      <c r="AB316" s="304">
        <f t="shared" si="86"/>
        <v>-8.2259093446652148E-3</v>
      </c>
    </row>
    <row r="317" spans="2:28" x14ac:dyDescent="0.3">
      <c r="B317" s="271">
        <v>43654</v>
      </c>
      <c r="C317" s="292">
        <v>161.94999999999999</v>
      </c>
      <c r="D317" s="292">
        <v>44.849997999999999</v>
      </c>
      <c r="E317" s="292">
        <v>2210.6999999999998</v>
      </c>
      <c r="F317" s="292">
        <v>1204.8000489999999</v>
      </c>
      <c r="G317" s="292">
        <v>1340.25</v>
      </c>
      <c r="H317" s="292">
        <v>1252.0500489999999</v>
      </c>
      <c r="I317" s="292">
        <v>93.15</v>
      </c>
      <c r="J317" s="197">
        <v>1753.5500489999999</v>
      </c>
      <c r="L317" s="297">
        <f t="shared" si="71"/>
        <v>-1.0442355329851327E-2</v>
      </c>
      <c r="M317" s="298">
        <f t="shared" si="72"/>
        <v>-5.9509175308850699E-2</v>
      </c>
      <c r="N317" s="298">
        <f t="shared" si="73"/>
        <v>-4.2725460649566685E-2</v>
      </c>
      <c r="O317" s="298">
        <f t="shared" si="74"/>
        <v>-2.5728499871294126E-2</v>
      </c>
      <c r="P317" s="298">
        <f t="shared" si="75"/>
        <v>-1.367219652263077E-2</v>
      </c>
      <c r="Q317" s="298">
        <f t="shared" si="76"/>
        <v>-8.9846568356948941E-3</v>
      </c>
      <c r="R317" s="298">
        <f t="shared" si="77"/>
        <v>5.5171188203718143E-2</v>
      </c>
      <c r="S317" s="299">
        <f t="shared" si="78"/>
        <v>-2.1355117921646235E-2</v>
      </c>
      <c r="U317" s="303">
        <f t="shared" si="79"/>
        <v>-8.8836499093427976E-3</v>
      </c>
      <c r="V317" s="86">
        <f t="shared" si="80"/>
        <v>-6.560690400731134E-2</v>
      </c>
      <c r="W317" s="86">
        <f t="shared" si="81"/>
        <v>-4.5573963994632857E-2</v>
      </c>
      <c r="X317" s="86">
        <f t="shared" si="82"/>
        <v>-2.6099827383808633E-2</v>
      </c>
      <c r="Y317" s="86">
        <f t="shared" si="83"/>
        <v>-1.4781206514324399E-2</v>
      </c>
      <c r="Z317" s="86">
        <f t="shared" si="84"/>
        <v>-1.0546449434872245E-2</v>
      </c>
      <c r="AA317" s="86">
        <f t="shared" si="85"/>
        <v>6.0883108879261676E-2</v>
      </c>
      <c r="AB317" s="304">
        <f t="shared" si="86"/>
        <v>-2.1967475798295794E-2</v>
      </c>
    </row>
    <row r="318" spans="2:28" x14ac:dyDescent="0.3">
      <c r="B318" s="271">
        <v>43651</v>
      </c>
      <c r="C318" s="292">
        <v>163.65</v>
      </c>
      <c r="D318" s="292">
        <v>47.599997999999999</v>
      </c>
      <c r="E318" s="292">
        <v>2307.1999999999998</v>
      </c>
      <c r="F318" s="292">
        <v>1236.1999510000001</v>
      </c>
      <c r="G318" s="292">
        <v>1358.7</v>
      </c>
      <c r="H318" s="292">
        <v>1263.349976</v>
      </c>
      <c r="I318" s="292">
        <v>88.15</v>
      </c>
      <c r="J318" s="197">
        <v>1791.400024</v>
      </c>
      <c r="L318" s="297">
        <f t="shared" si="71"/>
        <v>-4.4225910476424192E-2</v>
      </c>
      <c r="M318" s="298">
        <f t="shared" si="72"/>
        <v>-6.9972805801469085E-2</v>
      </c>
      <c r="N318" s="298">
        <f t="shared" si="73"/>
        <v>-1.6527880882012375E-2</v>
      </c>
      <c r="O318" s="298">
        <f t="shared" si="74"/>
        <v>-4.6003656916410998E-3</v>
      </c>
      <c r="P318" s="298">
        <f t="shared" si="75"/>
        <v>-7.3572693136249344E-4</v>
      </c>
      <c r="Q318" s="298">
        <f t="shared" si="76"/>
        <v>-1.6213301313539728E-2</v>
      </c>
      <c r="R318" s="298">
        <f t="shared" si="77"/>
        <v>-8.790906432401431E-2</v>
      </c>
      <c r="S318" s="299">
        <f t="shared" si="78"/>
        <v>-1.2273094985477528E-3</v>
      </c>
      <c r="U318" s="303">
        <f t="shared" si="79"/>
        <v>-4.2667205055915661E-2</v>
      </c>
      <c r="V318" s="86">
        <f t="shared" si="80"/>
        <v>-7.6070534499929718E-2</v>
      </c>
      <c r="W318" s="86">
        <f t="shared" si="81"/>
        <v>-1.9376384227078543E-2</v>
      </c>
      <c r="X318" s="86">
        <f t="shared" si="82"/>
        <v>-4.9716932041556092E-3</v>
      </c>
      <c r="Y318" s="86">
        <f t="shared" si="83"/>
        <v>-1.8447369230561225E-3</v>
      </c>
      <c r="Z318" s="86">
        <f t="shared" si="84"/>
        <v>-1.7775093912717078E-2</v>
      </c>
      <c r="AA318" s="86">
        <f t="shared" si="85"/>
        <v>-8.2197143648470777E-2</v>
      </c>
      <c r="AB318" s="304">
        <f t="shared" si="86"/>
        <v>-1.8396673751973137E-3</v>
      </c>
    </row>
    <row r="319" spans="2:28" x14ac:dyDescent="0.3">
      <c r="B319" s="271">
        <v>43650</v>
      </c>
      <c r="C319" s="292">
        <v>171.05</v>
      </c>
      <c r="D319" s="292">
        <v>51.049999</v>
      </c>
      <c r="E319" s="292">
        <v>2345.65</v>
      </c>
      <c r="F319" s="292">
        <v>1241.900024</v>
      </c>
      <c r="G319" s="292">
        <v>1359.7</v>
      </c>
      <c r="H319" s="292">
        <v>1284</v>
      </c>
      <c r="I319" s="292">
        <v>96.25</v>
      </c>
      <c r="J319" s="197">
        <v>1793.599976</v>
      </c>
      <c r="L319" s="297">
        <f t="shared" si="71"/>
        <v>-9.6000737290191183E-3</v>
      </c>
      <c r="M319" s="298">
        <f t="shared" si="72"/>
        <v>-1.8438193559391591E-2</v>
      </c>
      <c r="N319" s="298">
        <f t="shared" si="73"/>
        <v>2.8818156157939395E-3</v>
      </c>
      <c r="O319" s="298">
        <f t="shared" si="74"/>
        <v>-2.3484134741223834E-3</v>
      </c>
      <c r="P319" s="298">
        <f t="shared" si="75"/>
        <v>5.6791095587309919E-3</v>
      </c>
      <c r="Q319" s="298">
        <f t="shared" si="76"/>
        <v>1.1298834050168418E-3</v>
      </c>
      <c r="R319" s="298">
        <f t="shared" si="77"/>
        <v>-3.5718082602079232E-2</v>
      </c>
      <c r="S319" s="299">
        <f t="shared" si="78"/>
        <v>4.9744535306109616E-3</v>
      </c>
      <c r="U319" s="303">
        <f t="shared" si="79"/>
        <v>-8.0413683085105887E-3</v>
      </c>
      <c r="V319" s="86">
        <f t="shared" si="80"/>
        <v>-2.4535922257852224E-2</v>
      </c>
      <c r="W319" s="86">
        <f t="shared" si="81"/>
        <v>3.3312270727770248E-5</v>
      </c>
      <c r="X319" s="86">
        <f t="shared" si="82"/>
        <v>-2.7197409866368929E-3</v>
      </c>
      <c r="Y319" s="86">
        <f t="shared" si="83"/>
        <v>4.5700995670373626E-3</v>
      </c>
      <c r="Z319" s="86">
        <f t="shared" si="84"/>
        <v>-4.319091941605087E-4</v>
      </c>
      <c r="AA319" s="86">
        <f t="shared" si="85"/>
        <v>-3.0006161926535695E-2</v>
      </c>
      <c r="AB319" s="304">
        <f t="shared" si="86"/>
        <v>4.3620956539614005E-3</v>
      </c>
    </row>
    <row r="320" spans="2:28" x14ac:dyDescent="0.3">
      <c r="B320" s="271">
        <v>43649</v>
      </c>
      <c r="C320" s="292">
        <v>172.7</v>
      </c>
      <c r="D320" s="292">
        <v>52</v>
      </c>
      <c r="E320" s="292">
        <v>2338.9</v>
      </c>
      <c r="F320" s="292">
        <v>1244.8199460000001</v>
      </c>
      <c r="G320" s="292">
        <v>1352</v>
      </c>
      <c r="H320" s="292">
        <v>1282.5500489999999</v>
      </c>
      <c r="I320" s="292">
        <v>99.75</v>
      </c>
      <c r="J320" s="197">
        <v>1784.6999510000001</v>
      </c>
      <c r="L320" s="297">
        <f t="shared" si="71"/>
        <v>-1.1227986100208103E-2</v>
      </c>
      <c r="M320" s="298">
        <f t="shared" si="72"/>
        <v>3.5228671963425273E-2</v>
      </c>
      <c r="N320" s="298">
        <f t="shared" si="73"/>
        <v>8.8034407904302742E-3</v>
      </c>
      <c r="O320" s="298">
        <f t="shared" si="74"/>
        <v>-2.1506508723372194E-3</v>
      </c>
      <c r="P320" s="298">
        <f t="shared" si="75"/>
        <v>4.6334991618426453E-3</v>
      </c>
      <c r="Q320" s="298">
        <f t="shared" si="76"/>
        <v>3.1628061136483349E-3</v>
      </c>
      <c r="R320" s="298">
        <f t="shared" si="77"/>
        <v>-1.0471299867295366E-2</v>
      </c>
      <c r="S320" s="299">
        <f t="shared" si="78"/>
        <v>-2.5182587657766563E-3</v>
      </c>
      <c r="U320" s="303">
        <f t="shared" si="79"/>
        <v>-9.6692806796995732E-3</v>
      </c>
      <c r="V320" s="86">
        <f t="shared" si="80"/>
        <v>2.913094326496464E-2</v>
      </c>
      <c r="W320" s="86">
        <f t="shared" si="81"/>
        <v>5.9549374453641054E-3</v>
      </c>
      <c r="X320" s="86">
        <f t="shared" si="82"/>
        <v>-2.5219783848517289E-3</v>
      </c>
      <c r="Y320" s="86">
        <f t="shared" si="83"/>
        <v>3.5244891701490164E-3</v>
      </c>
      <c r="Z320" s="86">
        <f t="shared" si="84"/>
        <v>1.6010135144709843E-3</v>
      </c>
      <c r="AA320" s="86">
        <f t="shared" si="85"/>
        <v>-4.7593791917518299E-3</v>
      </c>
      <c r="AB320" s="304">
        <f t="shared" si="86"/>
        <v>-3.1306166424262174E-3</v>
      </c>
    </row>
    <row r="321" spans="2:28" x14ac:dyDescent="0.3">
      <c r="B321" s="271">
        <v>43648</v>
      </c>
      <c r="C321" s="292">
        <v>174.65</v>
      </c>
      <c r="D321" s="292">
        <v>50.200001</v>
      </c>
      <c r="E321" s="292">
        <v>2318.4</v>
      </c>
      <c r="F321" s="292">
        <v>1247.5</v>
      </c>
      <c r="G321" s="292">
        <v>1345.75</v>
      </c>
      <c r="H321" s="292">
        <v>1278.5</v>
      </c>
      <c r="I321" s="292">
        <v>100.8</v>
      </c>
      <c r="J321" s="197">
        <v>1789.1999510000001</v>
      </c>
      <c r="L321" s="297">
        <f t="shared" si="71"/>
        <v>3.4413569953931052E-3</v>
      </c>
      <c r="M321" s="298">
        <f t="shared" si="72"/>
        <v>9.8302720661097256E-2</v>
      </c>
      <c r="N321" s="298">
        <f t="shared" si="73"/>
        <v>2.208914207136441E-2</v>
      </c>
      <c r="O321" s="298">
        <f t="shared" si="74"/>
        <v>3.790719595405596E-3</v>
      </c>
      <c r="P321" s="298">
        <f t="shared" si="75"/>
        <v>-6.0009070286952022E-3</v>
      </c>
      <c r="Q321" s="298">
        <f t="shared" si="76"/>
        <v>7.5765562278736981E-3</v>
      </c>
      <c r="R321" s="298">
        <f t="shared" si="77"/>
        <v>-7.9584727358684756E-2</v>
      </c>
      <c r="S321" s="299">
        <f t="shared" si="78"/>
        <v>5.0428751723175574E-3</v>
      </c>
      <c r="U321" s="303">
        <f t="shared" si="79"/>
        <v>5.0000624159016356E-3</v>
      </c>
      <c r="V321" s="86">
        <f t="shared" si="80"/>
        <v>9.2204991962636623E-2</v>
      </c>
      <c r="W321" s="86">
        <f t="shared" si="81"/>
        <v>1.9240638726298241E-2</v>
      </c>
      <c r="X321" s="86">
        <f t="shared" si="82"/>
        <v>3.4193920828910866E-3</v>
      </c>
      <c r="Y321" s="86">
        <f t="shared" si="83"/>
        <v>-7.1099170203888316E-3</v>
      </c>
      <c r="Z321" s="86">
        <f t="shared" si="84"/>
        <v>6.0147636286963478E-3</v>
      </c>
      <c r="AA321" s="86">
        <f t="shared" si="85"/>
        <v>-7.3872806683141223E-2</v>
      </c>
      <c r="AB321" s="304">
        <f t="shared" si="86"/>
        <v>4.4305172956679963E-3</v>
      </c>
    </row>
    <row r="322" spans="2:28" x14ac:dyDescent="0.3">
      <c r="B322" s="271">
        <v>43647</v>
      </c>
      <c r="C322" s="292">
        <v>174.05</v>
      </c>
      <c r="D322" s="292">
        <v>45.5</v>
      </c>
      <c r="E322" s="292">
        <v>2267.75</v>
      </c>
      <c r="F322" s="292">
        <v>1242.780029</v>
      </c>
      <c r="G322" s="292">
        <v>1353.85</v>
      </c>
      <c r="H322" s="292">
        <v>1268.849976</v>
      </c>
      <c r="I322" s="292">
        <v>109.15</v>
      </c>
      <c r="J322" s="197">
        <v>1780.1999510000001</v>
      </c>
      <c r="L322" s="297">
        <f t="shared" si="71"/>
        <v>-1.7221588642121249E-3</v>
      </c>
      <c r="M322" s="298">
        <f t="shared" si="72"/>
        <v>2.4472811473681629E-2</v>
      </c>
      <c r="N322" s="298">
        <f t="shared" si="73"/>
        <v>-3.9679041169573761E-4</v>
      </c>
      <c r="O322" s="298">
        <f t="shared" si="74"/>
        <v>1.6960168701243915E-2</v>
      </c>
      <c r="P322" s="298">
        <f t="shared" si="75"/>
        <v>-3.1710941027591893E-3</v>
      </c>
      <c r="Q322" s="298">
        <f t="shared" si="76"/>
        <v>1.249049748463031E-2</v>
      </c>
      <c r="R322" s="298">
        <f t="shared" si="77"/>
        <v>3.671413027159405E-3</v>
      </c>
      <c r="S322" s="299">
        <f t="shared" si="78"/>
        <v>-4.1482346336403726E-3</v>
      </c>
      <c r="U322" s="303">
        <f t="shared" si="79"/>
        <v>-1.6345344370359473E-4</v>
      </c>
      <c r="V322" s="86">
        <f t="shared" si="80"/>
        <v>1.8375082775220996E-2</v>
      </c>
      <c r="W322" s="86">
        <f t="shared" si="81"/>
        <v>-3.2452937567619068E-3</v>
      </c>
      <c r="X322" s="86">
        <f t="shared" si="82"/>
        <v>1.6588841188729407E-2</v>
      </c>
      <c r="Y322" s="86">
        <f t="shared" si="83"/>
        <v>-4.2801040944528187E-3</v>
      </c>
      <c r="Z322" s="86">
        <f t="shared" si="84"/>
        <v>1.0928704885452958E-2</v>
      </c>
      <c r="AA322" s="86">
        <f t="shared" si="85"/>
        <v>9.3833337027029416E-3</v>
      </c>
      <c r="AB322" s="304">
        <f t="shared" si="86"/>
        <v>-4.7605925102899337E-3</v>
      </c>
    </row>
    <row r="323" spans="2:28" x14ac:dyDescent="0.3">
      <c r="B323" s="271">
        <v>43644</v>
      </c>
      <c r="C323" s="292">
        <v>174.35</v>
      </c>
      <c r="D323" s="292">
        <v>44.400002000000001</v>
      </c>
      <c r="E323" s="292">
        <v>2268.65</v>
      </c>
      <c r="F323" s="292">
        <v>1221.880005</v>
      </c>
      <c r="G323" s="292">
        <v>1358.15</v>
      </c>
      <c r="H323" s="292">
        <v>1253.099976</v>
      </c>
      <c r="I323" s="292">
        <v>108.75</v>
      </c>
      <c r="J323" s="197">
        <v>1787.599976</v>
      </c>
      <c r="L323" s="297">
        <f t="shared" si="71"/>
        <v>-1.4237142529829475E-2</v>
      </c>
      <c r="M323" s="298">
        <f t="shared" si="72"/>
        <v>4.7271140610662621E-2</v>
      </c>
      <c r="N323" s="298">
        <f t="shared" si="73"/>
        <v>6.6120802730619156E-5</v>
      </c>
      <c r="O323" s="298">
        <f t="shared" si="74"/>
        <v>-7.5580510787490807E-3</v>
      </c>
      <c r="P323" s="298">
        <f t="shared" si="75"/>
        <v>-2.3901024413300271E-3</v>
      </c>
      <c r="Q323" s="298">
        <f t="shared" si="76"/>
        <v>-1.6658846422172045E-2</v>
      </c>
      <c r="R323" s="298">
        <f t="shared" si="77"/>
        <v>-3.3012267490797303E-2</v>
      </c>
      <c r="S323" s="299">
        <f t="shared" si="78"/>
        <v>7.4115735116726932E-3</v>
      </c>
      <c r="U323" s="303">
        <f t="shared" si="79"/>
        <v>-1.2678437109320945E-2</v>
      </c>
      <c r="V323" s="86">
        <f t="shared" si="80"/>
        <v>4.1173411912201988E-2</v>
      </c>
      <c r="W323" s="86">
        <f t="shared" si="81"/>
        <v>-2.7823825423355501E-3</v>
      </c>
      <c r="X323" s="86">
        <f t="shared" si="82"/>
        <v>-7.9293785912635893E-3</v>
      </c>
      <c r="Y323" s="86">
        <f t="shared" si="83"/>
        <v>-3.499112433023656E-3</v>
      </c>
      <c r="Z323" s="86">
        <f t="shared" si="84"/>
        <v>-1.8220639021349395E-2</v>
      </c>
      <c r="AA323" s="86">
        <f t="shared" si="85"/>
        <v>-2.7300346815253767E-2</v>
      </c>
      <c r="AB323" s="304">
        <f t="shared" si="86"/>
        <v>6.7992156350231321E-3</v>
      </c>
    </row>
    <row r="324" spans="2:28" x14ac:dyDescent="0.3">
      <c r="B324" s="271">
        <v>43643</v>
      </c>
      <c r="C324" s="292">
        <v>176.85</v>
      </c>
      <c r="D324" s="292">
        <v>42.349997999999999</v>
      </c>
      <c r="E324" s="292">
        <v>2268.5</v>
      </c>
      <c r="F324" s="292">
        <v>1231.150024</v>
      </c>
      <c r="G324" s="292">
        <v>1361.4</v>
      </c>
      <c r="H324" s="292">
        <v>1274.150024</v>
      </c>
      <c r="I324" s="292">
        <v>112.4</v>
      </c>
      <c r="J324" s="197">
        <v>1774.400024</v>
      </c>
      <c r="L324" s="297">
        <f t="shared" ref="L324:L387" si="87">LN(C324/C325)</f>
        <v>-5.6385827429745305E-3</v>
      </c>
      <c r="M324" s="298">
        <f t="shared" ref="M324:M387" si="88">LN(D324/D325)</f>
        <v>2.0274946635907953E-2</v>
      </c>
      <c r="N324" s="298">
        <f t="shared" ref="N324:N387" si="89">LN(E324/E325)</f>
        <v>1.7588197553411299E-2</v>
      </c>
      <c r="O324" s="298">
        <f t="shared" ref="O324:O387" si="90">LN(F324/F325)</f>
        <v>-2.2716548882083802E-3</v>
      </c>
      <c r="P324" s="298">
        <f t="shared" ref="P324:P387" si="91">LN(G324/G325)</f>
        <v>1.0656476654740009E-3</v>
      </c>
      <c r="Q324" s="298">
        <f t="shared" ref="Q324:Q387" si="92">LN(H324/H325)</f>
        <v>-1.5574819075823381E-2</v>
      </c>
      <c r="R324" s="298">
        <f t="shared" ref="R324:R387" si="93">LN(I324/I325)</f>
        <v>-5.7662612643880435E-3</v>
      </c>
      <c r="S324" s="299">
        <f t="shared" ref="S324:S387" si="94">LN(J324/J325)</f>
        <v>7.5805216255952542E-3</v>
      </c>
      <c r="U324" s="303">
        <f t="shared" ref="U324:U387" si="95">L324-L$494</f>
        <v>-4.0798773224660001E-3</v>
      </c>
      <c r="V324" s="86">
        <f t="shared" ref="V324:V387" si="96">M324-M$494</f>
        <v>1.417721793744732E-2</v>
      </c>
      <c r="W324" s="86">
        <f t="shared" ref="W324:W387" si="97">N324-N$494</f>
        <v>1.473969420834513E-2</v>
      </c>
      <c r="X324" s="86">
        <f t="shared" ref="X324:X387" si="98">O324-O$494</f>
        <v>-2.6429824007228896E-3</v>
      </c>
      <c r="Y324" s="86">
        <f t="shared" ref="Y324:Y387" si="99">P324-P$494</f>
        <v>-4.3362326219628048E-5</v>
      </c>
      <c r="Z324" s="86">
        <f t="shared" ref="Z324:Z387" si="100">Q324-Q$494</f>
        <v>-1.7136611675000732E-2</v>
      </c>
      <c r="AA324" s="86">
        <f t="shared" ref="AA324:AA387" si="101">R324-R$494</f>
        <v>-5.434058884450782E-5</v>
      </c>
      <c r="AB324" s="304">
        <f t="shared" ref="AB324:AB387" si="102">S324-S$494</f>
        <v>6.9681637489456931E-3</v>
      </c>
    </row>
    <row r="325" spans="2:28" x14ac:dyDescent="0.3">
      <c r="B325" s="271">
        <v>43642</v>
      </c>
      <c r="C325" s="292">
        <v>177.85</v>
      </c>
      <c r="D325" s="292">
        <v>41.5</v>
      </c>
      <c r="E325" s="292">
        <v>2228.9499999999998</v>
      </c>
      <c r="F325" s="292">
        <v>1233.9499510000001</v>
      </c>
      <c r="G325" s="292">
        <v>1359.95</v>
      </c>
      <c r="H325" s="292">
        <v>1294.150024</v>
      </c>
      <c r="I325" s="292">
        <v>113.05</v>
      </c>
      <c r="J325" s="197">
        <v>1761</v>
      </c>
      <c r="L325" s="297">
        <f t="shared" si="87"/>
        <v>4.3085354287488671E-2</v>
      </c>
      <c r="M325" s="298">
        <f t="shared" si="88"/>
        <v>3.6210541345472851E-3</v>
      </c>
      <c r="N325" s="298">
        <f t="shared" si="89"/>
        <v>-6.5065238654308452E-3</v>
      </c>
      <c r="O325" s="298">
        <f t="shared" si="90"/>
        <v>1.6011431861410842E-2</v>
      </c>
      <c r="P325" s="298">
        <f t="shared" si="91"/>
        <v>-2.3135832284202577E-3</v>
      </c>
      <c r="Q325" s="298">
        <f t="shared" si="92"/>
        <v>-1.3127044356077788E-3</v>
      </c>
      <c r="R325" s="298">
        <f t="shared" si="93"/>
        <v>2.6895390751508163E-2</v>
      </c>
      <c r="S325" s="299">
        <f t="shared" si="94"/>
        <v>2.5871307914923751E-3</v>
      </c>
      <c r="U325" s="303">
        <f t="shared" si="95"/>
        <v>4.4644059707997202E-2</v>
      </c>
      <c r="V325" s="86">
        <f t="shared" si="96"/>
        <v>-2.4766745639133491E-3</v>
      </c>
      <c r="W325" s="86">
        <f t="shared" si="97"/>
        <v>-9.3550272104970141E-3</v>
      </c>
      <c r="X325" s="86">
        <f t="shared" si="98"/>
        <v>1.5640104348896334E-2</v>
      </c>
      <c r="Y325" s="86">
        <f t="shared" si="99"/>
        <v>-3.4225932201138866E-3</v>
      </c>
      <c r="Z325" s="86">
        <f t="shared" si="100"/>
        <v>-2.8744970347851294E-3</v>
      </c>
      <c r="AA325" s="86">
        <f t="shared" si="101"/>
        <v>3.2607311427051699E-2</v>
      </c>
      <c r="AB325" s="304">
        <f t="shared" si="102"/>
        <v>1.974772914842814E-3</v>
      </c>
    </row>
    <row r="326" spans="2:28" x14ac:dyDescent="0.3">
      <c r="B326" s="271">
        <v>43641</v>
      </c>
      <c r="C326" s="292">
        <v>170.35</v>
      </c>
      <c r="D326" s="292">
        <v>41.349997999999999</v>
      </c>
      <c r="E326" s="292">
        <v>2243.5</v>
      </c>
      <c r="F326" s="292">
        <v>1214.349976</v>
      </c>
      <c r="G326" s="292">
        <v>1363.1</v>
      </c>
      <c r="H326" s="292">
        <v>1295.849976</v>
      </c>
      <c r="I326" s="292">
        <v>110.05</v>
      </c>
      <c r="J326" s="197">
        <v>1756.4499510000001</v>
      </c>
      <c r="L326" s="297">
        <f t="shared" si="87"/>
        <v>1.1216174254413819E-2</v>
      </c>
      <c r="M326" s="298">
        <f t="shared" si="88"/>
        <v>4.848397376354641E-3</v>
      </c>
      <c r="N326" s="298">
        <f t="shared" si="89"/>
        <v>4.6812827569434192E-4</v>
      </c>
      <c r="O326" s="298">
        <f t="shared" si="90"/>
        <v>4.4402010107908885E-3</v>
      </c>
      <c r="P326" s="298">
        <f t="shared" si="91"/>
        <v>-9.52822760306298E-3</v>
      </c>
      <c r="Q326" s="298">
        <f t="shared" si="92"/>
        <v>2.6152141849324025E-2</v>
      </c>
      <c r="R326" s="298">
        <f t="shared" si="93"/>
        <v>-1.711753507229323E-2</v>
      </c>
      <c r="S326" s="299">
        <f t="shared" si="94"/>
        <v>-4.5443005991524137E-3</v>
      </c>
      <c r="U326" s="303">
        <f t="shared" si="95"/>
        <v>1.2774879674922348E-2</v>
      </c>
      <c r="V326" s="86">
        <f t="shared" si="96"/>
        <v>-1.2493313221059931E-3</v>
      </c>
      <c r="W326" s="86">
        <f t="shared" si="97"/>
        <v>-2.3803750693718274E-3</v>
      </c>
      <c r="X326" s="86">
        <f t="shared" si="98"/>
        <v>4.0688734982763791E-3</v>
      </c>
      <c r="Y326" s="86">
        <f t="shared" si="99"/>
        <v>-1.0637237594756609E-2</v>
      </c>
      <c r="Z326" s="86">
        <f t="shared" si="100"/>
        <v>2.4590349250146675E-2</v>
      </c>
      <c r="AA326" s="86">
        <f t="shared" si="101"/>
        <v>-1.1405614396749694E-2</v>
      </c>
      <c r="AB326" s="304">
        <f t="shared" si="102"/>
        <v>-5.1566584758019748E-3</v>
      </c>
    </row>
    <row r="327" spans="2:28" x14ac:dyDescent="0.3">
      <c r="B327" s="271">
        <v>43640</v>
      </c>
      <c r="C327" s="292">
        <v>168.45</v>
      </c>
      <c r="D327" s="292">
        <v>41.150002000000001</v>
      </c>
      <c r="E327" s="292">
        <v>2242.4499999999998</v>
      </c>
      <c r="F327" s="292">
        <v>1208.969971</v>
      </c>
      <c r="G327" s="292">
        <v>1376.15</v>
      </c>
      <c r="H327" s="292">
        <v>1262.400024</v>
      </c>
      <c r="I327" s="292">
        <v>111.95</v>
      </c>
      <c r="J327" s="197">
        <v>1764.4499510000001</v>
      </c>
      <c r="L327" s="297">
        <f t="shared" si="87"/>
        <v>-2.3178388377030904E-2</v>
      </c>
      <c r="M327" s="298">
        <f t="shared" si="88"/>
        <v>-2.4271370549392378E-3</v>
      </c>
      <c r="N327" s="298">
        <f t="shared" si="89"/>
        <v>1.2452064014544215E-2</v>
      </c>
      <c r="O327" s="298">
        <f t="shared" si="90"/>
        <v>1.5479645990613669E-3</v>
      </c>
      <c r="P327" s="298">
        <f t="shared" si="91"/>
        <v>-4.9653074848978965E-3</v>
      </c>
      <c r="Q327" s="298">
        <f t="shared" si="92"/>
        <v>-1.3454686496826971E-2</v>
      </c>
      <c r="R327" s="298">
        <f t="shared" si="93"/>
        <v>2.1214968530848845E-2</v>
      </c>
      <c r="S327" s="299">
        <f t="shared" si="94"/>
        <v>-1.2461121465067895E-3</v>
      </c>
      <c r="U327" s="303">
        <f t="shared" si="95"/>
        <v>-2.1619682956522373E-2</v>
      </c>
      <c r="V327" s="86">
        <f t="shared" si="96"/>
        <v>-8.5248657533998715E-3</v>
      </c>
      <c r="W327" s="86">
        <f t="shared" si="97"/>
        <v>9.6035606694780465E-3</v>
      </c>
      <c r="X327" s="86">
        <f t="shared" si="98"/>
        <v>1.1766370865468577E-3</v>
      </c>
      <c r="Y327" s="86">
        <f t="shared" si="99"/>
        <v>-6.0743174765915259E-3</v>
      </c>
      <c r="Z327" s="86">
        <f t="shared" si="100"/>
        <v>-1.5016479096004322E-2</v>
      </c>
      <c r="AA327" s="86">
        <f t="shared" si="101"/>
        <v>2.6926889206392381E-2</v>
      </c>
      <c r="AB327" s="304">
        <f t="shared" si="102"/>
        <v>-1.8584700231563504E-3</v>
      </c>
    </row>
    <row r="328" spans="2:28" x14ac:dyDescent="0.3">
      <c r="B328" s="271">
        <v>43637</v>
      </c>
      <c r="C328" s="292">
        <v>172.4</v>
      </c>
      <c r="D328" s="292">
        <v>41.25</v>
      </c>
      <c r="E328" s="292">
        <v>2214.6999999999998</v>
      </c>
      <c r="F328" s="292">
        <v>1207.099976</v>
      </c>
      <c r="G328" s="292">
        <v>1383</v>
      </c>
      <c r="H328" s="292">
        <v>1279.5</v>
      </c>
      <c r="I328" s="292">
        <v>109.6</v>
      </c>
      <c r="J328" s="197">
        <v>1766.650024</v>
      </c>
      <c r="L328" s="297">
        <f t="shared" si="87"/>
        <v>2.3228814161397287E-3</v>
      </c>
      <c r="M328" s="298">
        <f t="shared" si="88"/>
        <v>7.2992780615873916E-3</v>
      </c>
      <c r="N328" s="298">
        <f t="shared" si="89"/>
        <v>2.8603147587735599E-2</v>
      </c>
      <c r="O328" s="298">
        <f t="shared" si="90"/>
        <v>-5.0242870368835436E-3</v>
      </c>
      <c r="P328" s="298">
        <f t="shared" si="91"/>
        <v>-6.5224281247453298E-3</v>
      </c>
      <c r="Q328" s="298">
        <f t="shared" si="92"/>
        <v>-1.3391757631666121E-2</v>
      </c>
      <c r="R328" s="298">
        <f t="shared" si="93"/>
        <v>-4.4174034385589443E-2</v>
      </c>
      <c r="S328" s="299">
        <f t="shared" si="94"/>
        <v>-2.1503207910034308E-2</v>
      </c>
      <c r="U328" s="303">
        <f t="shared" si="95"/>
        <v>3.8815868366482587E-3</v>
      </c>
      <c r="V328" s="86">
        <f t="shared" si="96"/>
        <v>1.2015493631267575E-3</v>
      </c>
      <c r="W328" s="86">
        <f t="shared" si="97"/>
        <v>2.575464424266943E-2</v>
      </c>
      <c r="X328" s="86">
        <f t="shared" si="98"/>
        <v>-5.3956145493980531E-3</v>
      </c>
      <c r="Y328" s="86">
        <f t="shared" si="99"/>
        <v>-7.6314381164389582E-3</v>
      </c>
      <c r="Z328" s="86">
        <f t="shared" si="100"/>
        <v>-1.4953550230843472E-2</v>
      </c>
      <c r="AA328" s="86">
        <f t="shared" si="101"/>
        <v>-3.846211371004591E-2</v>
      </c>
      <c r="AB328" s="304">
        <f t="shared" si="102"/>
        <v>-2.2115565786683868E-2</v>
      </c>
    </row>
    <row r="329" spans="2:28" x14ac:dyDescent="0.3">
      <c r="B329" s="271">
        <v>43636</v>
      </c>
      <c r="C329" s="292">
        <v>172</v>
      </c>
      <c r="D329" s="292">
        <v>40.950001</v>
      </c>
      <c r="E329" s="292">
        <v>2152.25</v>
      </c>
      <c r="F329" s="292">
        <v>1213.1800539999999</v>
      </c>
      <c r="G329" s="292">
        <v>1392.05</v>
      </c>
      <c r="H329" s="292">
        <v>1296.75</v>
      </c>
      <c r="I329" s="292">
        <v>114.55</v>
      </c>
      <c r="J329" s="197">
        <v>1805.0500489999999</v>
      </c>
      <c r="L329" s="297">
        <f t="shared" si="87"/>
        <v>2.0558727021036567E-2</v>
      </c>
      <c r="M329" s="298">
        <f t="shared" si="88"/>
        <v>2.9741993618761675E-2</v>
      </c>
      <c r="N329" s="298">
        <f t="shared" si="89"/>
        <v>-1.9727305498338059E-3</v>
      </c>
      <c r="O329" s="298">
        <f t="shared" si="90"/>
        <v>-8.2394042258287993E-4</v>
      </c>
      <c r="P329" s="298">
        <f t="shared" si="91"/>
        <v>7.860995334361312E-3</v>
      </c>
      <c r="Q329" s="298">
        <f t="shared" si="92"/>
        <v>1.5073533666190353E-2</v>
      </c>
      <c r="R329" s="298">
        <f t="shared" si="93"/>
        <v>0.10434255585204205</v>
      </c>
      <c r="S329" s="299">
        <f t="shared" si="94"/>
        <v>-3.677284575137042E-3</v>
      </c>
      <c r="U329" s="303">
        <f t="shared" si="95"/>
        <v>2.2117432441545098E-2</v>
      </c>
      <c r="V329" s="86">
        <f t="shared" si="96"/>
        <v>2.3644264920301042E-2</v>
      </c>
      <c r="W329" s="86">
        <f t="shared" si="97"/>
        <v>-4.8212338948999747E-3</v>
      </c>
      <c r="X329" s="86">
        <f t="shared" si="98"/>
        <v>-1.1952679350973891E-3</v>
      </c>
      <c r="Y329" s="86">
        <f t="shared" si="99"/>
        <v>6.7519853426676827E-3</v>
      </c>
      <c r="Z329" s="86">
        <f t="shared" si="100"/>
        <v>1.3511741067013002E-2</v>
      </c>
      <c r="AA329" s="86">
        <f t="shared" si="101"/>
        <v>0.11005447652758558</v>
      </c>
      <c r="AB329" s="304">
        <f t="shared" si="102"/>
        <v>-4.2896424517866027E-3</v>
      </c>
    </row>
    <row r="330" spans="2:28" x14ac:dyDescent="0.3">
      <c r="B330" s="271">
        <v>43635</v>
      </c>
      <c r="C330" s="292">
        <v>168.5</v>
      </c>
      <c r="D330" s="292">
        <v>39.75</v>
      </c>
      <c r="E330" s="292">
        <v>2156.5</v>
      </c>
      <c r="F330" s="292">
        <v>1214.1800539999999</v>
      </c>
      <c r="G330" s="292">
        <v>1381.15</v>
      </c>
      <c r="H330" s="292">
        <v>1277.349976</v>
      </c>
      <c r="I330" s="292">
        <v>103.2</v>
      </c>
      <c r="J330" s="197">
        <v>1811.6999510000001</v>
      </c>
      <c r="L330" s="297">
        <f t="shared" si="87"/>
        <v>2.3767093778465421E-3</v>
      </c>
      <c r="M330" s="298">
        <f t="shared" si="88"/>
        <v>-2.6072215799970877E-2</v>
      </c>
      <c r="N330" s="298">
        <f t="shared" si="89"/>
        <v>-1.8059907712734333E-2</v>
      </c>
      <c r="O330" s="298">
        <f t="shared" si="90"/>
        <v>4.5897875584446175E-3</v>
      </c>
      <c r="P330" s="298">
        <f t="shared" si="91"/>
        <v>7.9675507619284523E-4</v>
      </c>
      <c r="Q330" s="298">
        <f t="shared" si="92"/>
        <v>-2.8534223314150213E-3</v>
      </c>
      <c r="R330" s="298">
        <f t="shared" si="93"/>
        <v>-5.7427542135030513E-2</v>
      </c>
      <c r="S330" s="299">
        <f t="shared" si="94"/>
        <v>1.1597908362878683E-3</v>
      </c>
      <c r="U330" s="303">
        <f t="shared" si="95"/>
        <v>3.9354147983550721E-3</v>
      </c>
      <c r="V330" s="86">
        <f t="shared" si="96"/>
        <v>-3.216994449843151E-2</v>
      </c>
      <c r="W330" s="86">
        <f t="shared" si="97"/>
        <v>-2.0908411057800502E-2</v>
      </c>
      <c r="X330" s="86">
        <f t="shared" si="98"/>
        <v>4.2184600459301081E-3</v>
      </c>
      <c r="Y330" s="86">
        <f t="shared" si="99"/>
        <v>-3.1225491550078367E-4</v>
      </c>
      <c r="Z330" s="86">
        <f t="shared" si="100"/>
        <v>-4.415214930592372E-3</v>
      </c>
      <c r="AA330" s="86">
        <f t="shared" si="101"/>
        <v>-5.171562145948698E-2</v>
      </c>
      <c r="AB330" s="304">
        <f t="shared" si="102"/>
        <v>5.4743295963830744E-4</v>
      </c>
    </row>
    <row r="331" spans="2:28" x14ac:dyDescent="0.3">
      <c r="B331" s="271">
        <v>43634</v>
      </c>
      <c r="C331" s="292">
        <v>168.1</v>
      </c>
      <c r="D331" s="292">
        <v>40.799999</v>
      </c>
      <c r="E331" s="292">
        <v>2195.8000000000002</v>
      </c>
      <c r="F331" s="292">
        <v>1208.619995</v>
      </c>
      <c r="G331" s="292">
        <v>1380.05</v>
      </c>
      <c r="H331" s="292">
        <v>1281</v>
      </c>
      <c r="I331" s="292">
        <v>109.3</v>
      </c>
      <c r="J331" s="197">
        <v>1809.599976</v>
      </c>
      <c r="L331" s="297">
        <f t="shared" si="87"/>
        <v>2.438778100745928E-2</v>
      </c>
      <c r="M331" s="298">
        <f t="shared" si="88"/>
        <v>-2.0619359731746442E-2</v>
      </c>
      <c r="N331" s="298">
        <f t="shared" si="89"/>
        <v>1.7092657738969105E-3</v>
      </c>
      <c r="O331" s="298">
        <f t="shared" si="90"/>
        <v>-1.9672558273518661E-3</v>
      </c>
      <c r="P331" s="298">
        <f t="shared" si="91"/>
        <v>-1.5744394241545546E-2</v>
      </c>
      <c r="Q331" s="298">
        <f t="shared" si="92"/>
        <v>-1.014355780921853E-3</v>
      </c>
      <c r="R331" s="298">
        <f t="shared" si="93"/>
        <v>-6.0786064033925322E-2</v>
      </c>
      <c r="S331" s="299">
        <f t="shared" si="94"/>
        <v>-4.6587119622026789E-3</v>
      </c>
      <c r="U331" s="303">
        <f t="shared" si="95"/>
        <v>2.5946486427967812E-2</v>
      </c>
      <c r="V331" s="86">
        <f t="shared" si="96"/>
        <v>-2.6717088430207075E-2</v>
      </c>
      <c r="W331" s="86">
        <f t="shared" si="97"/>
        <v>-1.1392375711692588E-3</v>
      </c>
      <c r="X331" s="86">
        <f t="shared" si="98"/>
        <v>-2.3385833398663755E-3</v>
      </c>
      <c r="Y331" s="86">
        <f t="shared" si="99"/>
        <v>-1.6853404233239173E-2</v>
      </c>
      <c r="Z331" s="86">
        <f t="shared" si="100"/>
        <v>-2.5761483800992033E-3</v>
      </c>
      <c r="AA331" s="86">
        <f t="shared" si="101"/>
        <v>-5.5074143358381789E-2</v>
      </c>
      <c r="AB331" s="304">
        <f t="shared" si="102"/>
        <v>-5.27106983885224E-3</v>
      </c>
    </row>
    <row r="332" spans="2:28" x14ac:dyDescent="0.3">
      <c r="B332" s="271">
        <v>43633</v>
      </c>
      <c r="C332" s="292">
        <v>164.05</v>
      </c>
      <c r="D332" s="292">
        <v>41.650002000000001</v>
      </c>
      <c r="E332" s="292">
        <v>2192.0500000000002</v>
      </c>
      <c r="F332" s="292">
        <v>1211</v>
      </c>
      <c r="G332" s="292">
        <v>1401.95</v>
      </c>
      <c r="H332" s="292">
        <v>1282.3000489999999</v>
      </c>
      <c r="I332" s="292">
        <v>116.15</v>
      </c>
      <c r="J332" s="197">
        <v>1818.0500489999999</v>
      </c>
      <c r="L332" s="297">
        <f t="shared" si="87"/>
        <v>-3.2976609164536999E-2</v>
      </c>
      <c r="M332" s="298">
        <f t="shared" si="88"/>
        <v>-2.2552789694908551E-2</v>
      </c>
      <c r="N332" s="298">
        <f t="shared" si="89"/>
        <v>-7.3858097060347872E-3</v>
      </c>
      <c r="O332" s="298">
        <f t="shared" si="90"/>
        <v>-5.3942185669551383E-3</v>
      </c>
      <c r="P332" s="298">
        <f t="shared" si="91"/>
        <v>-7.6740348894576912E-3</v>
      </c>
      <c r="Q332" s="298">
        <f t="shared" si="92"/>
        <v>-2.7118609872128368E-2</v>
      </c>
      <c r="R332" s="298">
        <f t="shared" si="93"/>
        <v>9.5156427350433451E-3</v>
      </c>
      <c r="S332" s="299">
        <f t="shared" si="94"/>
        <v>-2.6915160439510829E-3</v>
      </c>
      <c r="U332" s="303">
        <f t="shared" si="95"/>
        <v>-3.1417903744028468E-2</v>
      </c>
      <c r="V332" s="86">
        <f t="shared" si="96"/>
        <v>-2.8650518393369184E-2</v>
      </c>
      <c r="W332" s="86">
        <f t="shared" si="97"/>
        <v>-1.0234313051100957E-2</v>
      </c>
      <c r="X332" s="86">
        <f t="shared" si="98"/>
        <v>-5.7655460794696477E-3</v>
      </c>
      <c r="Y332" s="86">
        <f t="shared" si="99"/>
        <v>-8.7830448811513206E-3</v>
      </c>
      <c r="Z332" s="86">
        <f t="shared" si="100"/>
        <v>-2.8680402471305717E-2</v>
      </c>
      <c r="AA332" s="86">
        <f t="shared" si="101"/>
        <v>1.522756341058688E-2</v>
      </c>
      <c r="AB332" s="304">
        <f t="shared" si="102"/>
        <v>-3.303873920600644E-3</v>
      </c>
    </row>
    <row r="333" spans="2:28" x14ac:dyDescent="0.3">
      <c r="B333" s="271">
        <v>43630</v>
      </c>
      <c r="C333" s="292">
        <v>169.55</v>
      </c>
      <c r="D333" s="292">
        <v>42.599997999999999</v>
      </c>
      <c r="E333" s="292">
        <v>2208.3000000000002</v>
      </c>
      <c r="F333" s="292">
        <v>1217.5500489999999</v>
      </c>
      <c r="G333" s="292">
        <v>1412.75</v>
      </c>
      <c r="H333" s="292">
        <v>1317.5500489999999</v>
      </c>
      <c r="I333" s="292">
        <v>115.05</v>
      </c>
      <c r="J333" s="197">
        <v>1822.9499510000001</v>
      </c>
      <c r="L333" s="297">
        <f t="shared" si="87"/>
        <v>6.5088987190859305E-3</v>
      </c>
      <c r="M333" s="298">
        <f t="shared" si="88"/>
        <v>-1.8605280862340579E-2</v>
      </c>
      <c r="N333" s="298">
        <f t="shared" si="89"/>
        <v>-2.2500025704392128E-2</v>
      </c>
      <c r="O333" s="298">
        <f t="shared" si="90"/>
        <v>-3.9345326799799952E-3</v>
      </c>
      <c r="P333" s="298">
        <f t="shared" si="91"/>
        <v>-1.1751595375917185E-2</v>
      </c>
      <c r="Q333" s="298">
        <f t="shared" si="92"/>
        <v>-7.335143913996387E-3</v>
      </c>
      <c r="R333" s="298">
        <f t="shared" si="93"/>
        <v>-1.7661454122296787E-2</v>
      </c>
      <c r="S333" s="299">
        <f t="shared" si="94"/>
        <v>-1.2294202364643096E-2</v>
      </c>
      <c r="U333" s="303">
        <f t="shared" si="95"/>
        <v>8.06760413959446E-3</v>
      </c>
      <c r="V333" s="86">
        <f t="shared" si="96"/>
        <v>-2.4703009560801212E-2</v>
      </c>
      <c r="W333" s="86">
        <f t="shared" si="97"/>
        <v>-2.5348529049458297E-2</v>
      </c>
      <c r="X333" s="86">
        <f t="shared" si="98"/>
        <v>-4.3058601924945046E-3</v>
      </c>
      <c r="Y333" s="86">
        <f t="shared" si="99"/>
        <v>-1.2860605367610814E-2</v>
      </c>
      <c r="Z333" s="86">
        <f t="shared" si="100"/>
        <v>-8.8969365131737373E-3</v>
      </c>
      <c r="AA333" s="86">
        <f t="shared" si="101"/>
        <v>-1.1949533446753251E-2</v>
      </c>
      <c r="AB333" s="304">
        <f t="shared" si="102"/>
        <v>-1.2906560241292657E-2</v>
      </c>
    </row>
    <row r="334" spans="2:28" x14ac:dyDescent="0.3">
      <c r="B334" s="271">
        <v>43629</v>
      </c>
      <c r="C334" s="292">
        <v>168.45</v>
      </c>
      <c r="D334" s="292">
        <v>43.400002000000001</v>
      </c>
      <c r="E334" s="292">
        <v>2258.5500000000002</v>
      </c>
      <c r="F334" s="292">
        <v>1222.349976</v>
      </c>
      <c r="G334" s="292">
        <v>1429.45</v>
      </c>
      <c r="H334" s="292">
        <v>1327.25</v>
      </c>
      <c r="I334" s="292">
        <v>117.1</v>
      </c>
      <c r="J334" s="197">
        <v>1845.5</v>
      </c>
      <c r="L334" s="297">
        <f t="shared" si="87"/>
        <v>-9.7475295492542267E-3</v>
      </c>
      <c r="M334" s="298">
        <f t="shared" si="88"/>
        <v>5.7770233099295526E-3</v>
      </c>
      <c r="N334" s="298">
        <f t="shared" si="89"/>
        <v>-8.1577311030993152E-3</v>
      </c>
      <c r="O334" s="298">
        <f t="shared" si="90"/>
        <v>7.2417241628638966E-3</v>
      </c>
      <c r="P334" s="298">
        <f t="shared" si="91"/>
        <v>2.8022015604358213E-3</v>
      </c>
      <c r="Q334" s="298">
        <f t="shared" si="92"/>
        <v>-3.6850639248310287E-3</v>
      </c>
      <c r="R334" s="298">
        <f t="shared" si="93"/>
        <v>-0.14039293918543488</v>
      </c>
      <c r="S334" s="299">
        <f t="shared" si="94"/>
        <v>-8.6658512187985366E-4</v>
      </c>
      <c r="U334" s="303">
        <f t="shared" si="95"/>
        <v>-8.1888241287456972E-3</v>
      </c>
      <c r="V334" s="86">
        <f t="shared" si="96"/>
        <v>-3.2070538853108156E-4</v>
      </c>
      <c r="W334" s="86">
        <f t="shared" si="97"/>
        <v>-1.1006234448165484E-2</v>
      </c>
      <c r="X334" s="86">
        <f t="shared" si="98"/>
        <v>6.8703966503493872E-3</v>
      </c>
      <c r="Y334" s="86">
        <f t="shared" si="99"/>
        <v>1.6931915687421924E-3</v>
      </c>
      <c r="Z334" s="86">
        <f t="shared" si="100"/>
        <v>-5.2468565240083795E-3</v>
      </c>
      <c r="AA334" s="86">
        <f t="shared" si="101"/>
        <v>-0.13468101850989134</v>
      </c>
      <c r="AB334" s="304">
        <f t="shared" si="102"/>
        <v>-1.4789429985294146E-3</v>
      </c>
    </row>
    <row r="335" spans="2:28" x14ac:dyDescent="0.3">
      <c r="B335" s="271">
        <v>43628</v>
      </c>
      <c r="C335" s="292">
        <v>170.1</v>
      </c>
      <c r="D335" s="292">
        <v>43.150002000000001</v>
      </c>
      <c r="E335" s="292">
        <v>2277.0500000000002</v>
      </c>
      <c r="F335" s="292">
        <v>1213.530029</v>
      </c>
      <c r="G335" s="292">
        <v>1425.45</v>
      </c>
      <c r="H335" s="292">
        <v>1332.150024</v>
      </c>
      <c r="I335" s="292">
        <v>134.75</v>
      </c>
      <c r="J335" s="197">
        <v>1847.099976</v>
      </c>
      <c r="L335" s="297">
        <f t="shared" si="87"/>
        <v>4.4189201380354145E-3</v>
      </c>
      <c r="M335" s="298">
        <f t="shared" si="88"/>
        <v>1.4002632361757734E-2</v>
      </c>
      <c r="N335" s="298">
        <f t="shared" si="89"/>
        <v>-1.2872156089550144E-2</v>
      </c>
      <c r="O335" s="298">
        <f t="shared" si="90"/>
        <v>-8.7540377536657644E-3</v>
      </c>
      <c r="P335" s="298">
        <f t="shared" si="91"/>
        <v>-3.5076027292751434E-5</v>
      </c>
      <c r="Q335" s="298">
        <f t="shared" si="92"/>
        <v>2.2545381705381547E-3</v>
      </c>
      <c r="R335" s="298">
        <f t="shared" si="93"/>
        <v>-3.5001750193224747E-2</v>
      </c>
      <c r="S335" s="299">
        <f t="shared" si="94"/>
        <v>3.9599319155468604E-3</v>
      </c>
      <c r="U335" s="303">
        <f t="shared" si="95"/>
        <v>5.9776255585439449E-3</v>
      </c>
      <c r="V335" s="86">
        <f t="shared" si="96"/>
        <v>7.9049036632970991E-3</v>
      </c>
      <c r="W335" s="86">
        <f t="shared" si="97"/>
        <v>-1.5720659434616313E-2</v>
      </c>
      <c r="X335" s="86">
        <f t="shared" si="98"/>
        <v>-9.1253652661802739E-3</v>
      </c>
      <c r="Y335" s="86">
        <f t="shared" si="99"/>
        <v>-1.1440860189863803E-3</v>
      </c>
      <c r="Z335" s="86">
        <f t="shared" si="100"/>
        <v>6.9274557136080419E-4</v>
      </c>
      <c r="AA335" s="86">
        <f t="shared" si="101"/>
        <v>-2.928982951768121E-2</v>
      </c>
      <c r="AB335" s="304">
        <f t="shared" si="102"/>
        <v>3.3475740388972993E-3</v>
      </c>
    </row>
    <row r="336" spans="2:28" x14ac:dyDescent="0.3">
      <c r="B336" s="271">
        <v>43627</v>
      </c>
      <c r="C336" s="292">
        <v>169.35</v>
      </c>
      <c r="D336" s="292">
        <v>42.549999</v>
      </c>
      <c r="E336" s="292">
        <v>2306.5500000000002</v>
      </c>
      <c r="F336" s="292">
        <v>1224.1999510000001</v>
      </c>
      <c r="G336" s="292">
        <v>1425.5</v>
      </c>
      <c r="H336" s="292">
        <v>1329.150024</v>
      </c>
      <c r="I336" s="292">
        <v>139.55000000000001</v>
      </c>
      <c r="J336" s="197">
        <v>1839.8000489999999</v>
      </c>
      <c r="L336" s="297">
        <f t="shared" si="87"/>
        <v>2.4810718176903036E-2</v>
      </c>
      <c r="M336" s="298">
        <f t="shared" si="88"/>
        <v>-8.1920410363965843E-3</v>
      </c>
      <c r="N336" s="298">
        <f t="shared" si="89"/>
        <v>-1.5679257877984014E-2</v>
      </c>
      <c r="O336" s="298">
        <f t="shared" si="90"/>
        <v>3.3547264800595999E-3</v>
      </c>
      <c r="P336" s="298">
        <f t="shared" si="91"/>
        <v>2.0364460533118761E-3</v>
      </c>
      <c r="Q336" s="298">
        <f t="shared" si="92"/>
        <v>7.5520502560823587E-3</v>
      </c>
      <c r="R336" s="298">
        <f t="shared" si="93"/>
        <v>2.6503638825233246E-2</v>
      </c>
      <c r="S336" s="299">
        <f t="shared" si="94"/>
        <v>-6.8791814938557825E-3</v>
      </c>
      <c r="U336" s="303">
        <f t="shared" si="95"/>
        <v>2.6369423597411568E-2</v>
      </c>
      <c r="V336" s="86">
        <f t="shared" si="96"/>
        <v>-1.4289769734857218E-2</v>
      </c>
      <c r="W336" s="86">
        <f t="shared" si="97"/>
        <v>-1.8527761223050183E-2</v>
      </c>
      <c r="X336" s="86">
        <f t="shared" si="98"/>
        <v>2.9833989675450904E-3</v>
      </c>
      <c r="Y336" s="86">
        <f t="shared" si="99"/>
        <v>9.274360616182472E-4</v>
      </c>
      <c r="Z336" s="86">
        <f t="shared" si="100"/>
        <v>5.9902576569050084E-3</v>
      </c>
      <c r="AA336" s="86">
        <f t="shared" si="101"/>
        <v>3.2215559500776779E-2</v>
      </c>
      <c r="AB336" s="304">
        <f t="shared" si="102"/>
        <v>-7.4915393705053436E-3</v>
      </c>
    </row>
    <row r="337" spans="2:28" x14ac:dyDescent="0.3">
      <c r="B337" s="271">
        <v>43626</v>
      </c>
      <c r="C337" s="292">
        <v>165.2</v>
      </c>
      <c r="D337" s="292">
        <v>42.900002000000001</v>
      </c>
      <c r="E337" s="292">
        <v>2343</v>
      </c>
      <c r="F337" s="292">
        <v>1220.099976</v>
      </c>
      <c r="G337" s="292">
        <v>1422.6</v>
      </c>
      <c r="H337" s="292">
        <v>1319.150024</v>
      </c>
      <c r="I337" s="292">
        <v>135.9</v>
      </c>
      <c r="J337" s="197">
        <v>1852.5</v>
      </c>
      <c r="L337" s="297">
        <f t="shared" si="87"/>
        <v>6.0716640685497736E-3</v>
      </c>
      <c r="M337" s="298">
        <f t="shared" si="88"/>
        <v>-8.125360823871516E-3</v>
      </c>
      <c r="N337" s="298">
        <f t="shared" si="89"/>
        <v>-2.8256826703935714E-2</v>
      </c>
      <c r="O337" s="298">
        <f t="shared" si="90"/>
        <v>-3.0442673996266601E-3</v>
      </c>
      <c r="P337" s="298">
        <f t="shared" si="91"/>
        <v>2.9919591477748889E-3</v>
      </c>
      <c r="Q337" s="298">
        <f t="shared" si="92"/>
        <v>3.2269726167797929E-3</v>
      </c>
      <c r="R337" s="298">
        <f t="shared" si="93"/>
        <v>-2.9008560514337412E-2</v>
      </c>
      <c r="S337" s="299">
        <f t="shared" si="94"/>
        <v>1.1810359229062857E-2</v>
      </c>
      <c r="U337" s="303">
        <f t="shared" si="95"/>
        <v>7.630369489058304E-3</v>
      </c>
      <c r="V337" s="86">
        <f t="shared" si="96"/>
        <v>-1.4223089522332151E-2</v>
      </c>
      <c r="W337" s="86">
        <f t="shared" si="97"/>
        <v>-3.1105330049001883E-2</v>
      </c>
      <c r="X337" s="86">
        <f t="shared" si="98"/>
        <v>-3.4155949121411695E-3</v>
      </c>
      <c r="Y337" s="86">
        <f t="shared" si="99"/>
        <v>1.88294915608126E-3</v>
      </c>
      <c r="Z337" s="86">
        <f t="shared" si="100"/>
        <v>1.6651800176024423E-3</v>
      </c>
      <c r="AA337" s="86">
        <f t="shared" si="101"/>
        <v>-2.3296639838793876E-2</v>
      </c>
      <c r="AB337" s="304">
        <f t="shared" si="102"/>
        <v>1.1198001352413296E-2</v>
      </c>
    </row>
    <row r="338" spans="2:28" x14ac:dyDescent="0.3">
      <c r="B338" s="271">
        <v>43623</v>
      </c>
      <c r="C338" s="292">
        <v>164.2</v>
      </c>
      <c r="D338" s="292">
        <v>43.25</v>
      </c>
      <c r="E338" s="292">
        <v>2410.15</v>
      </c>
      <c r="F338" s="292">
        <v>1223.8199460000001</v>
      </c>
      <c r="G338" s="292">
        <v>1418.35</v>
      </c>
      <c r="H338" s="292">
        <v>1314.900024</v>
      </c>
      <c r="I338" s="292">
        <v>139.9</v>
      </c>
      <c r="J338" s="197">
        <v>1830.75</v>
      </c>
      <c r="L338" s="297">
        <f t="shared" si="87"/>
        <v>6.72168739135967E-3</v>
      </c>
      <c r="M338" s="298">
        <f t="shared" si="88"/>
        <v>-2.5115430281870518E-2</v>
      </c>
      <c r="N338" s="298">
        <f t="shared" si="89"/>
        <v>-9.1894380342233441E-3</v>
      </c>
      <c r="O338" s="298">
        <f t="shared" si="90"/>
        <v>9.9691993786624831E-3</v>
      </c>
      <c r="P338" s="298">
        <f t="shared" si="91"/>
        <v>-7.1657196567284373E-3</v>
      </c>
      <c r="Q338" s="298">
        <f t="shared" si="92"/>
        <v>-9.4238199551180107E-3</v>
      </c>
      <c r="R338" s="298">
        <f t="shared" si="93"/>
        <v>-2.471004649408453E-2</v>
      </c>
      <c r="S338" s="299">
        <f t="shared" si="94"/>
        <v>-3.8162783130178549E-3</v>
      </c>
      <c r="U338" s="303">
        <f t="shared" si="95"/>
        <v>8.2803928118682004E-3</v>
      </c>
      <c r="V338" s="86">
        <f t="shared" si="96"/>
        <v>-3.1213158980331151E-2</v>
      </c>
      <c r="W338" s="86">
        <f t="shared" si="97"/>
        <v>-1.2037941379289513E-2</v>
      </c>
      <c r="X338" s="86">
        <f t="shared" si="98"/>
        <v>9.5978718661479737E-3</v>
      </c>
      <c r="Y338" s="86">
        <f t="shared" si="99"/>
        <v>-8.2747296484220658E-3</v>
      </c>
      <c r="Z338" s="86">
        <f t="shared" si="100"/>
        <v>-1.0985612554295362E-2</v>
      </c>
      <c r="AA338" s="86">
        <f t="shared" si="101"/>
        <v>-1.8998125818540993E-2</v>
      </c>
      <c r="AB338" s="304">
        <f t="shared" si="102"/>
        <v>-4.428636189667416E-3</v>
      </c>
    </row>
    <row r="339" spans="2:28" x14ac:dyDescent="0.3">
      <c r="B339" s="271">
        <v>43622</v>
      </c>
      <c r="C339" s="292">
        <v>163.1</v>
      </c>
      <c r="D339" s="292">
        <v>44.349997999999999</v>
      </c>
      <c r="E339" s="292">
        <v>2432.4</v>
      </c>
      <c r="F339" s="292">
        <v>1211.6800539999999</v>
      </c>
      <c r="G339" s="292">
        <v>1428.55</v>
      </c>
      <c r="H339" s="292">
        <v>1327.349976</v>
      </c>
      <c r="I339" s="292">
        <v>143.4</v>
      </c>
      <c r="J339" s="197">
        <v>1837.75</v>
      </c>
      <c r="L339" s="297">
        <f t="shared" si="87"/>
        <v>-1.7021687569430635E-2</v>
      </c>
      <c r="M339" s="298">
        <f t="shared" si="88"/>
        <v>-1.8984445302320286E-2</v>
      </c>
      <c r="N339" s="298">
        <f t="shared" si="89"/>
        <v>4.9662664536842937E-3</v>
      </c>
      <c r="O339" s="298">
        <f t="shared" si="90"/>
        <v>-1.1871327756616791E-2</v>
      </c>
      <c r="P339" s="298">
        <f t="shared" si="91"/>
        <v>4.9472917173137036E-3</v>
      </c>
      <c r="Q339" s="298">
        <f t="shared" si="92"/>
        <v>-1.8141630804902258E-2</v>
      </c>
      <c r="R339" s="298">
        <f t="shared" si="93"/>
        <v>-6.3491948566900158E-2</v>
      </c>
      <c r="S339" s="299">
        <f t="shared" si="94"/>
        <v>1.2126018890657125E-2</v>
      </c>
      <c r="U339" s="303">
        <f t="shared" si="95"/>
        <v>-1.5462982148922106E-2</v>
      </c>
      <c r="V339" s="86">
        <f t="shared" si="96"/>
        <v>-2.5082174000780919E-2</v>
      </c>
      <c r="W339" s="86">
        <f t="shared" si="97"/>
        <v>2.1177631086181244E-3</v>
      </c>
      <c r="X339" s="86">
        <f t="shared" si="98"/>
        <v>-1.22426552691313E-2</v>
      </c>
      <c r="Y339" s="86">
        <f t="shared" si="99"/>
        <v>3.8382817256200747E-3</v>
      </c>
      <c r="Z339" s="86">
        <f t="shared" si="100"/>
        <v>-1.9703423404079608E-2</v>
      </c>
      <c r="AA339" s="86">
        <f t="shared" si="101"/>
        <v>-5.7780027891356625E-2</v>
      </c>
      <c r="AB339" s="304">
        <f t="shared" si="102"/>
        <v>1.1513661014007564E-2</v>
      </c>
    </row>
    <row r="340" spans="2:28" x14ac:dyDescent="0.3">
      <c r="B340" s="271">
        <v>43620</v>
      </c>
      <c r="C340" s="292">
        <v>165.9</v>
      </c>
      <c r="D340" s="292">
        <v>45.200001</v>
      </c>
      <c r="E340" s="292">
        <v>2420.35</v>
      </c>
      <c r="F340" s="292">
        <v>1226.150024</v>
      </c>
      <c r="G340" s="292">
        <v>1421.5</v>
      </c>
      <c r="H340" s="292">
        <v>1351.650024</v>
      </c>
      <c r="I340" s="292">
        <v>152.80000000000001</v>
      </c>
      <c r="J340" s="197">
        <v>1815.599976</v>
      </c>
      <c r="L340" s="297">
        <f t="shared" si="87"/>
        <v>1.0300000178070994E-2</v>
      </c>
      <c r="M340" s="298">
        <f t="shared" si="88"/>
        <v>2.4637371860753755E-2</v>
      </c>
      <c r="N340" s="298">
        <f t="shared" si="89"/>
        <v>-1.3684931616767664E-2</v>
      </c>
      <c r="O340" s="298">
        <f t="shared" si="90"/>
        <v>-1.9554533697750363E-3</v>
      </c>
      <c r="P340" s="298">
        <f t="shared" si="91"/>
        <v>-2.6209952992845984E-2</v>
      </c>
      <c r="Q340" s="298">
        <f t="shared" si="92"/>
        <v>-6.305625612191789E-3</v>
      </c>
      <c r="R340" s="298">
        <f t="shared" si="93"/>
        <v>2.2167988002473493E-2</v>
      </c>
      <c r="S340" s="299">
        <f t="shared" si="94"/>
        <v>-1.3186509833420144E-2</v>
      </c>
      <c r="U340" s="303">
        <f t="shared" si="95"/>
        <v>1.1858705598579523E-2</v>
      </c>
      <c r="V340" s="86">
        <f t="shared" si="96"/>
        <v>1.8539643162293121E-2</v>
      </c>
      <c r="W340" s="86">
        <f t="shared" si="97"/>
        <v>-1.6533434961833834E-2</v>
      </c>
      <c r="X340" s="86">
        <f t="shared" si="98"/>
        <v>-2.3267808822895458E-3</v>
      </c>
      <c r="Y340" s="86">
        <f t="shared" si="99"/>
        <v>-2.7318962984539612E-2</v>
      </c>
      <c r="Z340" s="86">
        <f t="shared" si="100"/>
        <v>-7.8674182113691402E-3</v>
      </c>
      <c r="AA340" s="86">
        <f t="shared" si="101"/>
        <v>2.787990867801703E-2</v>
      </c>
      <c r="AB340" s="304">
        <f t="shared" si="102"/>
        <v>-1.3798867710069706E-2</v>
      </c>
    </row>
    <row r="341" spans="2:28" x14ac:dyDescent="0.3">
      <c r="B341" s="271">
        <v>43619</v>
      </c>
      <c r="C341" s="292">
        <v>164.2</v>
      </c>
      <c r="D341" s="292">
        <v>44.099997999999999</v>
      </c>
      <c r="E341" s="292">
        <v>2453.6999999999998</v>
      </c>
      <c r="F341" s="292">
        <v>1228.5500489999999</v>
      </c>
      <c r="G341" s="292">
        <v>1459.25</v>
      </c>
      <c r="H341" s="292">
        <v>1360.1999510000001</v>
      </c>
      <c r="I341" s="292">
        <v>149.44999999999999</v>
      </c>
      <c r="J341" s="197">
        <v>1839.6999510000001</v>
      </c>
      <c r="L341" s="297">
        <f t="shared" si="87"/>
        <v>2.2479776482804758E-2</v>
      </c>
      <c r="M341" s="298">
        <f t="shared" si="88"/>
        <v>1.8307125187569655E-2</v>
      </c>
      <c r="N341" s="298">
        <f t="shared" si="89"/>
        <v>2.2031832657310262E-3</v>
      </c>
      <c r="O341" s="298">
        <f t="shared" si="90"/>
        <v>1.3001821126915366E-2</v>
      </c>
      <c r="P341" s="298">
        <f t="shared" si="91"/>
        <v>3.6249630081378326E-2</v>
      </c>
      <c r="Q341" s="298">
        <f t="shared" si="92"/>
        <v>2.233997586306579E-2</v>
      </c>
      <c r="R341" s="298">
        <f t="shared" si="93"/>
        <v>1.1101880215845218E-2</v>
      </c>
      <c r="S341" s="299">
        <f t="shared" si="94"/>
        <v>2.8225208497887556E-2</v>
      </c>
      <c r="U341" s="303">
        <f t="shared" si="95"/>
        <v>2.4038481903313289E-2</v>
      </c>
      <c r="V341" s="86">
        <f t="shared" si="96"/>
        <v>1.2209396489109021E-2</v>
      </c>
      <c r="W341" s="86">
        <f t="shared" si="97"/>
        <v>-6.4532007933514306E-4</v>
      </c>
      <c r="X341" s="86">
        <f t="shared" si="98"/>
        <v>1.2630493614400856E-2</v>
      </c>
      <c r="Y341" s="86">
        <f t="shared" si="99"/>
        <v>3.5140620089684695E-2</v>
      </c>
      <c r="Z341" s="86">
        <f t="shared" si="100"/>
        <v>2.0778183263888441E-2</v>
      </c>
      <c r="AA341" s="86">
        <f t="shared" si="101"/>
        <v>1.6813800891388755E-2</v>
      </c>
      <c r="AB341" s="304">
        <f t="shared" si="102"/>
        <v>2.7612850621237996E-2</v>
      </c>
    </row>
    <row r="342" spans="2:28" x14ac:dyDescent="0.3">
      <c r="B342" s="271">
        <v>43616</v>
      </c>
      <c r="C342" s="292">
        <v>160.55000000000001</v>
      </c>
      <c r="D342" s="292">
        <v>43.299999</v>
      </c>
      <c r="E342" s="292">
        <v>2448.3000000000002</v>
      </c>
      <c r="F342" s="292">
        <v>1212.6800539999999</v>
      </c>
      <c r="G342" s="292">
        <v>1407.3</v>
      </c>
      <c r="H342" s="292">
        <v>1330.150024</v>
      </c>
      <c r="I342" s="292">
        <v>147.80000000000001</v>
      </c>
      <c r="J342" s="197">
        <v>1788.5</v>
      </c>
      <c r="L342" s="297">
        <f t="shared" si="87"/>
        <v>-2.1261007288675447E-2</v>
      </c>
      <c r="M342" s="298">
        <f t="shared" si="88"/>
        <v>-2.9581202269212369E-2</v>
      </c>
      <c r="N342" s="298">
        <f t="shared" si="89"/>
        <v>-8.3585490148797882E-3</v>
      </c>
      <c r="O342" s="298">
        <f t="shared" si="90"/>
        <v>-5.8377074409934086E-3</v>
      </c>
      <c r="P342" s="298">
        <f t="shared" si="91"/>
        <v>2.3510195315017232E-2</v>
      </c>
      <c r="Q342" s="298">
        <f t="shared" si="92"/>
        <v>3.0078123193093986E-4</v>
      </c>
      <c r="R342" s="298">
        <f t="shared" si="93"/>
        <v>-4.7565108405145162E-2</v>
      </c>
      <c r="S342" s="299">
        <f t="shared" si="94"/>
        <v>2.3791208478957234E-3</v>
      </c>
      <c r="U342" s="303">
        <f t="shared" si="95"/>
        <v>-1.9702301868166915E-2</v>
      </c>
      <c r="V342" s="86">
        <f t="shared" si="96"/>
        <v>-3.5678930967673002E-2</v>
      </c>
      <c r="W342" s="86">
        <f t="shared" si="97"/>
        <v>-1.1207052359945957E-2</v>
      </c>
      <c r="X342" s="86">
        <f t="shared" si="98"/>
        <v>-6.209034953507918E-3</v>
      </c>
      <c r="Y342" s="86">
        <f t="shared" si="99"/>
        <v>2.2401185323323605E-2</v>
      </c>
      <c r="Z342" s="86">
        <f t="shared" si="100"/>
        <v>-1.2610113672464106E-3</v>
      </c>
      <c r="AA342" s="86">
        <f t="shared" si="101"/>
        <v>-4.1853187729601629E-2</v>
      </c>
      <c r="AB342" s="304">
        <f t="shared" si="102"/>
        <v>1.7667629712461626E-3</v>
      </c>
    </row>
    <row r="343" spans="2:28" x14ac:dyDescent="0.3">
      <c r="B343" s="271">
        <v>43615</v>
      </c>
      <c r="C343" s="292">
        <v>164</v>
      </c>
      <c r="D343" s="292">
        <v>44.599997999999999</v>
      </c>
      <c r="E343" s="292">
        <v>2468.85</v>
      </c>
      <c r="F343" s="292">
        <v>1219.780029</v>
      </c>
      <c r="G343" s="292">
        <v>1374.6</v>
      </c>
      <c r="H343" s="292">
        <v>1329.75</v>
      </c>
      <c r="I343" s="292">
        <v>155</v>
      </c>
      <c r="J343" s="197">
        <v>1784.25</v>
      </c>
      <c r="L343" s="297">
        <f t="shared" si="87"/>
        <v>-1.1217337568863022E-2</v>
      </c>
      <c r="M343" s="298">
        <f t="shared" si="88"/>
        <v>-2.2397098079195211E-3</v>
      </c>
      <c r="N343" s="298">
        <f t="shared" si="89"/>
        <v>1.1365147383453631E-2</v>
      </c>
      <c r="O343" s="298">
        <f t="shared" si="90"/>
        <v>9.3320322360277083E-3</v>
      </c>
      <c r="P343" s="298">
        <f t="shared" si="91"/>
        <v>1.1965673255872255E-2</v>
      </c>
      <c r="Q343" s="298">
        <f t="shared" si="92"/>
        <v>1.2638241995838561E-2</v>
      </c>
      <c r="R343" s="298">
        <f t="shared" si="93"/>
        <v>2.1520230564760153E-2</v>
      </c>
      <c r="S343" s="299">
        <f t="shared" si="94"/>
        <v>1.9073939321228299E-3</v>
      </c>
      <c r="U343" s="303">
        <f t="shared" si="95"/>
        <v>-9.6586321483544922E-3</v>
      </c>
      <c r="V343" s="86">
        <f t="shared" si="96"/>
        <v>-8.3374385063801557E-3</v>
      </c>
      <c r="W343" s="86">
        <f t="shared" si="97"/>
        <v>8.5166440383874619E-3</v>
      </c>
      <c r="X343" s="86">
        <f t="shared" si="98"/>
        <v>8.9607047235131989E-3</v>
      </c>
      <c r="Y343" s="86">
        <f t="shared" si="99"/>
        <v>1.0856663264178626E-2</v>
      </c>
      <c r="Z343" s="86">
        <f t="shared" si="100"/>
        <v>1.1076449396661209E-2</v>
      </c>
      <c r="AA343" s="86">
        <f t="shared" si="101"/>
        <v>2.723215124030369E-2</v>
      </c>
      <c r="AB343" s="304">
        <f t="shared" si="102"/>
        <v>1.2950360554732691E-3</v>
      </c>
    </row>
    <row r="344" spans="2:28" x14ac:dyDescent="0.3">
      <c r="B344" s="271">
        <v>43614</v>
      </c>
      <c r="C344" s="292">
        <v>165.85</v>
      </c>
      <c r="D344" s="292">
        <v>44.700001</v>
      </c>
      <c r="E344" s="292">
        <v>2440.9499999999998</v>
      </c>
      <c r="F344" s="292">
        <v>1208.4499510000001</v>
      </c>
      <c r="G344" s="292">
        <v>1358.25</v>
      </c>
      <c r="H344" s="292">
        <v>1313.0500489999999</v>
      </c>
      <c r="I344" s="292">
        <v>151.69999999999999</v>
      </c>
      <c r="J344" s="197">
        <v>1780.849976</v>
      </c>
      <c r="L344" s="297">
        <f t="shared" si="87"/>
        <v>-2.2064103178586317E-2</v>
      </c>
      <c r="M344" s="298">
        <f t="shared" si="88"/>
        <v>-6.6889657794321862E-3</v>
      </c>
      <c r="N344" s="298">
        <f t="shared" si="89"/>
        <v>-4.1291963821071392E-3</v>
      </c>
      <c r="O344" s="298">
        <f t="shared" si="90"/>
        <v>2.8964847656292962E-4</v>
      </c>
      <c r="P344" s="298">
        <f t="shared" si="91"/>
        <v>-4.4810182965462578E-3</v>
      </c>
      <c r="Q344" s="298">
        <f t="shared" si="92"/>
        <v>-8.1159052890278829E-3</v>
      </c>
      <c r="R344" s="298">
        <f t="shared" si="93"/>
        <v>-7.2249903779336797E-3</v>
      </c>
      <c r="S344" s="299">
        <f t="shared" si="94"/>
        <v>2.2204784613558833E-3</v>
      </c>
      <c r="U344" s="303">
        <f t="shared" si="95"/>
        <v>-2.0505397758077786E-2</v>
      </c>
      <c r="V344" s="86">
        <f t="shared" si="96"/>
        <v>-1.278669447789282E-2</v>
      </c>
      <c r="W344" s="86">
        <f t="shared" si="97"/>
        <v>-6.9776997271733081E-3</v>
      </c>
      <c r="X344" s="86">
        <f t="shared" si="98"/>
        <v>-8.1679035951579687E-5</v>
      </c>
      <c r="Y344" s="86">
        <f t="shared" si="99"/>
        <v>-5.5900282882398872E-3</v>
      </c>
      <c r="Z344" s="86">
        <f t="shared" si="100"/>
        <v>-9.6776978882052341E-3</v>
      </c>
      <c r="AA344" s="86">
        <f t="shared" si="101"/>
        <v>-1.513069702390144E-3</v>
      </c>
      <c r="AB344" s="304">
        <f t="shared" si="102"/>
        <v>1.6081205847063224E-3</v>
      </c>
    </row>
    <row r="345" spans="2:28" x14ac:dyDescent="0.3">
      <c r="B345" s="271">
        <v>43613</v>
      </c>
      <c r="C345" s="292">
        <v>169.55</v>
      </c>
      <c r="D345" s="292">
        <v>45</v>
      </c>
      <c r="E345" s="292">
        <v>2451.0500000000002</v>
      </c>
      <c r="F345" s="292">
        <v>1208.099976</v>
      </c>
      <c r="G345" s="292">
        <v>1364.35</v>
      </c>
      <c r="H345" s="292">
        <v>1323.75</v>
      </c>
      <c r="I345" s="292">
        <v>152.80000000000001</v>
      </c>
      <c r="J345" s="197">
        <v>1776.900024</v>
      </c>
      <c r="L345" s="297">
        <f t="shared" si="87"/>
        <v>1.815255915114921E-2</v>
      </c>
      <c r="M345" s="298">
        <f t="shared" si="88"/>
        <v>4.1980025890941831E-2</v>
      </c>
      <c r="N345" s="298">
        <f t="shared" si="89"/>
        <v>1.3513719166722855E-2</v>
      </c>
      <c r="O345" s="298">
        <f t="shared" si="90"/>
        <v>3.2499754601834083E-3</v>
      </c>
      <c r="P345" s="298">
        <f t="shared" si="91"/>
        <v>-1.830697640758334E-3</v>
      </c>
      <c r="Q345" s="298">
        <f t="shared" si="92"/>
        <v>9.9454022609698333E-3</v>
      </c>
      <c r="R345" s="298">
        <f t="shared" si="93"/>
        <v>4.0058760552004954E-2</v>
      </c>
      <c r="S345" s="299">
        <f t="shared" si="94"/>
        <v>2.7896790482101934E-3</v>
      </c>
      <c r="U345" s="303">
        <f t="shared" si="95"/>
        <v>1.9711264571657741E-2</v>
      </c>
      <c r="V345" s="86">
        <f t="shared" si="96"/>
        <v>3.5882297192481198E-2</v>
      </c>
      <c r="W345" s="86">
        <f t="shared" si="97"/>
        <v>1.0665215821656686E-2</v>
      </c>
      <c r="X345" s="86">
        <f t="shared" si="98"/>
        <v>2.8786479476688989E-3</v>
      </c>
      <c r="Y345" s="86">
        <f t="shared" si="99"/>
        <v>-2.9397076324519629E-3</v>
      </c>
      <c r="Z345" s="86">
        <f t="shared" si="100"/>
        <v>8.3836096617924821E-3</v>
      </c>
      <c r="AA345" s="86">
        <f t="shared" si="101"/>
        <v>4.5770681227548488E-2</v>
      </c>
      <c r="AB345" s="304">
        <f t="shared" si="102"/>
        <v>2.1773211715606323E-3</v>
      </c>
    </row>
    <row r="346" spans="2:28" x14ac:dyDescent="0.3">
      <c r="B346" s="271">
        <v>43612</v>
      </c>
      <c r="C346" s="292">
        <v>166.5</v>
      </c>
      <c r="D346" s="292">
        <v>43.150002000000001</v>
      </c>
      <c r="E346" s="292">
        <v>2418.15</v>
      </c>
      <c r="F346" s="292">
        <v>1204.1800539999999</v>
      </c>
      <c r="G346" s="292">
        <v>1366.85</v>
      </c>
      <c r="H346" s="292">
        <v>1310.650024</v>
      </c>
      <c r="I346" s="292">
        <v>146.80000000000001</v>
      </c>
      <c r="J346" s="197">
        <v>1771.9499510000001</v>
      </c>
      <c r="L346" s="297">
        <f t="shared" si="87"/>
        <v>1.5738823670714455E-2</v>
      </c>
      <c r="M346" s="298">
        <f t="shared" si="88"/>
        <v>1.9895401467807973E-2</v>
      </c>
      <c r="N346" s="298">
        <f t="shared" si="89"/>
        <v>-3.5913351293381263E-3</v>
      </c>
      <c r="O346" s="298">
        <f t="shared" si="90"/>
        <v>1.4639344624423878E-2</v>
      </c>
      <c r="P346" s="298">
        <f t="shared" si="91"/>
        <v>-1.2830241242079606E-2</v>
      </c>
      <c r="Q346" s="298">
        <f t="shared" si="92"/>
        <v>-1.9792866727264612E-2</v>
      </c>
      <c r="R346" s="298">
        <f t="shared" si="93"/>
        <v>3.8893791121273752E-2</v>
      </c>
      <c r="S346" s="299">
        <f t="shared" si="94"/>
        <v>1.2693430764350934E-2</v>
      </c>
      <c r="U346" s="303">
        <f t="shared" si="95"/>
        <v>1.7297529091222986E-2</v>
      </c>
      <c r="V346" s="86">
        <f t="shared" si="96"/>
        <v>1.379767276934734E-2</v>
      </c>
      <c r="W346" s="86">
        <f t="shared" si="97"/>
        <v>-6.4398384744042952E-3</v>
      </c>
      <c r="X346" s="86">
        <f t="shared" si="98"/>
        <v>1.4268017111909368E-2</v>
      </c>
      <c r="Y346" s="86">
        <f t="shared" si="99"/>
        <v>-1.3939251233773235E-2</v>
      </c>
      <c r="Z346" s="86">
        <f t="shared" si="100"/>
        <v>-2.1354659326441962E-2</v>
      </c>
      <c r="AA346" s="86">
        <f t="shared" si="101"/>
        <v>4.4605711796817285E-2</v>
      </c>
      <c r="AB346" s="304">
        <f t="shared" si="102"/>
        <v>1.2081072887701372E-2</v>
      </c>
    </row>
    <row r="347" spans="2:28" x14ac:dyDescent="0.3">
      <c r="B347" s="271">
        <v>43609</v>
      </c>
      <c r="C347" s="292">
        <v>163.9</v>
      </c>
      <c r="D347" s="292">
        <v>42.299999</v>
      </c>
      <c r="E347" s="292">
        <v>2426.85</v>
      </c>
      <c r="F347" s="292">
        <v>1186.6800539999999</v>
      </c>
      <c r="G347" s="292">
        <v>1384.5</v>
      </c>
      <c r="H347" s="292">
        <v>1336.849976</v>
      </c>
      <c r="I347" s="292">
        <v>141.19999999999999</v>
      </c>
      <c r="J347" s="197">
        <v>1749.599976</v>
      </c>
      <c r="L347" s="297">
        <f t="shared" si="87"/>
        <v>4.0783862239368113E-2</v>
      </c>
      <c r="M347" s="298">
        <f t="shared" si="88"/>
        <v>-2.5672424777737426E-2</v>
      </c>
      <c r="N347" s="298">
        <f t="shared" si="89"/>
        <v>5.2381499298770076E-2</v>
      </c>
      <c r="O347" s="298">
        <f t="shared" si="90"/>
        <v>1.7537526915093183E-2</v>
      </c>
      <c r="P347" s="298">
        <f t="shared" si="91"/>
        <v>1.2172009667081336E-2</v>
      </c>
      <c r="Q347" s="298">
        <f t="shared" si="92"/>
        <v>2.209082242559579E-3</v>
      </c>
      <c r="R347" s="298">
        <f t="shared" si="93"/>
        <v>1.0322213023932988E-2</v>
      </c>
      <c r="S347" s="299">
        <f t="shared" si="94"/>
        <v>-2.426181131729533E-3</v>
      </c>
      <c r="U347" s="303">
        <f t="shared" si="95"/>
        <v>4.2342567659876644E-2</v>
      </c>
      <c r="V347" s="86">
        <f t="shared" si="96"/>
        <v>-3.1770153476198063E-2</v>
      </c>
      <c r="W347" s="86">
        <f t="shared" si="97"/>
        <v>4.9532995953703904E-2</v>
      </c>
      <c r="X347" s="86">
        <f t="shared" si="98"/>
        <v>1.7166199402578675E-2</v>
      </c>
      <c r="Y347" s="86">
        <f t="shared" si="99"/>
        <v>1.1062999675387706E-2</v>
      </c>
      <c r="Z347" s="86">
        <f t="shared" si="100"/>
        <v>6.4728964338222846E-4</v>
      </c>
      <c r="AA347" s="86">
        <f t="shared" si="101"/>
        <v>1.6034133699476524E-2</v>
      </c>
      <c r="AB347" s="304">
        <f t="shared" si="102"/>
        <v>-3.0385390083790941E-3</v>
      </c>
    </row>
    <row r="348" spans="2:28" x14ac:dyDescent="0.3">
      <c r="B348" s="271">
        <v>43608</v>
      </c>
      <c r="C348" s="292">
        <v>157.35</v>
      </c>
      <c r="D348" s="292">
        <v>43.400002000000001</v>
      </c>
      <c r="E348" s="292">
        <v>2303</v>
      </c>
      <c r="F348" s="292">
        <v>1166.0500489999999</v>
      </c>
      <c r="G348" s="292">
        <v>1367.75</v>
      </c>
      <c r="H348" s="292">
        <v>1333.900024</v>
      </c>
      <c r="I348" s="292">
        <v>139.75</v>
      </c>
      <c r="J348" s="197">
        <v>1753.849976</v>
      </c>
      <c r="L348" s="297">
        <f t="shared" si="87"/>
        <v>-5.5320762688466259E-2</v>
      </c>
      <c r="M348" s="298">
        <f t="shared" si="88"/>
        <v>-1.2593159695006892E-2</v>
      </c>
      <c r="N348" s="298">
        <f t="shared" si="89"/>
        <v>-3.208048877821969E-3</v>
      </c>
      <c r="O348" s="298">
        <f t="shared" si="90"/>
        <v>-3.1096674872591511E-2</v>
      </c>
      <c r="P348" s="298">
        <f t="shared" si="91"/>
        <v>-5.1165851565774135E-4</v>
      </c>
      <c r="Q348" s="298">
        <f t="shared" si="92"/>
        <v>-4.8610946289066514E-3</v>
      </c>
      <c r="R348" s="298">
        <f t="shared" si="93"/>
        <v>1.5867624664625008E-2</v>
      </c>
      <c r="S348" s="299">
        <f t="shared" si="94"/>
        <v>-8.2053029942949947E-3</v>
      </c>
      <c r="U348" s="303">
        <f t="shared" si="95"/>
        <v>-5.3762057267957727E-2</v>
      </c>
      <c r="V348" s="86">
        <f t="shared" si="96"/>
        <v>-1.8690888393467525E-2</v>
      </c>
      <c r="W348" s="86">
        <f t="shared" si="97"/>
        <v>-6.0565522228881383E-3</v>
      </c>
      <c r="X348" s="86">
        <f t="shared" si="98"/>
        <v>-3.1468002385106018E-2</v>
      </c>
      <c r="Y348" s="86">
        <f t="shared" si="99"/>
        <v>-1.6206685073513701E-3</v>
      </c>
      <c r="Z348" s="86">
        <f t="shared" si="100"/>
        <v>-6.4228872280840017E-3</v>
      </c>
      <c r="AA348" s="86">
        <f t="shared" si="101"/>
        <v>2.1579545340168545E-2</v>
      </c>
      <c r="AB348" s="304">
        <f t="shared" si="102"/>
        <v>-8.8176608709445558E-3</v>
      </c>
    </row>
    <row r="349" spans="2:28" x14ac:dyDescent="0.3">
      <c r="B349" s="271">
        <v>43607</v>
      </c>
      <c r="C349" s="292">
        <v>166.3</v>
      </c>
      <c r="D349" s="292">
        <v>43.950001</v>
      </c>
      <c r="E349" s="292">
        <v>2310.4</v>
      </c>
      <c r="F349" s="292">
        <v>1202.880005</v>
      </c>
      <c r="G349" s="292">
        <v>1368.45</v>
      </c>
      <c r="H349" s="292">
        <v>1340.400024</v>
      </c>
      <c r="I349" s="292">
        <v>137.55000000000001</v>
      </c>
      <c r="J349" s="197">
        <v>1768.3000489999999</v>
      </c>
      <c r="L349" s="297">
        <f t="shared" si="87"/>
        <v>5.1243518312610063E-3</v>
      </c>
      <c r="M349" s="298">
        <f t="shared" si="88"/>
        <v>1.3745989793865954E-2</v>
      </c>
      <c r="N349" s="298">
        <f t="shared" si="89"/>
        <v>1.3486483920367149E-2</v>
      </c>
      <c r="O349" s="298">
        <f t="shared" si="90"/>
        <v>8.5666920704747553E-4</v>
      </c>
      <c r="P349" s="298">
        <f t="shared" si="91"/>
        <v>7.8497945446383832E-3</v>
      </c>
      <c r="Q349" s="298">
        <f t="shared" si="92"/>
        <v>4.4770912146879029E-4</v>
      </c>
      <c r="R349" s="298">
        <f t="shared" si="93"/>
        <v>-2.4772403007584626E-2</v>
      </c>
      <c r="S349" s="299">
        <f t="shared" si="94"/>
        <v>-9.539800658058057E-3</v>
      </c>
      <c r="U349" s="303">
        <f t="shared" si="95"/>
        <v>6.6830572517695367E-3</v>
      </c>
      <c r="V349" s="86">
        <f t="shared" si="96"/>
        <v>7.6482610954053199E-3</v>
      </c>
      <c r="W349" s="86">
        <f t="shared" si="97"/>
        <v>1.063798057530098E-2</v>
      </c>
      <c r="X349" s="86">
        <f t="shared" si="98"/>
        <v>4.8534169453296621E-4</v>
      </c>
      <c r="Y349" s="86">
        <f t="shared" si="99"/>
        <v>6.7407845529447539E-3</v>
      </c>
      <c r="Z349" s="86">
        <f t="shared" si="100"/>
        <v>-1.1140834777085603E-3</v>
      </c>
      <c r="AA349" s="86">
        <f t="shared" si="101"/>
        <v>-1.9060482332041089E-2</v>
      </c>
      <c r="AB349" s="304">
        <f t="shared" si="102"/>
        <v>-1.0152158534707618E-2</v>
      </c>
    </row>
    <row r="350" spans="2:28" x14ac:dyDescent="0.3">
      <c r="B350" s="271">
        <v>43606</v>
      </c>
      <c r="C350" s="292">
        <v>165.45</v>
      </c>
      <c r="D350" s="292">
        <v>43.349997999999999</v>
      </c>
      <c r="E350" s="292">
        <v>2279.4499999999998</v>
      </c>
      <c r="F350" s="292">
        <v>1201.849976</v>
      </c>
      <c r="G350" s="292">
        <v>1357.75</v>
      </c>
      <c r="H350" s="292">
        <v>1339.8000489999999</v>
      </c>
      <c r="I350" s="292">
        <v>141</v>
      </c>
      <c r="J350" s="197">
        <v>1785.25</v>
      </c>
      <c r="L350" s="297">
        <f t="shared" si="87"/>
        <v>-9.9234012337268869E-3</v>
      </c>
      <c r="M350" s="298">
        <f t="shared" si="88"/>
        <v>5.7837063844596304E-3</v>
      </c>
      <c r="N350" s="298">
        <f t="shared" si="89"/>
        <v>-2.8884123122578539E-2</v>
      </c>
      <c r="O350" s="298">
        <f t="shared" si="90"/>
        <v>-1.1852826962952673E-2</v>
      </c>
      <c r="P350" s="298">
        <f t="shared" si="91"/>
        <v>-1.1860885103311888E-2</v>
      </c>
      <c r="Q350" s="298">
        <f t="shared" si="92"/>
        <v>1.0428893425203672E-2</v>
      </c>
      <c r="R350" s="298">
        <f t="shared" si="93"/>
        <v>-1.7923516188904816E-2</v>
      </c>
      <c r="S350" s="299">
        <f t="shared" si="94"/>
        <v>7.1674820229367803E-3</v>
      </c>
      <c r="U350" s="303">
        <f t="shared" si="95"/>
        <v>-8.3646958132183574E-3</v>
      </c>
      <c r="V350" s="86">
        <f t="shared" si="96"/>
        <v>-3.1402231400100376E-4</v>
      </c>
      <c r="W350" s="86">
        <f t="shared" si="97"/>
        <v>-3.1732626467644708E-2</v>
      </c>
      <c r="X350" s="86">
        <f t="shared" si="98"/>
        <v>-1.2224154475467182E-2</v>
      </c>
      <c r="Y350" s="86">
        <f t="shared" si="99"/>
        <v>-1.2969895095005518E-2</v>
      </c>
      <c r="Z350" s="86">
        <f t="shared" si="100"/>
        <v>8.8671008260263213E-3</v>
      </c>
      <c r="AA350" s="86">
        <f t="shared" si="101"/>
        <v>-1.2211595513361279E-2</v>
      </c>
      <c r="AB350" s="304">
        <f t="shared" si="102"/>
        <v>6.5551241462872192E-3</v>
      </c>
    </row>
    <row r="351" spans="2:28" x14ac:dyDescent="0.3">
      <c r="B351" s="271">
        <v>43605</v>
      </c>
      <c r="C351" s="292">
        <v>167.1</v>
      </c>
      <c r="D351" s="292">
        <v>43.099997999999999</v>
      </c>
      <c r="E351" s="292">
        <v>2346.25</v>
      </c>
      <c r="F351" s="292">
        <v>1216.1800539999999</v>
      </c>
      <c r="G351" s="292">
        <v>1373.95</v>
      </c>
      <c r="H351" s="292">
        <v>1325.900024</v>
      </c>
      <c r="I351" s="292">
        <v>143.55000000000001</v>
      </c>
      <c r="J351" s="197">
        <v>1772.5</v>
      </c>
      <c r="L351" s="297">
        <f t="shared" si="87"/>
        <v>3.7498677856530986E-2</v>
      </c>
      <c r="M351" s="298">
        <f t="shared" si="88"/>
        <v>0.14185219280956801</v>
      </c>
      <c r="N351" s="298">
        <f t="shared" si="89"/>
        <v>3.5331854103028575E-2</v>
      </c>
      <c r="O351" s="298">
        <f t="shared" si="90"/>
        <v>2.9310928496186949E-2</v>
      </c>
      <c r="P351" s="298">
        <f t="shared" si="91"/>
        <v>4.0058066437850127E-2</v>
      </c>
      <c r="Q351" s="298">
        <f t="shared" si="92"/>
        <v>4.5123915395763825E-2</v>
      </c>
      <c r="R351" s="298">
        <f t="shared" si="93"/>
        <v>6.7724829695439873E-2</v>
      </c>
      <c r="S351" s="299">
        <f t="shared" si="94"/>
        <v>2.0346611629395762E-2</v>
      </c>
      <c r="U351" s="303">
        <f t="shared" si="95"/>
        <v>3.9057383277039517E-2</v>
      </c>
      <c r="V351" s="86">
        <f t="shared" si="96"/>
        <v>0.13575446411110736</v>
      </c>
      <c r="W351" s="86">
        <f t="shared" si="97"/>
        <v>3.2483350757962402E-2</v>
      </c>
      <c r="X351" s="86">
        <f t="shared" si="98"/>
        <v>2.8939600983672441E-2</v>
      </c>
      <c r="Y351" s="86">
        <f t="shared" si="99"/>
        <v>3.8949056446156496E-2</v>
      </c>
      <c r="Z351" s="86">
        <f t="shared" si="100"/>
        <v>4.3562122796586472E-2</v>
      </c>
      <c r="AA351" s="86">
        <f t="shared" si="101"/>
        <v>7.3436750370983406E-2</v>
      </c>
      <c r="AB351" s="304">
        <f t="shared" si="102"/>
        <v>1.9734253752746202E-2</v>
      </c>
    </row>
    <row r="352" spans="2:28" x14ac:dyDescent="0.3">
      <c r="B352" s="271">
        <v>43602</v>
      </c>
      <c r="C352" s="292">
        <v>160.94999999999999</v>
      </c>
      <c r="D352" s="292">
        <v>37.400002000000001</v>
      </c>
      <c r="E352" s="292">
        <v>2264.8000000000002</v>
      </c>
      <c r="F352" s="292">
        <v>1181.0500489999999</v>
      </c>
      <c r="G352" s="292">
        <v>1320</v>
      </c>
      <c r="H352" s="292">
        <v>1267.400024</v>
      </c>
      <c r="I352" s="292">
        <v>134.15</v>
      </c>
      <c r="J352" s="197">
        <v>1736.8000489999999</v>
      </c>
      <c r="L352" s="297">
        <f t="shared" si="87"/>
        <v>-1.5719232592490997E-2</v>
      </c>
      <c r="M352" s="298">
        <f t="shared" si="88"/>
        <v>2.1622572133910459E-2</v>
      </c>
      <c r="N352" s="298">
        <f t="shared" si="89"/>
        <v>-6.2502954479943746E-3</v>
      </c>
      <c r="O352" s="298">
        <f t="shared" si="90"/>
        <v>2.2026599672572693E-2</v>
      </c>
      <c r="P352" s="298">
        <f t="shared" si="91"/>
        <v>1.1888571665252505E-2</v>
      </c>
      <c r="Q352" s="298">
        <f t="shared" si="92"/>
        <v>1.618832058197156E-3</v>
      </c>
      <c r="R352" s="298">
        <f t="shared" si="93"/>
        <v>-2.6481871161390679E-2</v>
      </c>
      <c r="S352" s="299">
        <f t="shared" si="94"/>
        <v>2.8381524252264759E-2</v>
      </c>
      <c r="U352" s="303">
        <f t="shared" si="95"/>
        <v>-1.4160527171982467E-2</v>
      </c>
      <c r="V352" s="86">
        <f t="shared" si="96"/>
        <v>1.5524843435449825E-2</v>
      </c>
      <c r="W352" s="86">
        <f t="shared" si="97"/>
        <v>-9.0987987930605443E-3</v>
      </c>
      <c r="X352" s="86">
        <f t="shared" si="98"/>
        <v>2.1655272160058185E-2</v>
      </c>
      <c r="Y352" s="86">
        <f t="shared" si="99"/>
        <v>1.0779561673558875E-2</v>
      </c>
      <c r="Z352" s="86">
        <f t="shared" si="100"/>
        <v>5.7039459019805503E-5</v>
      </c>
      <c r="AA352" s="86">
        <f t="shared" si="101"/>
        <v>-2.0769950485847143E-2</v>
      </c>
      <c r="AB352" s="304">
        <f t="shared" si="102"/>
        <v>2.77691663756152E-2</v>
      </c>
    </row>
    <row r="353" spans="2:28" x14ac:dyDescent="0.3">
      <c r="B353" s="271">
        <v>43601</v>
      </c>
      <c r="C353" s="292">
        <v>163.5</v>
      </c>
      <c r="D353" s="292">
        <v>36.599997999999999</v>
      </c>
      <c r="E353" s="292">
        <v>2279</v>
      </c>
      <c r="F353" s="292">
        <v>1155.3199460000001</v>
      </c>
      <c r="G353" s="292">
        <v>1304.4000000000001</v>
      </c>
      <c r="H353" s="292">
        <v>1265.349976</v>
      </c>
      <c r="I353" s="292">
        <v>137.75</v>
      </c>
      <c r="J353" s="197">
        <v>1688.1999510000001</v>
      </c>
      <c r="L353" s="297">
        <f t="shared" si="87"/>
        <v>2.1326723921436041E-2</v>
      </c>
      <c r="M353" s="298">
        <f t="shared" si="88"/>
        <v>-2.4292747213854795E-2</v>
      </c>
      <c r="N353" s="298">
        <f t="shared" si="89"/>
        <v>9.4344481471347781E-3</v>
      </c>
      <c r="O353" s="298">
        <f t="shared" si="90"/>
        <v>1.0414786465493332E-2</v>
      </c>
      <c r="P353" s="298">
        <f t="shared" si="91"/>
        <v>-1.1875803491253863E-3</v>
      </c>
      <c r="Q353" s="298">
        <f t="shared" si="92"/>
        <v>6.7003537422351354E-3</v>
      </c>
      <c r="R353" s="298">
        <f t="shared" si="93"/>
        <v>-3.7054470735296864E-2</v>
      </c>
      <c r="S353" s="299">
        <f t="shared" si="94"/>
        <v>1.0210642851734139E-2</v>
      </c>
      <c r="U353" s="303">
        <f t="shared" si="95"/>
        <v>2.2885429341944572E-2</v>
      </c>
      <c r="V353" s="86">
        <f t="shared" si="96"/>
        <v>-3.0390475912315428E-2</v>
      </c>
      <c r="W353" s="86">
        <f t="shared" si="97"/>
        <v>6.5859448020686093E-3</v>
      </c>
      <c r="X353" s="86">
        <f t="shared" si="98"/>
        <v>1.0043458952978822E-2</v>
      </c>
      <c r="Y353" s="86">
        <f t="shared" si="99"/>
        <v>-2.2965903408190152E-3</v>
      </c>
      <c r="Z353" s="86">
        <f t="shared" si="100"/>
        <v>5.1385611430577851E-3</v>
      </c>
      <c r="AA353" s="86">
        <f t="shared" si="101"/>
        <v>-3.1342550059753331E-2</v>
      </c>
      <c r="AB353" s="304">
        <f t="shared" si="102"/>
        <v>9.5982849750845776E-3</v>
      </c>
    </row>
    <row r="354" spans="2:28" x14ac:dyDescent="0.3">
      <c r="B354" s="271">
        <v>43600</v>
      </c>
      <c r="C354" s="292">
        <v>160.05000000000001</v>
      </c>
      <c r="D354" s="292">
        <v>37.5</v>
      </c>
      <c r="E354" s="292">
        <v>2257.6</v>
      </c>
      <c r="F354" s="292">
        <v>1143.349976</v>
      </c>
      <c r="G354" s="292">
        <v>1305.95</v>
      </c>
      <c r="H354" s="292">
        <v>1256.900024</v>
      </c>
      <c r="I354" s="292">
        <v>142.94999999999999</v>
      </c>
      <c r="J354" s="197">
        <v>1671.0500489999999</v>
      </c>
      <c r="L354" s="297">
        <f t="shared" si="87"/>
        <v>-4.3640967018566098E-3</v>
      </c>
      <c r="M354" s="298">
        <f t="shared" si="88"/>
        <v>-5.3191880027985616E-3</v>
      </c>
      <c r="N354" s="298">
        <f t="shared" si="89"/>
        <v>3.2609809613548509E-3</v>
      </c>
      <c r="O354" s="298">
        <f t="shared" si="90"/>
        <v>-5.2461420269221042E-4</v>
      </c>
      <c r="P354" s="298">
        <f t="shared" si="91"/>
        <v>-1.0890367322752925E-2</v>
      </c>
      <c r="Q354" s="298">
        <f t="shared" si="92"/>
        <v>-2.8203701419417838E-3</v>
      </c>
      <c r="R354" s="298">
        <f t="shared" si="93"/>
        <v>-8.6399087445025308E-2</v>
      </c>
      <c r="S354" s="299">
        <f t="shared" si="94"/>
        <v>-1.6293307927750581E-2</v>
      </c>
      <c r="U354" s="303">
        <f t="shared" si="95"/>
        <v>-2.8053912813480793E-3</v>
      </c>
      <c r="V354" s="86">
        <f t="shared" si="96"/>
        <v>-1.1416916701259196E-2</v>
      </c>
      <c r="W354" s="86">
        <f t="shared" si="97"/>
        <v>4.1247761628868162E-4</v>
      </c>
      <c r="X354" s="86">
        <f t="shared" si="98"/>
        <v>-8.9594171520671973E-4</v>
      </c>
      <c r="Y354" s="86">
        <f t="shared" si="99"/>
        <v>-1.1999377314446554E-2</v>
      </c>
      <c r="Z354" s="86">
        <f t="shared" si="100"/>
        <v>-4.3821627411191342E-3</v>
      </c>
      <c r="AA354" s="86">
        <f t="shared" si="101"/>
        <v>-8.0687166769481775E-2</v>
      </c>
      <c r="AB354" s="304">
        <f t="shared" si="102"/>
        <v>-1.6905665804400141E-2</v>
      </c>
    </row>
    <row r="355" spans="2:28" x14ac:dyDescent="0.3">
      <c r="B355" s="271">
        <v>43599</v>
      </c>
      <c r="C355" s="292">
        <v>160.75</v>
      </c>
      <c r="D355" s="292">
        <v>37.700001</v>
      </c>
      <c r="E355" s="292">
        <v>2250.25</v>
      </c>
      <c r="F355" s="292">
        <v>1143.9499510000001</v>
      </c>
      <c r="G355" s="292">
        <v>1320.25</v>
      </c>
      <c r="H355" s="292">
        <v>1260.4499510000001</v>
      </c>
      <c r="I355" s="292">
        <v>155.85</v>
      </c>
      <c r="J355" s="197">
        <v>1698.5</v>
      </c>
      <c r="L355" s="297">
        <f t="shared" si="87"/>
        <v>4.1599901988499721E-2</v>
      </c>
      <c r="M355" s="298">
        <f t="shared" si="88"/>
        <v>-2.6489551913514825E-3</v>
      </c>
      <c r="N355" s="298">
        <f t="shared" si="89"/>
        <v>1.3340746836859785E-3</v>
      </c>
      <c r="O355" s="298">
        <f t="shared" si="90"/>
        <v>3.0598239505059017E-4</v>
      </c>
      <c r="P355" s="298">
        <f t="shared" si="91"/>
        <v>-9.2357644529570126E-3</v>
      </c>
      <c r="Q355" s="298">
        <f t="shared" si="92"/>
        <v>2.2789272710694412E-2</v>
      </c>
      <c r="R355" s="298">
        <f t="shared" si="93"/>
        <v>7.4062486343256274E-3</v>
      </c>
      <c r="S355" s="299">
        <f t="shared" si="94"/>
        <v>-2.0585215326808393E-3</v>
      </c>
      <c r="U355" s="303">
        <f t="shared" si="95"/>
        <v>4.3158607409008252E-2</v>
      </c>
      <c r="V355" s="86">
        <f t="shared" si="96"/>
        <v>-8.7466838898121162E-3</v>
      </c>
      <c r="W355" s="86">
        <f t="shared" si="97"/>
        <v>-1.5144286613801908E-3</v>
      </c>
      <c r="X355" s="86">
        <f t="shared" si="98"/>
        <v>-6.5345117463919144E-5</v>
      </c>
      <c r="Y355" s="86">
        <f t="shared" si="99"/>
        <v>-1.0344774444650642E-2</v>
      </c>
      <c r="Z355" s="86">
        <f t="shared" si="100"/>
        <v>2.1227480111517063E-2</v>
      </c>
      <c r="AA355" s="86">
        <f t="shared" si="101"/>
        <v>1.3118169309869164E-2</v>
      </c>
      <c r="AB355" s="304">
        <f t="shared" si="102"/>
        <v>-2.6708794093304004E-3</v>
      </c>
    </row>
    <row r="356" spans="2:28" x14ac:dyDescent="0.3">
      <c r="B356" s="271">
        <v>43598</v>
      </c>
      <c r="C356" s="292">
        <v>154.19999999999999</v>
      </c>
      <c r="D356" s="292">
        <v>37.799999</v>
      </c>
      <c r="E356" s="292">
        <v>2247.25</v>
      </c>
      <c r="F356" s="292">
        <v>1143.599976</v>
      </c>
      <c r="G356" s="292">
        <v>1332.5</v>
      </c>
      <c r="H356" s="292">
        <v>1232.0500489999999</v>
      </c>
      <c r="I356" s="292">
        <v>154.69999999999999</v>
      </c>
      <c r="J356" s="197">
        <v>1702</v>
      </c>
      <c r="L356" s="297">
        <f t="shared" si="87"/>
        <v>-1.1284981924583156E-2</v>
      </c>
      <c r="M356" s="298">
        <f t="shared" si="88"/>
        <v>-3.381333966990839E-2</v>
      </c>
      <c r="N356" s="298">
        <f t="shared" si="89"/>
        <v>-1.3678411012302931E-2</v>
      </c>
      <c r="O356" s="298">
        <f t="shared" si="90"/>
        <v>-4.0578837441052115E-3</v>
      </c>
      <c r="P356" s="298">
        <f t="shared" si="91"/>
        <v>-6.396012154343299E-3</v>
      </c>
      <c r="Q356" s="298">
        <f t="shared" si="92"/>
        <v>-1.5383659081445841E-2</v>
      </c>
      <c r="R356" s="298">
        <f t="shared" si="93"/>
        <v>-5.7463617565803211E-2</v>
      </c>
      <c r="S356" s="299">
        <f t="shared" si="94"/>
        <v>8.585545493128172E-3</v>
      </c>
      <c r="U356" s="303">
        <f t="shared" si="95"/>
        <v>-9.7262765040746265E-3</v>
      </c>
      <c r="V356" s="86">
        <f t="shared" si="96"/>
        <v>-3.9911068368369024E-2</v>
      </c>
      <c r="W356" s="86">
        <f t="shared" si="97"/>
        <v>-1.65269143573691E-2</v>
      </c>
      <c r="X356" s="86">
        <f t="shared" si="98"/>
        <v>-4.4292112566197209E-3</v>
      </c>
      <c r="Y356" s="86">
        <f t="shared" si="99"/>
        <v>-7.5050221460369274E-3</v>
      </c>
      <c r="Z356" s="86">
        <f t="shared" si="100"/>
        <v>-1.694545168062319E-2</v>
      </c>
      <c r="AA356" s="86">
        <f t="shared" si="101"/>
        <v>-5.1751696890259678E-2</v>
      </c>
      <c r="AB356" s="304">
        <f t="shared" si="102"/>
        <v>7.9731876164786109E-3</v>
      </c>
    </row>
    <row r="357" spans="2:28" x14ac:dyDescent="0.3">
      <c r="B357" s="271">
        <v>43595</v>
      </c>
      <c r="C357" s="292">
        <v>155.94999999999999</v>
      </c>
      <c r="D357" s="292">
        <v>39.099997999999999</v>
      </c>
      <c r="E357" s="292">
        <v>2278.1999999999998</v>
      </c>
      <c r="F357" s="292">
        <v>1148.25</v>
      </c>
      <c r="G357" s="292">
        <v>1341.05</v>
      </c>
      <c r="H357" s="292">
        <v>1251.150024</v>
      </c>
      <c r="I357" s="292">
        <v>163.85</v>
      </c>
      <c r="J357" s="197">
        <v>1687.4499510000001</v>
      </c>
      <c r="L357" s="297">
        <f t="shared" si="87"/>
        <v>-7.6653201897644097E-3</v>
      </c>
      <c r="M357" s="298">
        <f t="shared" si="88"/>
        <v>-1.2780576819555621E-3</v>
      </c>
      <c r="N357" s="298">
        <f t="shared" si="89"/>
        <v>-5.9300603760734085E-3</v>
      </c>
      <c r="O357" s="298">
        <f t="shared" si="90"/>
        <v>2.4415141044941513E-3</v>
      </c>
      <c r="P357" s="298">
        <f t="shared" si="91"/>
        <v>-9.7579848572021833E-3</v>
      </c>
      <c r="Q357" s="298">
        <f t="shared" si="92"/>
        <v>-4.2270975790269305E-3</v>
      </c>
      <c r="R357" s="298">
        <f t="shared" si="93"/>
        <v>-3.8610212523819153E-2</v>
      </c>
      <c r="S357" s="299">
        <f t="shared" si="94"/>
        <v>-9.6132193705510509E-3</v>
      </c>
      <c r="U357" s="303">
        <f t="shared" si="95"/>
        <v>-6.1066147692558793E-3</v>
      </c>
      <c r="V357" s="86">
        <f t="shared" si="96"/>
        <v>-7.3757863804161964E-3</v>
      </c>
      <c r="W357" s="86">
        <f t="shared" si="97"/>
        <v>-8.7785637211395783E-3</v>
      </c>
      <c r="X357" s="86">
        <f t="shared" si="98"/>
        <v>2.0701865919796419E-3</v>
      </c>
      <c r="Y357" s="86">
        <f t="shared" si="99"/>
        <v>-1.0866994848895813E-2</v>
      </c>
      <c r="Z357" s="86">
        <f t="shared" si="100"/>
        <v>-5.7888901782042809E-3</v>
      </c>
      <c r="AA357" s="86">
        <f t="shared" si="101"/>
        <v>-3.289829184827562E-2</v>
      </c>
      <c r="AB357" s="304">
        <f t="shared" si="102"/>
        <v>-1.0225577247200612E-2</v>
      </c>
    </row>
    <row r="358" spans="2:28" x14ac:dyDescent="0.3">
      <c r="B358" s="271">
        <v>43594</v>
      </c>
      <c r="C358" s="292">
        <v>157.15</v>
      </c>
      <c r="D358" s="292">
        <v>39.150002000000001</v>
      </c>
      <c r="E358" s="292">
        <v>2291.75</v>
      </c>
      <c r="F358" s="292">
        <v>1145.4499510000001</v>
      </c>
      <c r="G358" s="292">
        <v>1354.2</v>
      </c>
      <c r="H358" s="292">
        <v>1256.4499510000001</v>
      </c>
      <c r="I358" s="292">
        <v>170.3</v>
      </c>
      <c r="J358" s="197">
        <v>1703.75</v>
      </c>
      <c r="L358" s="297">
        <f t="shared" si="87"/>
        <v>-1.4216003112538048E-2</v>
      </c>
      <c r="M358" s="298">
        <f t="shared" si="88"/>
        <v>2.8499415495893639E-2</v>
      </c>
      <c r="N358" s="298">
        <f t="shared" si="89"/>
        <v>7.8573459310178335E-4</v>
      </c>
      <c r="O358" s="298">
        <f t="shared" si="90"/>
        <v>-7.1072899767087401E-3</v>
      </c>
      <c r="P358" s="298">
        <f t="shared" si="91"/>
        <v>-2.2994553053124429E-2</v>
      </c>
      <c r="Q358" s="298">
        <f t="shared" si="92"/>
        <v>-3.36508151788876E-2</v>
      </c>
      <c r="R358" s="298">
        <f t="shared" si="93"/>
        <v>5.7711224550913959E-2</v>
      </c>
      <c r="S358" s="299">
        <f t="shared" si="94"/>
        <v>8.8727308890552709E-3</v>
      </c>
      <c r="U358" s="303">
        <f t="shared" si="95"/>
        <v>-1.2657297692029518E-2</v>
      </c>
      <c r="V358" s="86">
        <f t="shared" si="96"/>
        <v>2.2401686797433006E-2</v>
      </c>
      <c r="W358" s="86">
        <f t="shared" si="97"/>
        <v>-2.0627687519643861E-3</v>
      </c>
      <c r="X358" s="86">
        <f t="shared" si="98"/>
        <v>-7.4786174892232495E-3</v>
      </c>
      <c r="Y358" s="86">
        <f t="shared" si="99"/>
        <v>-2.4103563044818057E-2</v>
      </c>
      <c r="Z358" s="86">
        <f t="shared" si="100"/>
        <v>-3.5212607778064953E-2</v>
      </c>
      <c r="AA358" s="86">
        <f t="shared" si="101"/>
        <v>6.3423145226457492E-2</v>
      </c>
      <c r="AB358" s="304">
        <f t="shared" si="102"/>
        <v>8.2603730124057098E-3</v>
      </c>
    </row>
    <row r="359" spans="2:28" x14ac:dyDescent="0.3">
      <c r="B359" s="271">
        <v>43593</v>
      </c>
      <c r="C359" s="292">
        <v>159.4</v>
      </c>
      <c r="D359" s="292">
        <v>38.049999</v>
      </c>
      <c r="E359" s="292">
        <v>2289.9499999999998</v>
      </c>
      <c r="F359" s="292">
        <v>1153.619995</v>
      </c>
      <c r="G359" s="292">
        <v>1385.7</v>
      </c>
      <c r="H359" s="292">
        <v>1299.4499510000001</v>
      </c>
      <c r="I359" s="292">
        <v>160.75</v>
      </c>
      <c r="J359" s="197">
        <v>1688.6999510000001</v>
      </c>
      <c r="L359" s="297">
        <f t="shared" si="87"/>
        <v>-2.5396223981193438E-2</v>
      </c>
      <c r="M359" s="298">
        <f t="shared" si="88"/>
        <v>-3.613301461393989E-2</v>
      </c>
      <c r="N359" s="298">
        <f t="shared" si="89"/>
        <v>-1.5534082610159594E-2</v>
      </c>
      <c r="O359" s="298">
        <f t="shared" si="90"/>
        <v>-6.5319558666143843E-3</v>
      </c>
      <c r="P359" s="298">
        <f t="shared" si="91"/>
        <v>-1.5143323607789872E-3</v>
      </c>
      <c r="Q359" s="298">
        <f t="shared" si="92"/>
        <v>-3.3337088759548723E-2</v>
      </c>
      <c r="R359" s="298">
        <f t="shared" si="93"/>
        <v>-2.4578810264887806E-2</v>
      </c>
      <c r="S359" s="299">
        <f t="shared" si="94"/>
        <v>-5.1976073111641803E-3</v>
      </c>
      <c r="U359" s="303">
        <f t="shared" si="95"/>
        <v>-2.3837518560684907E-2</v>
      </c>
      <c r="V359" s="86">
        <f t="shared" si="96"/>
        <v>-4.2230743312400523E-2</v>
      </c>
      <c r="W359" s="86">
        <f t="shared" si="97"/>
        <v>-1.8382585955225763E-2</v>
      </c>
      <c r="X359" s="86">
        <f t="shared" si="98"/>
        <v>-6.9032833791288937E-3</v>
      </c>
      <c r="Y359" s="86">
        <f t="shared" si="99"/>
        <v>-2.6233423524726161E-3</v>
      </c>
      <c r="Z359" s="86">
        <f t="shared" si="100"/>
        <v>-3.4898881358726076E-2</v>
      </c>
      <c r="AA359" s="86">
        <f t="shared" si="101"/>
        <v>-1.8866889589344269E-2</v>
      </c>
      <c r="AB359" s="304">
        <f t="shared" si="102"/>
        <v>-5.8099651878137414E-3</v>
      </c>
    </row>
    <row r="360" spans="2:28" x14ac:dyDescent="0.3">
      <c r="B360" s="271">
        <v>43592</v>
      </c>
      <c r="C360" s="292">
        <v>163.5</v>
      </c>
      <c r="D360" s="292">
        <v>39.450001</v>
      </c>
      <c r="E360" s="292">
        <v>2325.8000000000002</v>
      </c>
      <c r="F360" s="292">
        <v>1161.1800539999999</v>
      </c>
      <c r="G360" s="292">
        <v>1387.8</v>
      </c>
      <c r="H360" s="292">
        <v>1343.5</v>
      </c>
      <c r="I360" s="292">
        <v>164.75</v>
      </c>
      <c r="J360" s="197">
        <v>1697.5</v>
      </c>
      <c r="L360" s="297">
        <f t="shared" si="87"/>
        <v>-1.9682694458425028E-2</v>
      </c>
      <c r="M360" s="298">
        <f t="shared" si="88"/>
        <v>-1.8832947860171555E-2</v>
      </c>
      <c r="N360" s="298">
        <f t="shared" si="89"/>
        <v>-7.240044477796046E-3</v>
      </c>
      <c r="O360" s="298">
        <f t="shared" si="90"/>
        <v>-2.6145340147964709E-3</v>
      </c>
      <c r="P360" s="298">
        <f t="shared" si="91"/>
        <v>-1.7853791384247066E-2</v>
      </c>
      <c r="Q360" s="298">
        <f t="shared" si="92"/>
        <v>-3.0349803122897125E-2</v>
      </c>
      <c r="R360" s="298">
        <f t="shared" si="93"/>
        <v>-9.0635061533469643E-3</v>
      </c>
      <c r="S360" s="299">
        <f t="shared" si="94"/>
        <v>1.6991839302764267E-2</v>
      </c>
      <c r="U360" s="303">
        <f t="shared" si="95"/>
        <v>-1.8123989037916496E-2</v>
      </c>
      <c r="V360" s="86">
        <f t="shared" si="96"/>
        <v>-2.4930676558632188E-2</v>
      </c>
      <c r="W360" s="86">
        <f t="shared" si="97"/>
        <v>-1.0088547822862216E-2</v>
      </c>
      <c r="X360" s="86">
        <f t="shared" si="98"/>
        <v>-2.9858615273109803E-3</v>
      </c>
      <c r="Y360" s="86">
        <f t="shared" si="99"/>
        <v>-1.8962801375940693E-2</v>
      </c>
      <c r="Z360" s="86">
        <f t="shared" si="100"/>
        <v>-3.1911595722074478E-2</v>
      </c>
      <c r="AA360" s="86">
        <f t="shared" si="101"/>
        <v>-3.3515854778034286E-3</v>
      </c>
      <c r="AB360" s="304">
        <f t="shared" si="102"/>
        <v>1.6379481426114707E-2</v>
      </c>
    </row>
    <row r="361" spans="2:28" x14ac:dyDescent="0.3">
      <c r="B361" s="271">
        <v>43591</v>
      </c>
      <c r="C361" s="292">
        <v>166.75</v>
      </c>
      <c r="D361" s="292">
        <v>40.200001</v>
      </c>
      <c r="E361" s="292">
        <v>2342.6999999999998</v>
      </c>
      <c r="F361" s="292">
        <v>1164.219971</v>
      </c>
      <c r="G361" s="292">
        <v>1412.8</v>
      </c>
      <c r="H361" s="292">
        <v>1384.900024</v>
      </c>
      <c r="I361" s="292">
        <v>166.25</v>
      </c>
      <c r="J361" s="197">
        <v>1668.900024</v>
      </c>
      <c r="L361" s="297">
        <f t="shared" si="87"/>
        <v>-5.680984033429975E-3</v>
      </c>
      <c r="M361" s="298">
        <f t="shared" si="88"/>
        <v>-4.141885416019081E-2</v>
      </c>
      <c r="N361" s="298">
        <f t="shared" si="89"/>
        <v>-4.3444995499915505E-3</v>
      </c>
      <c r="O361" s="298">
        <f t="shared" si="90"/>
        <v>-1.6821863831712264E-2</v>
      </c>
      <c r="P361" s="298">
        <f t="shared" si="91"/>
        <v>-1.8062110966765889E-2</v>
      </c>
      <c r="Q361" s="298">
        <f t="shared" si="92"/>
        <v>-1.7145799536767876E-2</v>
      </c>
      <c r="R361" s="298">
        <f t="shared" si="93"/>
        <v>-5.6422972207548966E-2</v>
      </c>
      <c r="S361" s="299">
        <f t="shared" si="94"/>
        <v>-1.4662205278286145E-2</v>
      </c>
      <c r="U361" s="303">
        <f t="shared" si="95"/>
        <v>-4.1222786129214446E-3</v>
      </c>
      <c r="V361" s="86">
        <f t="shared" si="96"/>
        <v>-4.7516582858651443E-2</v>
      </c>
      <c r="W361" s="86">
        <f t="shared" si="97"/>
        <v>-7.1930028950577193E-3</v>
      </c>
      <c r="X361" s="86">
        <f t="shared" si="98"/>
        <v>-1.7193191344226772E-2</v>
      </c>
      <c r="Y361" s="86">
        <f t="shared" si="99"/>
        <v>-1.9171120958459516E-2</v>
      </c>
      <c r="Z361" s="86">
        <f t="shared" si="100"/>
        <v>-1.8707592135945226E-2</v>
      </c>
      <c r="AA361" s="86">
        <f t="shared" si="101"/>
        <v>-5.0711051532005433E-2</v>
      </c>
      <c r="AB361" s="304">
        <f t="shared" si="102"/>
        <v>-1.5274563154935706E-2</v>
      </c>
    </row>
    <row r="362" spans="2:28" x14ac:dyDescent="0.3">
      <c r="B362" s="271">
        <v>43588</v>
      </c>
      <c r="C362" s="292">
        <v>167.7</v>
      </c>
      <c r="D362" s="292">
        <v>41.900002000000001</v>
      </c>
      <c r="E362" s="292">
        <v>2352.9</v>
      </c>
      <c r="F362" s="292">
        <v>1183.969971</v>
      </c>
      <c r="G362" s="292">
        <v>1438.55</v>
      </c>
      <c r="H362" s="292">
        <v>1408.849976</v>
      </c>
      <c r="I362" s="292">
        <v>175.9</v>
      </c>
      <c r="J362" s="197">
        <v>1693.5500489999999</v>
      </c>
      <c r="L362" s="297">
        <f t="shared" si="87"/>
        <v>-3.5714323675972446E-3</v>
      </c>
      <c r="M362" s="298">
        <f t="shared" si="88"/>
        <v>2.3895590535224073E-3</v>
      </c>
      <c r="N362" s="298">
        <f t="shared" si="89"/>
        <v>-6.6504534006641535E-3</v>
      </c>
      <c r="O362" s="298">
        <f t="shared" si="90"/>
        <v>5.1399614512578845E-3</v>
      </c>
      <c r="P362" s="298">
        <f t="shared" si="91"/>
        <v>1.356451175760261E-3</v>
      </c>
      <c r="Q362" s="298">
        <f t="shared" si="92"/>
        <v>2.7008275177584093E-3</v>
      </c>
      <c r="R362" s="298">
        <f t="shared" si="93"/>
        <v>1.2298167298610975E-2</v>
      </c>
      <c r="S362" s="299">
        <f t="shared" si="94"/>
        <v>-1.7559199291409408E-2</v>
      </c>
      <c r="U362" s="303">
        <f t="shared" si="95"/>
        <v>-2.0127269470887141E-3</v>
      </c>
      <c r="V362" s="86">
        <f t="shared" si="96"/>
        <v>-3.7081696449382268E-3</v>
      </c>
      <c r="W362" s="86">
        <f t="shared" si="97"/>
        <v>-9.4989567457303224E-3</v>
      </c>
      <c r="X362" s="86">
        <f t="shared" si="98"/>
        <v>4.7686339387433751E-3</v>
      </c>
      <c r="Y362" s="86">
        <f t="shared" si="99"/>
        <v>2.474411840666321E-4</v>
      </c>
      <c r="Z362" s="86">
        <f t="shared" si="100"/>
        <v>1.1390349185810588E-3</v>
      </c>
      <c r="AA362" s="86">
        <f t="shared" si="101"/>
        <v>1.8010087974154512E-2</v>
      </c>
      <c r="AB362" s="304">
        <f t="shared" si="102"/>
        <v>-1.8171557168058967E-2</v>
      </c>
    </row>
    <row r="363" spans="2:28" x14ac:dyDescent="0.3">
      <c r="B363" s="271">
        <v>43587</v>
      </c>
      <c r="C363" s="292">
        <v>168.3</v>
      </c>
      <c r="D363" s="292">
        <v>41.799999</v>
      </c>
      <c r="E363" s="292">
        <v>2368.6</v>
      </c>
      <c r="F363" s="292">
        <v>1177.900024</v>
      </c>
      <c r="G363" s="292">
        <v>1436.6</v>
      </c>
      <c r="H363" s="292">
        <v>1405.0500489999999</v>
      </c>
      <c r="I363" s="292">
        <v>173.75</v>
      </c>
      <c r="J363" s="197">
        <v>1723.5500489999999</v>
      </c>
      <c r="L363" s="297">
        <f t="shared" si="87"/>
        <v>8.6528959993773906E-3</v>
      </c>
      <c r="M363" s="298">
        <f t="shared" si="88"/>
        <v>4.2767667061686408E-2</v>
      </c>
      <c r="N363" s="298">
        <f t="shared" si="89"/>
        <v>8.4796573564139242E-3</v>
      </c>
      <c r="O363" s="298">
        <f t="shared" si="90"/>
        <v>1.6417289790323267E-2</v>
      </c>
      <c r="P363" s="298">
        <f t="shared" si="91"/>
        <v>-1.8312435173576846E-2</v>
      </c>
      <c r="Q363" s="298">
        <f t="shared" si="92"/>
        <v>8.756779562543341E-3</v>
      </c>
      <c r="R363" s="298">
        <f t="shared" si="93"/>
        <v>3.3653505041642578E-2</v>
      </c>
      <c r="S363" s="299">
        <f t="shared" si="94"/>
        <v>-1.9619962641730101E-2</v>
      </c>
      <c r="U363" s="303">
        <f t="shared" si="95"/>
        <v>1.021160141988592E-2</v>
      </c>
      <c r="V363" s="86">
        <f t="shared" si="96"/>
        <v>3.6669938363225775E-2</v>
      </c>
      <c r="W363" s="86">
        <f t="shared" si="97"/>
        <v>5.6311540113477554E-3</v>
      </c>
      <c r="X363" s="86">
        <f t="shared" si="98"/>
        <v>1.6045962277808759E-2</v>
      </c>
      <c r="Y363" s="86">
        <f t="shared" si="99"/>
        <v>-1.9421445165270473E-2</v>
      </c>
      <c r="Z363" s="86">
        <f t="shared" si="100"/>
        <v>7.1949869633659907E-3</v>
      </c>
      <c r="AA363" s="86">
        <f t="shared" si="101"/>
        <v>3.9365425717186112E-2</v>
      </c>
      <c r="AB363" s="304">
        <f t="shared" si="102"/>
        <v>-2.023232051837966E-2</v>
      </c>
    </row>
    <row r="364" spans="2:28" x14ac:dyDescent="0.3">
      <c r="B364" s="271">
        <v>43585</v>
      </c>
      <c r="C364" s="292">
        <v>166.85</v>
      </c>
      <c r="D364" s="292">
        <v>40.049999</v>
      </c>
      <c r="E364" s="292">
        <v>2348.6</v>
      </c>
      <c r="F364" s="292">
        <v>1158.719971</v>
      </c>
      <c r="G364" s="292">
        <v>1463.15</v>
      </c>
      <c r="H364" s="292">
        <v>1392.8000489999999</v>
      </c>
      <c r="I364" s="292">
        <v>168</v>
      </c>
      <c r="J364" s="197">
        <v>1757.6999510000001</v>
      </c>
      <c r="L364" s="297">
        <f t="shared" si="87"/>
        <v>-1.6936967042797554E-2</v>
      </c>
      <c r="M364" s="298">
        <f t="shared" si="88"/>
        <v>-7.10714671479835E-2</v>
      </c>
      <c r="N364" s="298">
        <f t="shared" si="89"/>
        <v>-2.2753622218586234E-3</v>
      </c>
      <c r="O364" s="298">
        <f t="shared" si="90"/>
        <v>1.587548985181364E-2</v>
      </c>
      <c r="P364" s="298">
        <f t="shared" si="91"/>
        <v>9.8905301603166209E-3</v>
      </c>
      <c r="Q364" s="298">
        <f t="shared" si="92"/>
        <v>0</v>
      </c>
      <c r="R364" s="298">
        <f t="shared" si="93"/>
        <v>-0.34493968772031147</v>
      </c>
      <c r="S364" s="299">
        <f t="shared" si="94"/>
        <v>5.9057675627015227E-3</v>
      </c>
      <c r="U364" s="303">
        <f t="shared" si="95"/>
        <v>-1.5378261622289025E-2</v>
      </c>
      <c r="V364" s="86">
        <f t="shared" si="96"/>
        <v>-7.7169195846444133E-2</v>
      </c>
      <c r="W364" s="86">
        <f t="shared" si="97"/>
        <v>-5.1238655669247927E-3</v>
      </c>
      <c r="X364" s="86">
        <f t="shared" si="98"/>
        <v>1.5504162339299131E-2</v>
      </c>
      <c r="Y364" s="86">
        <f t="shared" si="99"/>
        <v>8.7815201686229916E-3</v>
      </c>
      <c r="Z364" s="86">
        <f t="shared" si="100"/>
        <v>-1.5617925991773505E-3</v>
      </c>
      <c r="AA364" s="86">
        <f t="shared" si="101"/>
        <v>-0.33922776704476792</v>
      </c>
      <c r="AB364" s="304">
        <f t="shared" si="102"/>
        <v>5.2934096860519616E-3</v>
      </c>
    </row>
    <row r="365" spans="2:28" x14ac:dyDescent="0.3">
      <c r="B365" s="271">
        <v>43581</v>
      </c>
      <c r="C365" s="292">
        <v>169.7</v>
      </c>
      <c r="D365" s="292">
        <v>43</v>
      </c>
      <c r="E365" s="292">
        <v>2353.9499999999998</v>
      </c>
      <c r="F365" s="292">
        <v>1140.469971</v>
      </c>
      <c r="G365" s="292">
        <v>1448.75</v>
      </c>
      <c r="H365" s="292">
        <v>1392.8000489999999</v>
      </c>
      <c r="I365" s="292">
        <v>237.2</v>
      </c>
      <c r="J365" s="197">
        <v>1747.349976</v>
      </c>
      <c r="L365" s="297">
        <f t="shared" si="87"/>
        <v>-4.4098263437314491E-3</v>
      </c>
      <c r="M365" s="298">
        <f t="shared" si="88"/>
        <v>-1.8433678857787503E-2</v>
      </c>
      <c r="N365" s="298">
        <f t="shared" si="89"/>
        <v>8.3398693843182315E-3</v>
      </c>
      <c r="O365" s="298">
        <f t="shared" si="90"/>
        <v>7.701858978765074E-3</v>
      </c>
      <c r="P365" s="298">
        <f t="shared" si="91"/>
        <v>5.5235269122759381E-4</v>
      </c>
      <c r="Q365" s="298">
        <f t="shared" si="92"/>
        <v>1.4755095163001573E-2</v>
      </c>
      <c r="R365" s="298">
        <f t="shared" si="93"/>
        <v>6.3257777544303763E-4</v>
      </c>
      <c r="S365" s="299">
        <f t="shared" si="94"/>
        <v>7.5541570908546464E-3</v>
      </c>
      <c r="U365" s="303">
        <f t="shared" si="95"/>
        <v>-2.8511209232229186E-3</v>
      </c>
      <c r="V365" s="86">
        <f t="shared" si="96"/>
        <v>-2.4531407556248136E-2</v>
      </c>
      <c r="W365" s="86">
        <f t="shared" si="97"/>
        <v>5.4913660392520627E-3</v>
      </c>
      <c r="X365" s="86">
        <f t="shared" si="98"/>
        <v>7.3305314662505646E-3</v>
      </c>
      <c r="Y365" s="86">
        <f t="shared" si="99"/>
        <v>-5.5665730046603509E-4</v>
      </c>
      <c r="Z365" s="86">
        <f t="shared" si="100"/>
        <v>1.3193302563824222E-2</v>
      </c>
      <c r="AA365" s="86">
        <f t="shared" si="101"/>
        <v>6.3444984509865732E-3</v>
      </c>
      <c r="AB365" s="304">
        <f t="shared" si="102"/>
        <v>6.9417992142050853E-3</v>
      </c>
    </row>
    <row r="366" spans="2:28" x14ac:dyDescent="0.3">
      <c r="B366" s="271">
        <v>43580</v>
      </c>
      <c r="C366" s="292">
        <v>170.45</v>
      </c>
      <c r="D366" s="292">
        <v>43.799999</v>
      </c>
      <c r="E366" s="292">
        <v>2334.4</v>
      </c>
      <c r="F366" s="292">
        <v>1131.719971</v>
      </c>
      <c r="G366" s="292">
        <v>1447.95</v>
      </c>
      <c r="H366" s="292">
        <v>1372.400024</v>
      </c>
      <c r="I366" s="292">
        <v>237.05</v>
      </c>
      <c r="J366" s="197">
        <v>1734.1999510000001</v>
      </c>
      <c r="L366" s="297">
        <f t="shared" si="87"/>
        <v>-2.5200464637523113E-2</v>
      </c>
      <c r="M366" s="298">
        <f t="shared" si="88"/>
        <v>-2.0339729439537574E-2</v>
      </c>
      <c r="N366" s="298">
        <f t="shared" si="89"/>
        <v>9.6852015068292913E-3</v>
      </c>
      <c r="O366" s="298">
        <f t="shared" si="90"/>
        <v>-7.1844243574374026E-3</v>
      </c>
      <c r="P366" s="298">
        <f t="shared" si="91"/>
        <v>-1.4492756159902869E-3</v>
      </c>
      <c r="Q366" s="298">
        <f t="shared" si="92"/>
        <v>-1.2382920710650952E-2</v>
      </c>
      <c r="R366" s="298">
        <f t="shared" si="93"/>
        <v>-8.8198807781785706E-3</v>
      </c>
      <c r="S366" s="299">
        <f t="shared" si="94"/>
        <v>-1.0554202239853247E-2</v>
      </c>
      <c r="U366" s="303">
        <f t="shared" si="95"/>
        <v>-2.3641759217014582E-2</v>
      </c>
      <c r="V366" s="86">
        <f t="shared" si="96"/>
        <v>-2.6437458137998207E-2</v>
      </c>
      <c r="W366" s="86">
        <f t="shared" si="97"/>
        <v>6.8366981617631224E-3</v>
      </c>
      <c r="X366" s="86">
        <f t="shared" si="98"/>
        <v>-7.555751869951912E-3</v>
      </c>
      <c r="Y366" s="86">
        <f t="shared" si="99"/>
        <v>-2.5582856076839158E-3</v>
      </c>
      <c r="Z366" s="86">
        <f t="shared" si="100"/>
        <v>-1.3944713309828303E-2</v>
      </c>
      <c r="AA366" s="86">
        <f t="shared" si="101"/>
        <v>-3.1079601026350349E-3</v>
      </c>
      <c r="AB366" s="304">
        <f t="shared" si="102"/>
        <v>-1.1166560116502808E-2</v>
      </c>
    </row>
    <row r="367" spans="2:28" x14ac:dyDescent="0.3">
      <c r="B367" s="271">
        <v>43579</v>
      </c>
      <c r="C367" s="292">
        <v>174.8</v>
      </c>
      <c r="D367" s="292">
        <v>44.700001</v>
      </c>
      <c r="E367" s="292">
        <v>2311.9</v>
      </c>
      <c r="F367" s="292">
        <v>1139.880005</v>
      </c>
      <c r="G367" s="292">
        <v>1450.05</v>
      </c>
      <c r="H367" s="292">
        <v>1389.5</v>
      </c>
      <c r="I367" s="292">
        <v>239.15</v>
      </c>
      <c r="J367" s="197">
        <v>1752.599976</v>
      </c>
      <c r="L367" s="297">
        <f t="shared" si="87"/>
        <v>0</v>
      </c>
      <c r="M367" s="298">
        <f t="shared" si="88"/>
        <v>1.124871228280106E-2</v>
      </c>
      <c r="N367" s="298">
        <f t="shared" si="89"/>
        <v>-2.4624701934486703E-3</v>
      </c>
      <c r="O367" s="298">
        <f t="shared" si="90"/>
        <v>1.5231014720318844E-2</v>
      </c>
      <c r="P367" s="298">
        <f t="shared" si="91"/>
        <v>1.3224538022273228E-2</v>
      </c>
      <c r="Q367" s="298">
        <f t="shared" si="92"/>
        <v>1.8632405098098957E-2</v>
      </c>
      <c r="R367" s="298">
        <f t="shared" si="93"/>
        <v>2.7340899818060007E-2</v>
      </c>
      <c r="S367" s="299">
        <f t="shared" si="94"/>
        <v>4.8044162280334894E-3</v>
      </c>
      <c r="U367" s="303">
        <f t="shared" si="95"/>
        <v>1.5587054205085302E-3</v>
      </c>
      <c r="V367" s="86">
        <f t="shared" si="96"/>
        <v>5.1509835843404255E-3</v>
      </c>
      <c r="W367" s="86">
        <f t="shared" si="97"/>
        <v>-5.3109735385148396E-3</v>
      </c>
      <c r="X367" s="86">
        <f t="shared" si="98"/>
        <v>1.4859687207804334E-2</v>
      </c>
      <c r="Y367" s="86">
        <f t="shared" si="99"/>
        <v>1.2115528030579598E-2</v>
      </c>
      <c r="Z367" s="86">
        <f t="shared" si="100"/>
        <v>1.7070612498921608E-2</v>
      </c>
      <c r="AA367" s="86">
        <f t="shared" si="101"/>
        <v>3.3052820493603544E-2</v>
      </c>
      <c r="AB367" s="304">
        <f t="shared" si="102"/>
        <v>4.1920583513839283E-3</v>
      </c>
    </row>
    <row r="368" spans="2:28" x14ac:dyDescent="0.3">
      <c r="B368" s="271">
        <v>43578</v>
      </c>
      <c r="C368" s="292">
        <v>174.8</v>
      </c>
      <c r="D368" s="292">
        <v>44.200001</v>
      </c>
      <c r="E368" s="292">
        <v>2317.6</v>
      </c>
      <c r="F368" s="292">
        <v>1122.650024</v>
      </c>
      <c r="G368" s="292">
        <v>1431</v>
      </c>
      <c r="H368" s="292">
        <v>1363.849976</v>
      </c>
      <c r="I368" s="292">
        <v>232.7</v>
      </c>
      <c r="J368" s="197">
        <v>1744.1999510000001</v>
      </c>
      <c r="L368" s="297">
        <f t="shared" si="87"/>
        <v>-1.1435107020789379E-3</v>
      </c>
      <c r="M368" s="298">
        <f t="shared" si="88"/>
        <v>-1.2366633012777805E-2</v>
      </c>
      <c r="N368" s="298">
        <f t="shared" si="89"/>
        <v>3.0682161448195161E-3</v>
      </c>
      <c r="O368" s="298">
        <f t="shared" si="90"/>
        <v>-1.0367795129179099E-2</v>
      </c>
      <c r="P368" s="298">
        <f t="shared" si="91"/>
        <v>-8.5933000494157041E-3</v>
      </c>
      <c r="Q368" s="298">
        <f t="shared" si="92"/>
        <v>1.3657380691561808E-2</v>
      </c>
      <c r="R368" s="298">
        <f t="shared" si="93"/>
        <v>-2.3990111342588671E-2</v>
      </c>
      <c r="S368" s="299">
        <f t="shared" si="94"/>
        <v>2.4970808980741164E-3</v>
      </c>
      <c r="U368" s="303">
        <f t="shared" si="95"/>
        <v>4.1519471842959232E-4</v>
      </c>
      <c r="V368" s="86">
        <f t="shared" si="96"/>
        <v>-1.8464361711238438E-2</v>
      </c>
      <c r="W368" s="86">
        <f t="shared" si="97"/>
        <v>2.1971279975334683E-4</v>
      </c>
      <c r="X368" s="86">
        <f t="shared" si="98"/>
        <v>-1.0739122641693608E-2</v>
      </c>
      <c r="Y368" s="86">
        <f t="shared" si="99"/>
        <v>-9.7023100411093334E-3</v>
      </c>
      <c r="Z368" s="86">
        <f t="shared" si="100"/>
        <v>1.2095588092384457E-2</v>
      </c>
      <c r="AA368" s="86">
        <f t="shared" si="101"/>
        <v>-1.8278190667045134E-2</v>
      </c>
      <c r="AB368" s="304">
        <f t="shared" si="102"/>
        <v>1.8847230214245555E-3</v>
      </c>
    </row>
    <row r="369" spans="2:28" x14ac:dyDescent="0.3">
      <c r="B369" s="271">
        <v>43577</v>
      </c>
      <c r="C369" s="292">
        <v>175</v>
      </c>
      <c r="D369" s="292">
        <v>44.75</v>
      </c>
      <c r="E369" s="292">
        <v>2310.5</v>
      </c>
      <c r="F369" s="292">
        <v>1134.349976</v>
      </c>
      <c r="G369" s="292">
        <v>1443.35</v>
      </c>
      <c r="H369" s="292">
        <v>1345.349976</v>
      </c>
      <c r="I369" s="292">
        <v>238.35</v>
      </c>
      <c r="J369" s="197">
        <v>1739.849976</v>
      </c>
      <c r="L369" s="297">
        <f t="shared" si="87"/>
        <v>-2.0362694518884599E-2</v>
      </c>
      <c r="M369" s="298">
        <f t="shared" si="88"/>
        <v>-5.5710450494553601E-3</v>
      </c>
      <c r="N369" s="298">
        <f t="shared" si="89"/>
        <v>-8.5545195606176478E-3</v>
      </c>
      <c r="O369" s="298">
        <f t="shared" si="90"/>
        <v>-1.0933069117614044E-2</v>
      </c>
      <c r="P369" s="298">
        <f t="shared" si="91"/>
        <v>-1.8023454295049299E-2</v>
      </c>
      <c r="Q369" s="298">
        <f t="shared" si="92"/>
        <v>-2.9731605315344752E-2</v>
      </c>
      <c r="R369" s="298">
        <f t="shared" si="93"/>
        <v>-7.0655707493907691E-2</v>
      </c>
      <c r="S369" s="299">
        <f t="shared" si="94"/>
        <v>-2.8765284864397197E-5</v>
      </c>
      <c r="U369" s="303">
        <f t="shared" si="95"/>
        <v>-1.8803989098376068E-2</v>
      </c>
      <c r="V369" s="86">
        <f t="shared" si="96"/>
        <v>-1.1668773747915993E-2</v>
      </c>
      <c r="W369" s="86">
        <f t="shared" si="97"/>
        <v>-1.1403022905683817E-2</v>
      </c>
      <c r="X369" s="86">
        <f t="shared" si="98"/>
        <v>-1.1304396630128553E-2</v>
      </c>
      <c r="Y369" s="86">
        <f t="shared" si="99"/>
        <v>-1.9132464286742926E-2</v>
      </c>
      <c r="Z369" s="86">
        <f t="shared" si="100"/>
        <v>-3.1293397914522104E-2</v>
      </c>
      <c r="AA369" s="86">
        <f t="shared" si="101"/>
        <v>-6.4943786818364158E-2</v>
      </c>
      <c r="AB369" s="304">
        <f t="shared" si="102"/>
        <v>-6.4112316151395809E-4</v>
      </c>
    </row>
    <row r="370" spans="2:28" x14ac:dyDescent="0.3">
      <c r="B370" s="271">
        <v>43573</v>
      </c>
      <c r="C370" s="292">
        <v>178.6</v>
      </c>
      <c r="D370" s="292">
        <v>45</v>
      </c>
      <c r="E370" s="292">
        <v>2330.35</v>
      </c>
      <c r="F370" s="292">
        <v>1146.8199460000001</v>
      </c>
      <c r="G370" s="292">
        <v>1469.6</v>
      </c>
      <c r="H370" s="292">
        <v>1385.9499510000001</v>
      </c>
      <c r="I370" s="292">
        <v>255.8</v>
      </c>
      <c r="J370" s="197">
        <v>1739.900024</v>
      </c>
      <c r="L370" s="297">
        <f t="shared" si="87"/>
        <v>-3.4936849836064335E-2</v>
      </c>
      <c r="M370" s="298">
        <f t="shared" si="88"/>
        <v>1.1173300598125255E-2</v>
      </c>
      <c r="N370" s="298">
        <f t="shared" si="89"/>
        <v>-6.2203062825237534E-4</v>
      </c>
      <c r="O370" s="298">
        <f t="shared" si="90"/>
        <v>-4.9667034598250915E-3</v>
      </c>
      <c r="P370" s="298">
        <f t="shared" si="91"/>
        <v>7.2389853781301677E-3</v>
      </c>
      <c r="Q370" s="298">
        <f t="shared" si="92"/>
        <v>3.0921576832269513E-2</v>
      </c>
      <c r="R370" s="298">
        <f t="shared" si="93"/>
        <v>-4.0790719598048857E-2</v>
      </c>
      <c r="S370" s="299">
        <f t="shared" si="94"/>
        <v>7.761934421631724E-4</v>
      </c>
      <c r="U370" s="303">
        <f t="shared" si="95"/>
        <v>-3.3378144415555804E-2</v>
      </c>
      <c r="V370" s="86">
        <f t="shared" si="96"/>
        <v>5.0755718996646207E-3</v>
      </c>
      <c r="W370" s="86">
        <f t="shared" si="97"/>
        <v>-3.4705339733185447E-3</v>
      </c>
      <c r="X370" s="86">
        <f t="shared" si="98"/>
        <v>-5.3380309723396009E-3</v>
      </c>
      <c r="Y370" s="86">
        <f t="shared" si="99"/>
        <v>6.1299753864365383E-3</v>
      </c>
      <c r="Z370" s="86">
        <f t="shared" si="100"/>
        <v>2.9359784233092164E-2</v>
      </c>
      <c r="AA370" s="86">
        <f t="shared" si="101"/>
        <v>-3.5078798922505323E-2</v>
      </c>
      <c r="AB370" s="304">
        <f t="shared" si="102"/>
        <v>1.638355655136115E-4</v>
      </c>
    </row>
    <row r="371" spans="2:28" x14ac:dyDescent="0.3">
      <c r="B371" s="271">
        <v>43571</v>
      </c>
      <c r="C371" s="292">
        <v>184.95</v>
      </c>
      <c r="D371" s="292">
        <v>44.5</v>
      </c>
      <c r="E371" s="292">
        <v>2331.8000000000002</v>
      </c>
      <c r="F371" s="292">
        <v>1152.530029</v>
      </c>
      <c r="G371" s="292">
        <v>1459</v>
      </c>
      <c r="H371" s="292">
        <v>1343.75</v>
      </c>
      <c r="I371" s="292">
        <v>266.45</v>
      </c>
      <c r="J371" s="197">
        <v>1738.5500489999999</v>
      </c>
      <c r="L371" s="297">
        <f t="shared" si="87"/>
        <v>1.3526310732688152E-3</v>
      </c>
      <c r="M371" s="298">
        <f t="shared" si="88"/>
        <v>0.17248245250669672</v>
      </c>
      <c r="N371" s="298">
        <f t="shared" si="89"/>
        <v>-9.0293585336349222E-3</v>
      </c>
      <c r="O371" s="298">
        <f t="shared" si="90"/>
        <v>7.0790479151742122E-3</v>
      </c>
      <c r="P371" s="298">
        <f t="shared" si="91"/>
        <v>1.8993496197811544E-2</v>
      </c>
      <c r="Q371" s="298">
        <f t="shared" si="92"/>
        <v>2.6826469889132351E-3</v>
      </c>
      <c r="R371" s="298">
        <f t="shared" si="93"/>
        <v>3.5717680607976229E-3</v>
      </c>
      <c r="S371" s="299">
        <f t="shared" si="94"/>
        <v>9.53599061916033E-3</v>
      </c>
      <c r="U371" s="303">
        <f t="shared" si="95"/>
        <v>2.9113364937773454E-3</v>
      </c>
      <c r="V371" s="86">
        <f t="shared" si="96"/>
        <v>0.16638472380823607</v>
      </c>
      <c r="W371" s="86">
        <f t="shared" si="97"/>
        <v>-1.1877861878701091E-2</v>
      </c>
      <c r="X371" s="86">
        <f t="shared" si="98"/>
        <v>6.7077204026597028E-3</v>
      </c>
      <c r="Y371" s="86">
        <f t="shared" si="99"/>
        <v>1.7884486206117916E-2</v>
      </c>
      <c r="Z371" s="86">
        <f t="shared" si="100"/>
        <v>1.1208543897358845E-3</v>
      </c>
      <c r="AA371" s="86">
        <f t="shared" si="101"/>
        <v>9.2836887363411582E-3</v>
      </c>
      <c r="AB371" s="304">
        <f t="shared" si="102"/>
        <v>8.9236327425107689E-3</v>
      </c>
    </row>
    <row r="372" spans="2:28" x14ac:dyDescent="0.3">
      <c r="B372" s="271">
        <v>43570</v>
      </c>
      <c r="C372" s="292">
        <v>184.7</v>
      </c>
      <c r="D372" s="292">
        <v>37.450001</v>
      </c>
      <c r="E372" s="292">
        <v>2352.9499999999998</v>
      </c>
      <c r="F372" s="292">
        <v>1144.400024</v>
      </c>
      <c r="G372" s="292">
        <v>1431.55</v>
      </c>
      <c r="H372" s="292">
        <v>1340.150024</v>
      </c>
      <c r="I372" s="292">
        <v>265.5</v>
      </c>
      <c r="J372" s="197">
        <v>1722.0500489999999</v>
      </c>
      <c r="L372" s="297">
        <f t="shared" si="87"/>
        <v>4.3407555949188424E-3</v>
      </c>
      <c r="M372" s="298">
        <f t="shared" si="88"/>
        <v>1.2088824021273398E-2</v>
      </c>
      <c r="N372" s="298">
        <f t="shared" si="89"/>
        <v>-2.4309522364310554E-2</v>
      </c>
      <c r="O372" s="298">
        <f t="shared" si="90"/>
        <v>1.0346974553489022E-2</v>
      </c>
      <c r="P372" s="298">
        <f t="shared" si="91"/>
        <v>-4.9474005170958204E-3</v>
      </c>
      <c r="Q372" s="298">
        <f t="shared" si="92"/>
        <v>-2.1987911588608224E-3</v>
      </c>
      <c r="R372" s="298">
        <f t="shared" si="93"/>
        <v>-8.9989358685694729E-3</v>
      </c>
      <c r="S372" s="299">
        <f t="shared" si="94"/>
        <v>2.3232278846549857E-4</v>
      </c>
      <c r="U372" s="303">
        <f t="shared" si="95"/>
        <v>5.8994610154273729E-3</v>
      </c>
      <c r="V372" s="86">
        <f t="shared" si="96"/>
        <v>5.9910953228127636E-3</v>
      </c>
      <c r="W372" s="86">
        <f t="shared" si="97"/>
        <v>-2.7158025709376723E-2</v>
      </c>
      <c r="X372" s="86">
        <f t="shared" si="98"/>
        <v>9.9756470409745127E-3</v>
      </c>
      <c r="Y372" s="86">
        <f t="shared" si="99"/>
        <v>-6.0564105087894497E-3</v>
      </c>
      <c r="Z372" s="86">
        <f t="shared" si="100"/>
        <v>-3.7605837580381727E-3</v>
      </c>
      <c r="AA372" s="86">
        <f t="shared" si="101"/>
        <v>-3.2870151930259372E-3</v>
      </c>
      <c r="AB372" s="304">
        <f t="shared" si="102"/>
        <v>-3.800350881840623E-4</v>
      </c>
    </row>
    <row r="373" spans="2:28" x14ac:dyDescent="0.3">
      <c r="B373" s="271">
        <v>43567</v>
      </c>
      <c r="C373" s="292">
        <v>183.9</v>
      </c>
      <c r="D373" s="292">
        <v>37</v>
      </c>
      <c r="E373" s="292">
        <v>2410.85</v>
      </c>
      <c r="F373" s="292">
        <v>1132.619995</v>
      </c>
      <c r="G373" s="292">
        <v>1438.65</v>
      </c>
      <c r="H373" s="292">
        <v>1343.099976</v>
      </c>
      <c r="I373" s="292">
        <v>267.89999999999998</v>
      </c>
      <c r="J373" s="197">
        <v>1721.650024</v>
      </c>
      <c r="L373" s="297">
        <f t="shared" si="87"/>
        <v>1.5066714269189256E-2</v>
      </c>
      <c r="M373" s="298">
        <f t="shared" si="88"/>
        <v>2.7398974188114347E-2</v>
      </c>
      <c r="N373" s="298">
        <f t="shared" si="89"/>
        <v>8.8115473628051361E-3</v>
      </c>
      <c r="O373" s="298">
        <f t="shared" si="90"/>
        <v>3.4227028629588599E-3</v>
      </c>
      <c r="P373" s="298">
        <f t="shared" si="91"/>
        <v>1.0832449204274447E-2</v>
      </c>
      <c r="Q373" s="298">
        <f t="shared" si="92"/>
        <v>-2.7510876235344959E-3</v>
      </c>
      <c r="R373" s="298">
        <f t="shared" si="93"/>
        <v>-4.2834593848657312E-3</v>
      </c>
      <c r="S373" s="299">
        <f t="shared" si="94"/>
        <v>6.5558719341914781E-3</v>
      </c>
      <c r="U373" s="303">
        <f t="shared" si="95"/>
        <v>1.6625419689697787E-2</v>
      </c>
      <c r="V373" s="86">
        <f t="shared" si="96"/>
        <v>2.1301245489653713E-2</v>
      </c>
      <c r="W373" s="86">
        <f t="shared" si="97"/>
        <v>5.9630440177389672E-3</v>
      </c>
      <c r="X373" s="86">
        <f t="shared" si="98"/>
        <v>3.0513753504443505E-3</v>
      </c>
      <c r="Y373" s="86">
        <f t="shared" si="99"/>
        <v>9.7234392125808179E-3</v>
      </c>
      <c r="Z373" s="86">
        <f t="shared" si="100"/>
        <v>-4.3128802227118462E-3</v>
      </c>
      <c r="AA373" s="86">
        <f t="shared" si="101"/>
        <v>1.4284612906778045E-3</v>
      </c>
      <c r="AB373" s="304">
        <f t="shared" si="102"/>
        <v>5.943514057541917E-3</v>
      </c>
    </row>
    <row r="374" spans="2:28" x14ac:dyDescent="0.3">
      <c r="B374" s="271">
        <v>43566</v>
      </c>
      <c r="C374" s="292">
        <v>181.15</v>
      </c>
      <c r="D374" s="292">
        <v>36</v>
      </c>
      <c r="E374" s="292">
        <v>2389.6999999999998</v>
      </c>
      <c r="F374" s="292">
        <v>1128.75</v>
      </c>
      <c r="G374" s="292">
        <v>1423.15</v>
      </c>
      <c r="H374" s="292">
        <v>1346.8000489999999</v>
      </c>
      <c r="I374" s="292">
        <v>269.05</v>
      </c>
      <c r="J374" s="197">
        <v>1710.400024</v>
      </c>
      <c r="L374" s="297">
        <f t="shared" si="87"/>
        <v>-3.9772589546979202E-2</v>
      </c>
      <c r="M374" s="298">
        <f t="shared" si="88"/>
        <v>-2.604673600169986E-2</v>
      </c>
      <c r="N374" s="298">
        <f t="shared" si="89"/>
        <v>-5.9661816207669275E-3</v>
      </c>
      <c r="O374" s="298">
        <f t="shared" si="90"/>
        <v>8.9613586609304449E-3</v>
      </c>
      <c r="P374" s="298">
        <f t="shared" si="91"/>
        <v>9.3894089033753608E-3</v>
      </c>
      <c r="Q374" s="298">
        <f t="shared" si="92"/>
        <v>1.1500406476714015E-2</v>
      </c>
      <c r="R374" s="298">
        <f t="shared" si="93"/>
        <v>2.9778544246209363E-3</v>
      </c>
      <c r="S374" s="299">
        <f t="shared" si="94"/>
        <v>9.5461210284962447E-3</v>
      </c>
      <c r="U374" s="303">
        <f t="shared" si="95"/>
        <v>-3.8213884126470671E-2</v>
      </c>
      <c r="V374" s="86">
        <f t="shared" si="96"/>
        <v>-3.2144464700160497E-2</v>
      </c>
      <c r="W374" s="86">
        <f t="shared" si="97"/>
        <v>-8.8146849658330972E-3</v>
      </c>
      <c r="X374" s="86">
        <f t="shared" si="98"/>
        <v>8.5900311484159355E-3</v>
      </c>
      <c r="Y374" s="86">
        <f t="shared" si="99"/>
        <v>8.2803989116817314E-3</v>
      </c>
      <c r="Z374" s="86">
        <f t="shared" si="100"/>
        <v>9.9386138775366638E-3</v>
      </c>
      <c r="AA374" s="86">
        <f t="shared" si="101"/>
        <v>8.6897751001644725E-3</v>
      </c>
      <c r="AB374" s="304">
        <f t="shared" si="102"/>
        <v>8.9337631518466836E-3</v>
      </c>
    </row>
    <row r="375" spans="2:28" x14ac:dyDescent="0.3">
      <c r="B375" s="271">
        <v>43565</v>
      </c>
      <c r="C375" s="292">
        <v>188.5</v>
      </c>
      <c r="D375" s="292">
        <v>36.950001</v>
      </c>
      <c r="E375" s="292">
        <v>2404</v>
      </c>
      <c r="F375" s="292">
        <v>1118.6800539999999</v>
      </c>
      <c r="G375" s="292">
        <v>1409.85</v>
      </c>
      <c r="H375" s="292">
        <v>1331.400024</v>
      </c>
      <c r="I375" s="292">
        <v>268.25</v>
      </c>
      <c r="J375" s="197">
        <v>1694.150024</v>
      </c>
      <c r="L375" s="297">
        <f t="shared" si="87"/>
        <v>-7.9260652724207157E-3</v>
      </c>
      <c r="M375" s="298">
        <f t="shared" si="88"/>
        <v>-1.3522381864145233E-3</v>
      </c>
      <c r="N375" s="298">
        <f t="shared" si="89"/>
        <v>8.7948007319987274E-3</v>
      </c>
      <c r="O375" s="298">
        <f t="shared" si="90"/>
        <v>-2.2049198485274903E-2</v>
      </c>
      <c r="P375" s="298">
        <f t="shared" si="91"/>
        <v>-2.4522194195499301E-2</v>
      </c>
      <c r="Q375" s="298">
        <f t="shared" si="92"/>
        <v>-2.2881470144900154E-3</v>
      </c>
      <c r="R375" s="298">
        <f t="shared" si="93"/>
        <v>-8.7223342258799085E-3</v>
      </c>
      <c r="S375" s="299">
        <f t="shared" si="94"/>
        <v>8.0897861089294209E-3</v>
      </c>
      <c r="U375" s="303">
        <f t="shared" si="95"/>
        <v>-6.3673598519121853E-3</v>
      </c>
      <c r="V375" s="86">
        <f t="shared" si="96"/>
        <v>-7.4499668848751572E-3</v>
      </c>
      <c r="W375" s="86">
        <f t="shared" si="97"/>
        <v>5.9462973869325586E-3</v>
      </c>
      <c r="X375" s="86">
        <f t="shared" si="98"/>
        <v>-2.242052599778941E-2</v>
      </c>
      <c r="Y375" s="86">
        <f t="shared" si="99"/>
        <v>-2.5631204187192929E-2</v>
      </c>
      <c r="Z375" s="86">
        <f t="shared" si="100"/>
        <v>-3.8499396136673662E-3</v>
      </c>
      <c r="AA375" s="86">
        <f t="shared" si="101"/>
        <v>-3.0104135503363728E-3</v>
      </c>
      <c r="AB375" s="304">
        <f t="shared" si="102"/>
        <v>7.4774282322798598E-3</v>
      </c>
    </row>
    <row r="376" spans="2:28" x14ac:dyDescent="0.3">
      <c r="B376" s="271">
        <v>43564</v>
      </c>
      <c r="C376" s="292">
        <v>190</v>
      </c>
      <c r="D376" s="292">
        <v>37</v>
      </c>
      <c r="E376" s="292">
        <v>2382.9499999999998</v>
      </c>
      <c r="F376" s="292">
        <v>1143.619995</v>
      </c>
      <c r="G376" s="292">
        <v>1444.85</v>
      </c>
      <c r="H376" s="292">
        <v>1334.4499510000001</v>
      </c>
      <c r="I376" s="292">
        <v>270.60000000000002</v>
      </c>
      <c r="J376" s="197">
        <v>1680.5</v>
      </c>
      <c r="L376" s="297">
        <f t="shared" si="87"/>
        <v>1.7788866799893305E-2</v>
      </c>
      <c r="M376" s="298">
        <f t="shared" si="88"/>
        <v>2.0478531343540701E-2</v>
      </c>
      <c r="N376" s="298">
        <f t="shared" si="89"/>
        <v>-9.4376232585130135E-4</v>
      </c>
      <c r="O376" s="298">
        <f t="shared" si="90"/>
        <v>-9.4388556291473836E-4</v>
      </c>
      <c r="P376" s="298">
        <f t="shared" si="91"/>
        <v>-3.502329946003218E-2</v>
      </c>
      <c r="Q376" s="298">
        <f t="shared" si="92"/>
        <v>3.9043118227832124E-3</v>
      </c>
      <c r="R376" s="298">
        <f t="shared" si="93"/>
        <v>3.9767795517606189E-2</v>
      </c>
      <c r="S376" s="299">
        <f t="shared" si="94"/>
        <v>9.3262921990737453E-3</v>
      </c>
      <c r="U376" s="303">
        <f t="shared" si="95"/>
        <v>1.9347572220401836E-2</v>
      </c>
      <c r="V376" s="86">
        <f t="shared" si="96"/>
        <v>1.4380802645080067E-2</v>
      </c>
      <c r="W376" s="86">
        <f t="shared" si="97"/>
        <v>-3.7922656709174704E-3</v>
      </c>
      <c r="X376" s="86">
        <f t="shared" si="98"/>
        <v>-1.3152130754292477E-3</v>
      </c>
      <c r="Y376" s="86">
        <f t="shared" si="99"/>
        <v>-3.6132309451725811E-2</v>
      </c>
      <c r="Z376" s="86">
        <f t="shared" si="100"/>
        <v>2.3425192236058616E-3</v>
      </c>
      <c r="AA376" s="86">
        <f t="shared" si="101"/>
        <v>4.5479716193149722E-2</v>
      </c>
      <c r="AB376" s="304">
        <f t="shared" si="102"/>
        <v>8.7139343224241841E-3</v>
      </c>
    </row>
    <row r="377" spans="2:28" x14ac:dyDescent="0.3">
      <c r="B377" s="271">
        <v>43563</v>
      </c>
      <c r="C377" s="292">
        <v>186.65</v>
      </c>
      <c r="D377" s="292">
        <v>36.25</v>
      </c>
      <c r="E377" s="292">
        <v>2385.1999999999998</v>
      </c>
      <c r="F377" s="292">
        <v>1144.6999510000001</v>
      </c>
      <c r="G377" s="292">
        <v>1496.35</v>
      </c>
      <c r="H377" s="292">
        <v>1329.25</v>
      </c>
      <c r="I377" s="292">
        <v>260.05</v>
      </c>
      <c r="J377" s="197">
        <v>1664.900024</v>
      </c>
      <c r="L377" s="297">
        <f t="shared" si="87"/>
        <v>-2.6696444691005822E-2</v>
      </c>
      <c r="M377" s="298">
        <f t="shared" si="88"/>
        <v>-1.0974101602234502E-2</v>
      </c>
      <c r="N377" s="298">
        <f t="shared" si="89"/>
        <v>-7.7531566563874275E-4</v>
      </c>
      <c r="O377" s="298">
        <f t="shared" si="90"/>
        <v>-7.0512570720616457E-3</v>
      </c>
      <c r="P377" s="298">
        <f t="shared" si="91"/>
        <v>-1.2023527336255675E-2</v>
      </c>
      <c r="Q377" s="298">
        <f t="shared" si="92"/>
        <v>-1.8374460843184847E-2</v>
      </c>
      <c r="R377" s="298">
        <f t="shared" si="93"/>
        <v>-2.5812782560872362E-2</v>
      </c>
      <c r="S377" s="299">
        <f t="shared" si="94"/>
        <v>3.4898037824512168E-3</v>
      </c>
      <c r="U377" s="303">
        <f t="shared" si="95"/>
        <v>-2.513773927049729E-2</v>
      </c>
      <c r="V377" s="86">
        <f t="shared" si="96"/>
        <v>-1.7071830300695135E-2</v>
      </c>
      <c r="W377" s="86">
        <f t="shared" si="97"/>
        <v>-3.6238190107049121E-3</v>
      </c>
      <c r="X377" s="86">
        <f t="shared" si="98"/>
        <v>-7.4225845845761551E-3</v>
      </c>
      <c r="Y377" s="86">
        <f t="shared" si="99"/>
        <v>-1.3132537327949305E-2</v>
      </c>
      <c r="Z377" s="86">
        <f t="shared" si="100"/>
        <v>-1.9936253442362196E-2</v>
      </c>
      <c r="AA377" s="86">
        <f t="shared" si="101"/>
        <v>-2.0100861885328825E-2</v>
      </c>
      <c r="AB377" s="304">
        <f t="shared" si="102"/>
        <v>2.8774459058016561E-3</v>
      </c>
    </row>
    <row r="378" spans="2:28" x14ac:dyDescent="0.3">
      <c r="B378" s="271">
        <v>43560</v>
      </c>
      <c r="C378" s="292">
        <v>191.7</v>
      </c>
      <c r="D378" s="292">
        <v>36.650002000000001</v>
      </c>
      <c r="E378" s="292">
        <v>2387.0500000000002</v>
      </c>
      <c r="F378" s="292">
        <v>1152.8000489999999</v>
      </c>
      <c r="G378" s="292">
        <v>1514.45</v>
      </c>
      <c r="H378" s="292">
        <v>1353.900024</v>
      </c>
      <c r="I378" s="292">
        <v>266.85000000000002</v>
      </c>
      <c r="J378" s="197">
        <v>1659.099976</v>
      </c>
      <c r="L378" s="297">
        <f t="shared" si="87"/>
        <v>2.3754086008107057E-2</v>
      </c>
      <c r="M378" s="298">
        <f t="shared" si="88"/>
        <v>-8.152191554891627E-3</v>
      </c>
      <c r="N378" s="298">
        <f t="shared" si="89"/>
        <v>7.333913390418764E-4</v>
      </c>
      <c r="O378" s="298">
        <f t="shared" si="90"/>
        <v>9.4389924166049955E-3</v>
      </c>
      <c r="P378" s="298">
        <f t="shared" si="91"/>
        <v>-2.9998868695657599E-3</v>
      </c>
      <c r="Q378" s="298">
        <f t="shared" si="92"/>
        <v>6.2799461017930009E-4</v>
      </c>
      <c r="R378" s="298">
        <f t="shared" si="93"/>
        <v>-4.4868274935928112E-3</v>
      </c>
      <c r="S378" s="299">
        <f t="shared" si="94"/>
        <v>-4.4803785164356487E-3</v>
      </c>
      <c r="U378" s="303">
        <f t="shared" si="95"/>
        <v>2.5312791428615589E-2</v>
      </c>
      <c r="V378" s="86">
        <f t="shared" si="96"/>
        <v>-1.4249920253352262E-2</v>
      </c>
      <c r="W378" s="86">
        <f t="shared" si="97"/>
        <v>-2.1151120060242928E-3</v>
      </c>
      <c r="X378" s="86">
        <f t="shared" si="98"/>
        <v>9.0676649040904861E-3</v>
      </c>
      <c r="Y378" s="86">
        <f t="shared" si="99"/>
        <v>-4.1088968612593892E-3</v>
      </c>
      <c r="Z378" s="86">
        <f t="shared" si="100"/>
        <v>-9.3379798899805044E-4</v>
      </c>
      <c r="AA378" s="86">
        <f t="shared" si="101"/>
        <v>1.2250931819507245E-3</v>
      </c>
      <c r="AB378" s="304">
        <f t="shared" si="102"/>
        <v>-5.0927363930852098E-3</v>
      </c>
    </row>
    <row r="379" spans="2:28" x14ac:dyDescent="0.3">
      <c r="B379" s="271">
        <v>43559</v>
      </c>
      <c r="C379" s="292">
        <v>187.2</v>
      </c>
      <c r="D379" s="292">
        <v>36.950001</v>
      </c>
      <c r="E379" s="292">
        <v>2385.3000000000002</v>
      </c>
      <c r="F379" s="292">
        <v>1141.969971</v>
      </c>
      <c r="G379" s="292">
        <v>1519</v>
      </c>
      <c r="H379" s="292">
        <v>1353.0500489999999</v>
      </c>
      <c r="I379" s="292">
        <v>268.05</v>
      </c>
      <c r="J379" s="197">
        <v>1666.5500489999999</v>
      </c>
      <c r="L379" s="297">
        <f t="shared" si="87"/>
        <v>7.5067376637533512E-3</v>
      </c>
      <c r="M379" s="298">
        <f t="shared" si="88"/>
        <v>-8.0862703677585974E-3</v>
      </c>
      <c r="N379" s="298">
        <f t="shared" si="89"/>
        <v>3.6540077196215563E-3</v>
      </c>
      <c r="O379" s="298">
        <f t="shared" si="90"/>
        <v>-3.8543400317693501E-3</v>
      </c>
      <c r="P379" s="298">
        <f t="shared" si="91"/>
        <v>1.418839687244537E-2</v>
      </c>
      <c r="Q379" s="298">
        <f t="shared" si="92"/>
        <v>-1.623779982000461E-2</v>
      </c>
      <c r="R379" s="298">
        <f t="shared" si="93"/>
        <v>-2.0859085773086605E-2</v>
      </c>
      <c r="S379" s="299">
        <f t="shared" si="94"/>
        <v>-2.5469322502171166E-3</v>
      </c>
      <c r="U379" s="303">
        <f t="shared" si="95"/>
        <v>9.0654430842618816E-3</v>
      </c>
      <c r="V379" s="86">
        <f t="shared" si="96"/>
        <v>-1.4183999066219231E-2</v>
      </c>
      <c r="W379" s="86">
        <f t="shared" si="97"/>
        <v>8.05504374555387E-4</v>
      </c>
      <c r="X379" s="86">
        <f t="shared" si="98"/>
        <v>-4.2256675442838591E-3</v>
      </c>
      <c r="Y379" s="86">
        <f t="shared" si="99"/>
        <v>1.3079386880751741E-2</v>
      </c>
      <c r="Z379" s="86">
        <f t="shared" si="100"/>
        <v>-1.7799592419181959E-2</v>
      </c>
      <c r="AA379" s="86">
        <f t="shared" si="101"/>
        <v>-1.5147165097543068E-2</v>
      </c>
      <c r="AB379" s="304">
        <f t="shared" si="102"/>
        <v>-3.1592901268666772E-3</v>
      </c>
    </row>
    <row r="380" spans="2:28" x14ac:dyDescent="0.3">
      <c r="B380" s="271">
        <v>43558</v>
      </c>
      <c r="C380" s="292">
        <v>185.8</v>
      </c>
      <c r="D380" s="292">
        <v>37.25</v>
      </c>
      <c r="E380" s="292">
        <v>2376.6</v>
      </c>
      <c r="F380" s="292">
        <v>1146.380005</v>
      </c>
      <c r="G380" s="292">
        <v>1497.6</v>
      </c>
      <c r="H380" s="292">
        <v>1375.1999510000001</v>
      </c>
      <c r="I380" s="292">
        <v>273.7</v>
      </c>
      <c r="J380" s="197">
        <v>1670.8000489999999</v>
      </c>
      <c r="L380" s="297">
        <f t="shared" si="87"/>
        <v>-1.1239080039681409E-2</v>
      </c>
      <c r="M380" s="298">
        <f t="shared" si="88"/>
        <v>-1.3333530869465144E-2</v>
      </c>
      <c r="N380" s="298">
        <f t="shared" si="89"/>
        <v>-2.3535355908745502E-3</v>
      </c>
      <c r="O380" s="298">
        <f t="shared" si="90"/>
        <v>-9.1555015135514868E-4</v>
      </c>
      <c r="P380" s="298">
        <f t="shared" si="91"/>
        <v>-1.4385875726393212E-2</v>
      </c>
      <c r="Q380" s="298">
        <f t="shared" si="92"/>
        <v>-1.0488721795669233E-2</v>
      </c>
      <c r="R380" s="298">
        <f t="shared" si="93"/>
        <v>-2.3827842124109332E-2</v>
      </c>
      <c r="S380" s="299">
        <f t="shared" si="94"/>
        <v>-9.7381461022709708E-3</v>
      </c>
      <c r="U380" s="303">
        <f t="shared" si="95"/>
        <v>-9.6803746191728799E-3</v>
      </c>
      <c r="V380" s="86">
        <f t="shared" si="96"/>
        <v>-1.9431259567925779E-2</v>
      </c>
      <c r="W380" s="86">
        <f t="shared" si="97"/>
        <v>-5.2020389359407199E-3</v>
      </c>
      <c r="X380" s="86">
        <f t="shared" si="98"/>
        <v>-1.2868776638696581E-3</v>
      </c>
      <c r="Y380" s="86">
        <f t="shared" si="99"/>
        <v>-1.5494885718086842E-2</v>
      </c>
      <c r="Z380" s="86">
        <f t="shared" si="100"/>
        <v>-1.2050514394846584E-2</v>
      </c>
      <c r="AA380" s="86">
        <f t="shared" si="101"/>
        <v>-1.8115921448565796E-2</v>
      </c>
      <c r="AB380" s="304">
        <f t="shared" si="102"/>
        <v>-1.0350503978920532E-2</v>
      </c>
    </row>
    <row r="381" spans="2:28" x14ac:dyDescent="0.3">
      <c r="B381" s="271">
        <v>43557</v>
      </c>
      <c r="C381" s="292">
        <v>187.9</v>
      </c>
      <c r="D381" s="292">
        <v>37.75</v>
      </c>
      <c r="E381" s="292">
        <v>2382.1999999999998</v>
      </c>
      <c r="F381" s="292">
        <v>1147.4300539999999</v>
      </c>
      <c r="G381" s="292">
        <v>1519.3</v>
      </c>
      <c r="H381" s="292">
        <v>1389.6999510000001</v>
      </c>
      <c r="I381" s="292">
        <v>280.3</v>
      </c>
      <c r="J381" s="197">
        <v>1687.150024</v>
      </c>
      <c r="L381" s="297">
        <f t="shared" si="87"/>
        <v>-5.3078680880442675E-3</v>
      </c>
      <c r="M381" s="298">
        <f t="shared" si="88"/>
        <v>-2.485415018049535E-2</v>
      </c>
      <c r="N381" s="298">
        <f t="shared" si="89"/>
        <v>1.1760754043746854E-3</v>
      </c>
      <c r="O381" s="298">
        <f t="shared" si="90"/>
        <v>-7.3545761062275674E-3</v>
      </c>
      <c r="P381" s="298">
        <f t="shared" si="91"/>
        <v>1.7629646022618867E-2</v>
      </c>
      <c r="Q381" s="298">
        <f t="shared" si="92"/>
        <v>-1.5459189909332418E-3</v>
      </c>
      <c r="R381" s="298">
        <f t="shared" si="93"/>
        <v>1.5821976947502304E-2</v>
      </c>
      <c r="S381" s="299">
        <f t="shared" si="94"/>
        <v>-1.6877998645599879E-3</v>
      </c>
      <c r="U381" s="303">
        <f t="shared" si="95"/>
        <v>-3.7491626675357371E-3</v>
      </c>
      <c r="V381" s="86">
        <f t="shared" si="96"/>
        <v>-3.0951878878955983E-2</v>
      </c>
      <c r="W381" s="86">
        <f t="shared" si="97"/>
        <v>-1.6724279406914839E-3</v>
      </c>
      <c r="X381" s="86">
        <f t="shared" si="98"/>
        <v>-7.7259036187420768E-3</v>
      </c>
      <c r="Y381" s="86">
        <f t="shared" si="99"/>
        <v>1.652063603092524E-2</v>
      </c>
      <c r="Z381" s="86">
        <f t="shared" si="100"/>
        <v>-3.1077115901105923E-3</v>
      </c>
      <c r="AA381" s="86">
        <f t="shared" si="101"/>
        <v>2.153389762304584E-2</v>
      </c>
      <c r="AB381" s="304">
        <f t="shared" si="102"/>
        <v>-2.3001577412095488E-3</v>
      </c>
    </row>
    <row r="382" spans="2:28" x14ac:dyDescent="0.3">
      <c r="B382" s="271">
        <v>43556</v>
      </c>
      <c r="C382" s="292">
        <v>188.9</v>
      </c>
      <c r="D382" s="292">
        <v>38.700001</v>
      </c>
      <c r="E382" s="292">
        <v>2379.4</v>
      </c>
      <c r="F382" s="292">
        <v>1155.900024</v>
      </c>
      <c r="G382" s="292">
        <v>1492.75</v>
      </c>
      <c r="H382" s="292">
        <v>1391.849976</v>
      </c>
      <c r="I382" s="292">
        <v>275.89999999999998</v>
      </c>
      <c r="J382" s="197">
        <v>1690</v>
      </c>
      <c r="L382" s="297">
        <f t="shared" si="87"/>
        <v>2.3839350464779301E-2</v>
      </c>
      <c r="M382" s="298">
        <f t="shared" si="88"/>
        <v>7.6496114617906855E-2</v>
      </c>
      <c r="N382" s="298">
        <f t="shared" si="89"/>
        <v>1.2007585502356135E-2</v>
      </c>
      <c r="O382" s="298">
        <f t="shared" si="90"/>
        <v>3.9006679773644971E-3</v>
      </c>
      <c r="P382" s="298">
        <f t="shared" si="91"/>
        <v>3.3495787907764928E-5</v>
      </c>
      <c r="Q382" s="298">
        <f t="shared" si="92"/>
        <v>2.3149080493962665E-2</v>
      </c>
      <c r="R382" s="298">
        <f t="shared" si="93"/>
        <v>2.9038132927112848E-3</v>
      </c>
      <c r="S382" s="299">
        <f t="shared" si="94"/>
        <v>3.6159830482280293E-3</v>
      </c>
      <c r="U382" s="303">
        <f t="shared" si="95"/>
        <v>2.5398055885287832E-2</v>
      </c>
      <c r="V382" s="86">
        <f t="shared" si="96"/>
        <v>7.0398385919446221E-2</v>
      </c>
      <c r="W382" s="86">
        <f t="shared" si="97"/>
        <v>9.1590821572899665E-3</v>
      </c>
      <c r="X382" s="86">
        <f t="shared" si="98"/>
        <v>3.5293404648499877E-3</v>
      </c>
      <c r="Y382" s="86">
        <f t="shared" si="99"/>
        <v>-1.0755142037858639E-3</v>
      </c>
      <c r="Z382" s="86">
        <f t="shared" si="100"/>
        <v>2.1587287894785315E-2</v>
      </c>
      <c r="AA382" s="86">
        <f t="shared" si="101"/>
        <v>8.6157339682548205E-3</v>
      </c>
      <c r="AB382" s="304">
        <f t="shared" si="102"/>
        <v>3.0036251715784687E-3</v>
      </c>
    </row>
    <row r="383" spans="2:28" x14ac:dyDescent="0.3">
      <c r="B383" s="271">
        <v>43553</v>
      </c>
      <c r="C383" s="292">
        <v>184.45</v>
      </c>
      <c r="D383" s="292">
        <v>35.849997999999999</v>
      </c>
      <c r="E383" s="292">
        <v>2351</v>
      </c>
      <c r="F383" s="292">
        <v>1151.400024</v>
      </c>
      <c r="G383" s="292">
        <v>1492.7</v>
      </c>
      <c r="H383" s="292">
        <v>1360</v>
      </c>
      <c r="I383" s="292">
        <v>275.10000000000002</v>
      </c>
      <c r="J383" s="197">
        <v>1683.900024</v>
      </c>
      <c r="L383" s="297">
        <f t="shared" si="87"/>
        <v>3.5314014318897843E-2</v>
      </c>
      <c r="M383" s="298">
        <f t="shared" si="88"/>
        <v>0</v>
      </c>
      <c r="N383" s="298">
        <f t="shared" si="89"/>
        <v>-5.5143299859192578E-3</v>
      </c>
      <c r="O383" s="298">
        <f t="shared" si="90"/>
        <v>0</v>
      </c>
      <c r="P383" s="298">
        <f t="shared" si="91"/>
        <v>-2.8765447804342949E-3</v>
      </c>
      <c r="Q383" s="298">
        <f t="shared" si="92"/>
        <v>0</v>
      </c>
      <c r="R383" s="298">
        <f t="shared" si="93"/>
        <v>-3.6284510055798864E-3</v>
      </c>
      <c r="S383" s="299">
        <f t="shared" si="94"/>
        <v>0</v>
      </c>
      <c r="U383" s="303">
        <f t="shared" si="95"/>
        <v>3.6872719739406375E-2</v>
      </c>
      <c r="V383" s="86">
        <f t="shared" si="96"/>
        <v>-6.0977286984606341E-3</v>
      </c>
      <c r="W383" s="86">
        <f t="shared" si="97"/>
        <v>-8.3628333309854266E-3</v>
      </c>
      <c r="X383" s="86">
        <f t="shared" si="98"/>
        <v>-3.7132751251450931E-4</v>
      </c>
      <c r="Y383" s="86">
        <f t="shared" si="99"/>
        <v>-3.9855547721279238E-3</v>
      </c>
      <c r="Z383" s="86">
        <f t="shared" si="100"/>
        <v>-1.5617925991773505E-3</v>
      </c>
      <c r="AA383" s="86">
        <f t="shared" si="101"/>
        <v>2.0834696699636493E-3</v>
      </c>
      <c r="AB383" s="304">
        <f t="shared" si="102"/>
        <v>-6.1235787664956089E-4</v>
      </c>
    </row>
    <row r="384" spans="2:28" x14ac:dyDescent="0.3">
      <c r="B384" s="271">
        <v>43552</v>
      </c>
      <c r="C384" s="292">
        <v>178.05</v>
      </c>
      <c r="D384" s="292">
        <v>35.849997999999999</v>
      </c>
      <c r="E384" s="292">
        <v>2364</v>
      </c>
      <c r="F384" s="292">
        <v>1151.400024</v>
      </c>
      <c r="G384" s="292">
        <v>1497</v>
      </c>
      <c r="H384" s="292">
        <v>1360</v>
      </c>
      <c r="I384" s="292">
        <v>276.10000000000002</v>
      </c>
      <c r="J384" s="197">
        <v>1683.900024</v>
      </c>
      <c r="L384" s="297">
        <f t="shared" si="87"/>
        <v>1.4710307694562828E-2</v>
      </c>
      <c r="M384" s="298">
        <f t="shared" si="88"/>
        <v>8.4033831377678583E-3</v>
      </c>
      <c r="N384" s="298">
        <f t="shared" si="89"/>
        <v>2.3716765309713117E-3</v>
      </c>
      <c r="O384" s="298">
        <f t="shared" si="90"/>
        <v>1.4602048586493507E-3</v>
      </c>
      <c r="P384" s="298">
        <f t="shared" si="91"/>
        <v>1.6807118316381191E-2</v>
      </c>
      <c r="Q384" s="298">
        <f t="shared" si="92"/>
        <v>7.9358172313454892E-3</v>
      </c>
      <c r="R384" s="298">
        <f t="shared" si="93"/>
        <v>2.8098442067530354E-2</v>
      </c>
      <c r="S384" s="299">
        <f t="shared" si="94"/>
        <v>1.8426461853164734E-3</v>
      </c>
      <c r="U384" s="303">
        <f t="shared" si="95"/>
        <v>1.6269013115071358E-2</v>
      </c>
      <c r="V384" s="86">
        <f t="shared" si="96"/>
        <v>2.3056544393072241E-3</v>
      </c>
      <c r="W384" s="86">
        <f t="shared" si="97"/>
        <v>-4.7682681409485757E-4</v>
      </c>
      <c r="X384" s="86">
        <f t="shared" si="98"/>
        <v>1.0888773461348415E-3</v>
      </c>
      <c r="Y384" s="86">
        <f t="shared" si="99"/>
        <v>1.5698108324687564E-2</v>
      </c>
      <c r="Z384" s="86">
        <f t="shared" si="100"/>
        <v>6.3740246321681389E-3</v>
      </c>
      <c r="AA384" s="86">
        <f t="shared" si="101"/>
        <v>3.3810362743073891E-2</v>
      </c>
      <c r="AB384" s="304">
        <f t="shared" si="102"/>
        <v>1.2302883086669125E-3</v>
      </c>
    </row>
    <row r="385" spans="2:28" x14ac:dyDescent="0.3">
      <c r="B385" s="271">
        <v>43551</v>
      </c>
      <c r="C385" s="292">
        <v>175.45</v>
      </c>
      <c r="D385" s="292">
        <v>35.549999</v>
      </c>
      <c r="E385" s="292">
        <v>2358.4</v>
      </c>
      <c r="F385" s="292">
        <v>1149.719971</v>
      </c>
      <c r="G385" s="292">
        <v>1472.05</v>
      </c>
      <c r="H385" s="292">
        <v>1349.25</v>
      </c>
      <c r="I385" s="292">
        <v>268.45</v>
      </c>
      <c r="J385" s="197">
        <v>1680.8000489999999</v>
      </c>
      <c r="L385" s="297">
        <f t="shared" si="87"/>
        <v>1.0600299802974247E-2</v>
      </c>
      <c r="M385" s="298">
        <f t="shared" si="88"/>
        <v>-1.118898386361274E-2</v>
      </c>
      <c r="N385" s="298">
        <f t="shared" si="89"/>
        <v>-1.5545934959968196E-2</v>
      </c>
      <c r="O385" s="298">
        <f t="shared" si="90"/>
        <v>-5.1705528010235428E-3</v>
      </c>
      <c r="P385" s="298">
        <f t="shared" si="91"/>
        <v>-8.7924546004000646E-3</v>
      </c>
      <c r="Q385" s="298">
        <f t="shared" si="92"/>
        <v>-1.3252540728129989E-2</v>
      </c>
      <c r="R385" s="298">
        <f t="shared" si="93"/>
        <v>5.6512210263342404E-2</v>
      </c>
      <c r="S385" s="299">
        <f t="shared" si="94"/>
        <v>-1.7832733208318766E-3</v>
      </c>
      <c r="U385" s="303">
        <f t="shared" si="95"/>
        <v>1.2159005223482776E-2</v>
      </c>
      <c r="V385" s="86">
        <f t="shared" si="96"/>
        <v>-1.7286712562073373E-2</v>
      </c>
      <c r="W385" s="86">
        <f t="shared" si="97"/>
        <v>-1.8394438305034365E-2</v>
      </c>
      <c r="X385" s="86">
        <f t="shared" si="98"/>
        <v>-5.5418803135380522E-3</v>
      </c>
      <c r="Y385" s="86">
        <f t="shared" si="99"/>
        <v>-9.901464592093694E-3</v>
      </c>
      <c r="Z385" s="86">
        <f t="shared" si="100"/>
        <v>-1.481433332730734E-2</v>
      </c>
      <c r="AA385" s="86">
        <f t="shared" si="101"/>
        <v>6.2224130938885937E-2</v>
      </c>
      <c r="AB385" s="304">
        <f t="shared" si="102"/>
        <v>-2.3956311974814375E-3</v>
      </c>
    </row>
    <row r="386" spans="2:28" x14ac:dyDescent="0.3">
      <c r="B386" s="271">
        <v>43550</v>
      </c>
      <c r="C386" s="292">
        <v>173.6</v>
      </c>
      <c r="D386" s="292">
        <v>35.950001</v>
      </c>
      <c r="E386" s="292">
        <v>2395.35</v>
      </c>
      <c r="F386" s="292">
        <v>1155.6800539999999</v>
      </c>
      <c r="G386" s="292">
        <v>1485.05</v>
      </c>
      <c r="H386" s="292">
        <v>1367.25</v>
      </c>
      <c r="I386" s="292">
        <v>253.7</v>
      </c>
      <c r="J386" s="197">
        <v>1683.8000489999999</v>
      </c>
      <c r="L386" s="297">
        <f t="shared" si="87"/>
        <v>3.13028337014125E-2</v>
      </c>
      <c r="M386" s="298">
        <f t="shared" si="88"/>
        <v>2.2504436827790335E-2</v>
      </c>
      <c r="N386" s="298">
        <f t="shared" si="89"/>
        <v>8.595080375524828E-3</v>
      </c>
      <c r="O386" s="298">
        <f t="shared" si="90"/>
        <v>1.3090665648754262E-2</v>
      </c>
      <c r="P386" s="298">
        <f t="shared" si="91"/>
        <v>1.8691497750089481E-2</v>
      </c>
      <c r="Q386" s="298">
        <f t="shared" si="92"/>
        <v>3.1804181318175549E-2</v>
      </c>
      <c r="R386" s="298">
        <f t="shared" si="93"/>
        <v>2.5752496102414549E-2</v>
      </c>
      <c r="S386" s="299">
        <f t="shared" si="94"/>
        <v>5.9268250427890962E-3</v>
      </c>
      <c r="U386" s="303">
        <f t="shared" si="95"/>
        <v>3.2861539121921031E-2</v>
      </c>
      <c r="V386" s="86">
        <f t="shared" si="96"/>
        <v>1.6406708129329702E-2</v>
      </c>
      <c r="W386" s="86">
        <f t="shared" si="97"/>
        <v>5.7465770304586591E-3</v>
      </c>
      <c r="X386" s="86">
        <f t="shared" si="98"/>
        <v>1.2719338136239752E-2</v>
      </c>
      <c r="Y386" s="86">
        <f t="shared" si="99"/>
        <v>1.7582487758395854E-2</v>
      </c>
      <c r="Z386" s="86">
        <f t="shared" si="100"/>
        <v>3.02423887189982E-2</v>
      </c>
      <c r="AA386" s="86">
        <f t="shared" si="101"/>
        <v>3.1464416777958082E-2</v>
      </c>
      <c r="AB386" s="304">
        <f t="shared" si="102"/>
        <v>5.3144671661395351E-3</v>
      </c>
    </row>
    <row r="387" spans="2:28" x14ac:dyDescent="0.3">
      <c r="B387" s="271">
        <v>43549</v>
      </c>
      <c r="C387" s="292">
        <v>168.25</v>
      </c>
      <c r="D387" s="292">
        <v>35.150002000000001</v>
      </c>
      <c r="E387" s="292">
        <v>2374.85</v>
      </c>
      <c r="F387" s="292">
        <v>1140.650024</v>
      </c>
      <c r="G387" s="292">
        <v>1457.55</v>
      </c>
      <c r="H387" s="292">
        <v>1324.4499510000001</v>
      </c>
      <c r="I387" s="292">
        <v>247.25</v>
      </c>
      <c r="J387" s="197">
        <v>1673.849976</v>
      </c>
      <c r="L387" s="297">
        <f t="shared" si="87"/>
        <v>-3.302945283540018E-2</v>
      </c>
      <c r="M387" s="298">
        <f t="shared" si="88"/>
        <v>-2.3894263300433424E-2</v>
      </c>
      <c r="N387" s="298">
        <f t="shared" si="89"/>
        <v>-3.9648179144670559E-2</v>
      </c>
      <c r="O387" s="298">
        <f t="shared" si="90"/>
        <v>2.2644986101941801E-3</v>
      </c>
      <c r="P387" s="298">
        <f t="shared" si="91"/>
        <v>-9.3554356209288175E-3</v>
      </c>
      <c r="Q387" s="298">
        <f t="shared" si="92"/>
        <v>-1.297749014823156E-2</v>
      </c>
      <c r="R387" s="298">
        <f t="shared" si="93"/>
        <v>-2.1407239413569215E-2</v>
      </c>
      <c r="S387" s="299">
        <f t="shared" si="94"/>
        <v>-2.5060861999914837E-3</v>
      </c>
      <c r="U387" s="303">
        <f t="shared" si="95"/>
        <v>-3.1470747414891649E-2</v>
      </c>
      <c r="V387" s="86">
        <f t="shared" si="96"/>
        <v>-2.9991991998894057E-2</v>
      </c>
      <c r="W387" s="86">
        <f t="shared" si="97"/>
        <v>-4.2496682489736731E-2</v>
      </c>
      <c r="X387" s="86">
        <f t="shared" si="98"/>
        <v>1.8931710976796707E-3</v>
      </c>
      <c r="Y387" s="86">
        <f t="shared" si="99"/>
        <v>-1.0464445612622447E-2</v>
      </c>
      <c r="Z387" s="86">
        <f t="shared" si="100"/>
        <v>-1.4539282747408911E-2</v>
      </c>
      <c r="AA387" s="86">
        <f t="shared" si="101"/>
        <v>-1.5695318738025679E-2</v>
      </c>
      <c r="AB387" s="304">
        <f t="shared" si="102"/>
        <v>-3.1184440766410448E-3</v>
      </c>
    </row>
    <row r="388" spans="2:28" x14ac:dyDescent="0.3">
      <c r="B388" s="271">
        <v>43546</v>
      </c>
      <c r="C388" s="292">
        <v>173.9</v>
      </c>
      <c r="D388" s="292">
        <v>36</v>
      </c>
      <c r="E388" s="292">
        <v>2470.9</v>
      </c>
      <c r="F388" s="292">
        <v>1138.0699460000001</v>
      </c>
      <c r="G388" s="292">
        <v>1471.25</v>
      </c>
      <c r="H388" s="292">
        <v>1341.75</v>
      </c>
      <c r="I388" s="292">
        <v>252.6</v>
      </c>
      <c r="J388" s="197">
        <v>1678.0500489999999</v>
      </c>
      <c r="L388" s="297">
        <f t="shared" ref="L388:L451" si="103">LN(C388/C389)</f>
        <v>-3.7308121908076878E-3</v>
      </c>
      <c r="M388" s="298">
        <f t="shared" ref="M388:M451" si="104">LN(D388/D389)</f>
        <v>-1.2422547433398996E-2</v>
      </c>
      <c r="N388" s="298">
        <f t="shared" ref="N388:N451" si="105">LN(E388/E389)</f>
        <v>-1.4284952645610506E-2</v>
      </c>
      <c r="O388" s="298">
        <f t="shared" ref="O388:O451" si="106">LN(F388/F389)</f>
        <v>-9.9932674339119759E-3</v>
      </c>
      <c r="P388" s="298">
        <f t="shared" ref="P388:P451" si="107">LN(G388/G389)</f>
        <v>1.0316413146232788E-2</v>
      </c>
      <c r="Q388" s="298">
        <f t="shared" ref="Q388:Q451" si="108">LN(H388/H389)</f>
        <v>-2.4806182604263552E-2</v>
      </c>
      <c r="R388" s="298">
        <f t="shared" ref="R388:R451" si="109">LN(I388/I389)</f>
        <v>1.7830613936563005E-3</v>
      </c>
      <c r="S388" s="299">
        <f t="shared" ref="S388:S451" si="110">LN(J388/J389)</f>
        <v>-5.6453678119330096E-3</v>
      </c>
      <c r="U388" s="303">
        <f t="shared" ref="U388:U451" si="111">L388-L$494</f>
        <v>-2.1721067702991578E-3</v>
      </c>
      <c r="V388" s="86">
        <f t="shared" ref="V388:V451" si="112">M388-M$494</f>
        <v>-1.852027613185963E-2</v>
      </c>
      <c r="W388" s="86">
        <f t="shared" ref="W388:W451" si="113">N388-N$494</f>
        <v>-1.7133455990676675E-2</v>
      </c>
      <c r="X388" s="86">
        <f t="shared" ref="X388:X451" si="114">O388-O$494</f>
        <v>-1.0364594946426485E-2</v>
      </c>
      <c r="Y388" s="86">
        <f t="shared" ref="Y388:Y451" si="115">P388-P$494</f>
        <v>9.2074031545391587E-3</v>
      </c>
      <c r="Z388" s="86">
        <f t="shared" ref="Z388:Z451" si="116">Q388-Q$494</f>
        <v>-2.6367975203440901E-2</v>
      </c>
      <c r="AA388" s="86">
        <f t="shared" ref="AA388:AA451" si="117">R388-R$494</f>
        <v>7.4949820691998358E-3</v>
      </c>
      <c r="AB388" s="304">
        <f t="shared" ref="AB388:AB451" si="118">S388-S$494</f>
        <v>-6.2577256885825707E-3</v>
      </c>
    </row>
    <row r="389" spans="2:28" x14ac:dyDescent="0.3">
      <c r="B389" s="271">
        <v>43544</v>
      </c>
      <c r="C389" s="292">
        <v>174.55</v>
      </c>
      <c r="D389" s="292">
        <v>36.450001</v>
      </c>
      <c r="E389" s="292">
        <v>2506.4499999999998</v>
      </c>
      <c r="F389" s="292">
        <v>1149.5</v>
      </c>
      <c r="G389" s="292">
        <v>1456.15</v>
      </c>
      <c r="H389" s="292">
        <v>1375.4499510000001</v>
      </c>
      <c r="I389" s="292">
        <v>252.15</v>
      </c>
      <c r="J389" s="197">
        <v>1687.5500489999999</v>
      </c>
      <c r="L389" s="297">
        <f t="shared" si="103"/>
        <v>1.065524839841219E-2</v>
      </c>
      <c r="M389" s="298">
        <f t="shared" si="104"/>
        <v>-1.7675429815523124E-2</v>
      </c>
      <c r="N389" s="298">
        <f t="shared" si="105"/>
        <v>-5.5840298202271699E-4</v>
      </c>
      <c r="O389" s="298">
        <f t="shared" si="106"/>
        <v>1.3681681211063716E-2</v>
      </c>
      <c r="P389" s="298">
        <f t="shared" si="107"/>
        <v>1.5463654908737261E-3</v>
      </c>
      <c r="Q389" s="298">
        <f t="shared" si="108"/>
        <v>-7.9948986816642971E-4</v>
      </c>
      <c r="R389" s="298">
        <f t="shared" si="109"/>
        <v>1.3374787657709808E-2</v>
      </c>
      <c r="S389" s="299">
        <f t="shared" si="110"/>
        <v>-7.1445596416973827E-3</v>
      </c>
      <c r="U389" s="303">
        <f t="shared" si="111"/>
        <v>1.2213953818920719E-2</v>
      </c>
      <c r="V389" s="86">
        <f t="shared" si="112"/>
        <v>-2.3773158513983757E-2</v>
      </c>
      <c r="W389" s="86">
        <f t="shared" si="113"/>
        <v>-3.4069063270888863E-3</v>
      </c>
      <c r="X389" s="86">
        <f t="shared" si="114"/>
        <v>1.3310353698549207E-2</v>
      </c>
      <c r="Y389" s="86">
        <f t="shared" si="115"/>
        <v>4.3735549918009716E-4</v>
      </c>
      <c r="Z389" s="86">
        <f t="shared" si="116"/>
        <v>-2.3612824673437801E-3</v>
      </c>
      <c r="AA389" s="86">
        <f t="shared" si="117"/>
        <v>1.9086708333253342E-2</v>
      </c>
      <c r="AB389" s="304">
        <f t="shared" si="118"/>
        <v>-7.7569175183469438E-3</v>
      </c>
    </row>
    <row r="390" spans="2:28" x14ac:dyDescent="0.3">
      <c r="B390" s="271">
        <v>43543</v>
      </c>
      <c r="C390" s="292">
        <v>172.7</v>
      </c>
      <c r="D390" s="292">
        <v>37.099997999999999</v>
      </c>
      <c r="E390" s="292">
        <v>2507.85</v>
      </c>
      <c r="F390" s="292">
        <v>1133.880005</v>
      </c>
      <c r="G390" s="292">
        <v>1453.9</v>
      </c>
      <c r="H390" s="292">
        <v>1376.5500489999999</v>
      </c>
      <c r="I390" s="292">
        <v>248.8</v>
      </c>
      <c r="J390" s="197">
        <v>1699.650024</v>
      </c>
      <c r="L390" s="297">
        <f t="shared" si="103"/>
        <v>-3.4682115689276065E-3</v>
      </c>
      <c r="M390" s="298">
        <f t="shared" si="104"/>
        <v>-8.0538421913884696E-3</v>
      </c>
      <c r="N390" s="298">
        <f t="shared" si="105"/>
        <v>-6.260641144889635E-3</v>
      </c>
      <c r="O390" s="298">
        <f t="shared" si="106"/>
        <v>2.7908116970039036E-3</v>
      </c>
      <c r="P390" s="298">
        <f t="shared" si="107"/>
        <v>5.7251406593613148E-3</v>
      </c>
      <c r="Q390" s="298">
        <f t="shared" si="108"/>
        <v>1.9438739450758795E-2</v>
      </c>
      <c r="R390" s="298">
        <f t="shared" si="109"/>
        <v>1.1521097623675657E-2</v>
      </c>
      <c r="S390" s="299">
        <f t="shared" si="110"/>
        <v>1.2362976700504827E-3</v>
      </c>
      <c r="U390" s="303">
        <f t="shared" si="111"/>
        <v>-1.9095061484190763E-3</v>
      </c>
      <c r="V390" s="86">
        <f t="shared" si="112"/>
        <v>-1.4151570889849103E-2</v>
      </c>
      <c r="W390" s="86">
        <f t="shared" si="113"/>
        <v>-9.1091444899558047E-3</v>
      </c>
      <c r="X390" s="86">
        <f t="shared" si="114"/>
        <v>2.4194841844893942E-3</v>
      </c>
      <c r="Y390" s="86">
        <f t="shared" si="115"/>
        <v>4.6161306676676863E-3</v>
      </c>
      <c r="Z390" s="86">
        <f t="shared" si="116"/>
        <v>1.7876946851581445E-2</v>
      </c>
      <c r="AA390" s="86">
        <f t="shared" si="117"/>
        <v>1.7233018299219194E-2</v>
      </c>
      <c r="AB390" s="304">
        <f t="shared" si="118"/>
        <v>6.2393979340092179E-4</v>
      </c>
    </row>
    <row r="391" spans="2:28" x14ac:dyDescent="0.3">
      <c r="B391" s="271">
        <v>43542</v>
      </c>
      <c r="C391" s="292">
        <v>173.3</v>
      </c>
      <c r="D391" s="292">
        <v>37.400002000000001</v>
      </c>
      <c r="E391" s="292">
        <v>2523.6</v>
      </c>
      <c r="F391" s="292">
        <v>1130.719971</v>
      </c>
      <c r="G391" s="292">
        <v>1445.6</v>
      </c>
      <c r="H391" s="292">
        <v>1350.0500489999999</v>
      </c>
      <c r="I391" s="292">
        <v>245.95</v>
      </c>
      <c r="J391" s="197">
        <v>1697.5500489999999</v>
      </c>
      <c r="L391" s="297">
        <f t="shared" si="103"/>
        <v>-1.3753798471491019E-2</v>
      </c>
      <c r="M391" s="298">
        <f t="shared" si="104"/>
        <v>-1.0638318274094529E-2</v>
      </c>
      <c r="N391" s="298">
        <f t="shared" si="105"/>
        <v>5.284185600648755E-3</v>
      </c>
      <c r="O391" s="298">
        <f t="shared" si="106"/>
        <v>3.7390914228696333E-3</v>
      </c>
      <c r="P391" s="298">
        <f t="shared" si="107"/>
        <v>9.0683872842934974E-3</v>
      </c>
      <c r="Q391" s="298">
        <f t="shared" si="108"/>
        <v>2.1260690938641736E-2</v>
      </c>
      <c r="R391" s="298">
        <f t="shared" si="109"/>
        <v>3.6659918857921384E-3</v>
      </c>
      <c r="S391" s="299">
        <f t="shared" si="110"/>
        <v>-5.0058157480405813E-4</v>
      </c>
      <c r="U391" s="303">
        <f t="shared" si="111"/>
        <v>-1.219509305098249E-2</v>
      </c>
      <c r="V391" s="86">
        <f t="shared" si="112"/>
        <v>-1.6736046972555162E-2</v>
      </c>
      <c r="W391" s="86">
        <f t="shared" si="113"/>
        <v>2.4356822555825857E-3</v>
      </c>
      <c r="X391" s="86">
        <f t="shared" si="114"/>
        <v>3.3677639103551239E-3</v>
      </c>
      <c r="Y391" s="86">
        <f t="shared" si="115"/>
        <v>7.9593772925998681E-3</v>
      </c>
      <c r="Z391" s="86">
        <f t="shared" si="116"/>
        <v>1.9698898339464387E-2</v>
      </c>
      <c r="AA391" s="86">
        <f t="shared" si="117"/>
        <v>9.3779125613356745E-3</v>
      </c>
      <c r="AB391" s="304">
        <f t="shared" si="118"/>
        <v>-1.1129394514536191E-3</v>
      </c>
    </row>
    <row r="392" spans="2:28" x14ac:dyDescent="0.3">
      <c r="B392" s="271">
        <v>43539</v>
      </c>
      <c r="C392" s="292">
        <v>175.7</v>
      </c>
      <c r="D392" s="292">
        <v>37.799999</v>
      </c>
      <c r="E392" s="292">
        <v>2510.3000000000002</v>
      </c>
      <c r="F392" s="292">
        <v>1126.5</v>
      </c>
      <c r="G392" s="292">
        <v>1432.55</v>
      </c>
      <c r="H392" s="292">
        <v>1321.650024</v>
      </c>
      <c r="I392" s="292">
        <v>245.05</v>
      </c>
      <c r="J392" s="197">
        <v>1698.400024</v>
      </c>
      <c r="L392" s="297">
        <f t="shared" si="103"/>
        <v>1.2024192966801591E-2</v>
      </c>
      <c r="M392" s="298">
        <f t="shared" si="104"/>
        <v>-1.9646997898485688E-2</v>
      </c>
      <c r="N392" s="298">
        <f t="shared" si="105"/>
        <v>-1.0639135906194511E-2</v>
      </c>
      <c r="O392" s="298">
        <f t="shared" si="106"/>
        <v>1.2613612323441915E-2</v>
      </c>
      <c r="P392" s="298">
        <f t="shared" si="107"/>
        <v>-1.5345449947467187E-3</v>
      </c>
      <c r="Q392" s="298">
        <f t="shared" si="108"/>
        <v>-1.4944724266824243E-2</v>
      </c>
      <c r="R392" s="298">
        <f t="shared" si="109"/>
        <v>-1.93984664346574E-2</v>
      </c>
      <c r="S392" s="299">
        <f t="shared" si="110"/>
        <v>-2.2645566584545793E-2</v>
      </c>
      <c r="U392" s="303">
        <f t="shared" si="111"/>
        <v>1.3582898387310121E-2</v>
      </c>
      <c r="V392" s="86">
        <f t="shared" si="112"/>
        <v>-2.5744726596946321E-2</v>
      </c>
      <c r="W392" s="86">
        <f t="shared" si="113"/>
        <v>-1.348763925126068E-2</v>
      </c>
      <c r="X392" s="86">
        <f t="shared" si="114"/>
        <v>1.2242284810927406E-2</v>
      </c>
      <c r="Y392" s="86">
        <f t="shared" si="115"/>
        <v>-2.6435549864403476E-3</v>
      </c>
      <c r="Z392" s="86">
        <f t="shared" si="116"/>
        <v>-1.6506516866001592E-2</v>
      </c>
      <c r="AA392" s="86">
        <f t="shared" si="117"/>
        <v>-1.3686545759113863E-2</v>
      </c>
      <c r="AB392" s="304">
        <f t="shared" si="118"/>
        <v>-2.3257924461195352E-2</v>
      </c>
    </row>
    <row r="393" spans="2:28" x14ac:dyDescent="0.3">
      <c r="B393" s="271">
        <v>43538</v>
      </c>
      <c r="C393" s="292">
        <v>173.6</v>
      </c>
      <c r="D393" s="292">
        <v>38.549999</v>
      </c>
      <c r="E393" s="292">
        <v>2537.15</v>
      </c>
      <c r="F393" s="292">
        <v>1112.380005</v>
      </c>
      <c r="G393" s="292">
        <v>1434.75</v>
      </c>
      <c r="H393" s="292">
        <v>1341.5500489999999</v>
      </c>
      <c r="I393" s="292">
        <v>249.85</v>
      </c>
      <c r="J393" s="197">
        <v>1737.3000489999999</v>
      </c>
      <c r="L393" s="297">
        <f t="shared" si="103"/>
        <v>1.1587615172387829E-2</v>
      </c>
      <c r="M393" s="298">
        <f t="shared" si="104"/>
        <v>-3.0653767031340002E-2</v>
      </c>
      <c r="N393" s="298">
        <f t="shared" si="105"/>
        <v>1.3531415541178527E-2</v>
      </c>
      <c r="O393" s="298">
        <f t="shared" si="106"/>
        <v>-8.0877046387178972E-4</v>
      </c>
      <c r="P393" s="298">
        <f t="shared" si="107"/>
        <v>4.505692119889158E-3</v>
      </c>
      <c r="Q393" s="298">
        <f t="shared" si="108"/>
        <v>-4.2769277240438256E-3</v>
      </c>
      <c r="R393" s="298">
        <f t="shared" si="109"/>
        <v>2.2463759526519082E-2</v>
      </c>
      <c r="S393" s="299">
        <f t="shared" si="110"/>
        <v>-5.9111922396222188E-3</v>
      </c>
      <c r="U393" s="303">
        <f t="shared" si="111"/>
        <v>1.3146320592896358E-2</v>
      </c>
      <c r="V393" s="86">
        <f t="shared" si="112"/>
        <v>-3.6751495729800639E-2</v>
      </c>
      <c r="W393" s="86">
        <f t="shared" si="113"/>
        <v>1.0682912196112358E-2</v>
      </c>
      <c r="X393" s="86">
        <f t="shared" si="114"/>
        <v>-1.180097976386299E-3</v>
      </c>
      <c r="Y393" s="86">
        <f t="shared" si="115"/>
        <v>3.3966821281955291E-3</v>
      </c>
      <c r="Z393" s="86">
        <f t="shared" si="116"/>
        <v>-5.8387203232211759E-3</v>
      </c>
      <c r="AA393" s="86">
        <f t="shared" si="117"/>
        <v>2.8175680202062618E-2</v>
      </c>
      <c r="AB393" s="304">
        <f t="shared" si="118"/>
        <v>-6.5235501162717799E-3</v>
      </c>
    </row>
    <row r="394" spans="2:28" x14ac:dyDescent="0.3">
      <c r="B394" s="271">
        <v>43537</v>
      </c>
      <c r="C394" s="292">
        <v>171.6</v>
      </c>
      <c r="D394" s="292">
        <v>39.75</v>
      </c>
      <c r="E394" s="292">
        <v>2503.0500000000002</v>
      </c>
      <c r="F394" s="292">
        <v>1113.280029</v>
      </c>
      <c r="G394" s="292">
        <v>1428.3</v>
      </c>
      <c r="H394" s="292">
        <v>1347.3000489999999</v>
      </c>
      <c r="I394" s="292">
        <v>244.3</v>
      </c>
      <c r="J394" s="197">
        <v>1747.599976</v>
      </c>
      <c r="L394" s="297">
        <f t="shared" si="103"/>
        <v>-3.9142262882307363E-2</v>
      </c>
      <c r="M394" s="298">
        <f t="shared" si="104"/>
        <v>1.6487425259917334E-2</v>
      </c>
      <c r="N394" s="298">
        <f t="shared" si="105"/>
        <v>-1.8622585808809801E-2</v>
      </c>
      <c r="O394" s="298">
        <f t="shared" si="106"/>
        <v>2.5269928694382358E-2</v>
      </c>
      <c r="P394" s="298">
        <f t="shared" si="107"/>
        <v>1.4003640969526205E-4</v>
      </c>
      <c r="Q394" s="298">
        <f t="shared" si="108"/>
        <v>1.1909179150192004E-2</v>
      </c>
      <c r="R394" s="298">
        <f t="shared" si="109"/>
        <v>3.5200968533424103E-2</v>
      </c>
      <c r="S394" s="299">
        <f t="shared" si="110"/>
        <v>7.351243137619333E-3</v>
      </c>
      <c r="U394" s="303">
        <f t="shared" si="111"/>
        <v>-3.7583557461798832E-2</v>
      </c>
      <c r="V394" s="86">
        <f t="shared" si="112"/>
        <v>1.0389696561456701E-2</v>
      </c>
      <c r="W394" s="86">
        <f t="shared" si="113"/>
        <v>-2.147108915387597E-2</v>
      </c>
      <c r="X394" s="86">
        <f t="shared" si="114"/>
        <v>2.489860118186785E-2</v>
      </c>
      <c r="Y394" s="86">
        <f t="shared" si="115"/>
        <v>-9.6897358199836685E-4</v>
      </c>
      <c r="Z394" s="86">
        <f t="shared" si="116"/>
        <v>1.0347386551014652E-2</v>
      </c>
      <c r="AA394" s="86">
        <f t="shared" si="117"/>
        <v>4.0912889208967636E-2</v>
      </c>
      <c r="AB394" s="304">
        <f t="shared" si="118"/>
        <v>6.7388852609697718E-3</v>
      </c>
    </row>
    <row r="395" spans="2:28" x14ac:dyDescent="0.3">
      <c r="B395" s="271">
        <v>43536</v>
      </c>
      <c r="C395" s="292">
        <v>178.45</v>
      </c>
      <c r="D395" s="292">
        <v>39.099997999999999</v>
      </c>
      <c r="E395" s="292">
        <v>2550.1</v>
      </c>
      <c r="F395" s="292">
        <v>1085.5</v>
      </c>
      <c r="G395" s="292">
        <v>1428.1</v>
      </c>
      <c r="H395" s="292">
        <v>1331.349976</v>
      </c>
      <c r="I395" s="292">
        <v>235.85</v>
      </c>
      <c r="J395" s="197">
        <v>1734.8000489999999</v>
      </c>
      <c r="L395" s="297">
        <f t="shared" si="103"/>
        <v>7.5939051473815165E-3</v>
      </c>
      <c r="M395" s="298">
        <f t="shared" si="104"/>
        <v>7.8445411910616963E-2</v>
      </c>
      <c r="N395" s="298">
        <f t="shared" si="105"/>
        <v>1.9481906997991356E-2</v>
      </c>
      <c r="O395" s="298">
        <f t="shared" si="106"/>
        <v>1.9798601122801636E-2</v>
      </c>
      <c r="P395" s="298">
        <f t="shared" si="107"/>
        <v>5.8288728536018825E-3</v>
      </c>
      <c r="Q395" s="298">
        <f t="shared" si="108"/>
        <v>2.0680317721284584E-2</v>
      </c>
      <c r="R395" s="298">
        <f t="shared" si="109"/>
        <v>-1.9061744625915868E-3</v>
      </c>
      <c r="S395" s="299">
        <f t="shared" si="110"/>
        <v>1.1508264122714865E-2</v>
      </c>
      <c r="U395" s="303">
        <f t="shared" si="111"/>
        <v>9.152610567890046E-3</v>
      </c>
      <c r="V395" s="86">
        <f t="shared" si="112"/>
        <v>7.234768321215633E-2</v>
      </c>
      <c r="W395" s="86">
        <f t="shared" si="113"/>
        <v>1.6633403652925188E-2</v>
      </c>
      <c r="X395" s="86">
        <f t="shared" si="114"/>
        <v>1.9427273610287128E-2</v>
      </c>
      <c r="Y395" s="86">
        <f t="shared" si="115"/>
        <v>4.7198628619082531E-3</v>
      </c>
      <c r="Z395" s="86">
        <f t="shared" si="116"/>
        <v>1.9118525122107235E-2</v>
      </c>
      <c r="AA395" s="86">
        <f t="shared" si="117"/>
        <v>3.8057462129519491E-3</v>
      </c>
      <c r="AB395" s="304">
        <f t="shared" si="118"/>
        <v>1.0895906246065304E-2</v>
      </c>
    </row>
    <row r="396" spans="2:28" x14ac:dyDescent="0.3">
      <c r="B396" s="271">
        <v>43535</v>
      </c>
      <c r="C396" s="292">
        <v>177.1</v>
      </c>
      <c r="D396" s="292">
        <v>36.150002000000001</v>
      </c>
      <c r="E396" s="292">
        <v>2500.9</v>
      </c>
      <c r="F396" s="292">
        <v>1064.219971</v>
      </c>
      <c r="G396" s="292">
        <v>1419.8</v>
      </c>
      <c r="H396" s="292">
        <v>1304.099976</v>
      </c>
      <c r="I396" s="292">
        <v>236.3</v>
      </c>
      <c r="J396" s="197">
        <v>1714.9499510000001</v>
      </c>
      <c r="L396" s="297">
        <f t="shared" si="103"/>
        <v>2.7187251825913552E-2</v>
      </c>
      <c r="M396" s="298">
        <f t="shared" si="104"/>
        <v>3.2328942440393089E-2</v>
      </c>
      <c r="N396" s="298">
        <f t="shared" si="105"/>
        <v>1.0592105781796724E-2</v>
      </c>
      <c r="O396" s="298">
        <f t="shared" si="106"/>
        <v>1.1276030213058254E-4</v>
      </c>
      <c r="P396" s="298">
        <f t="shared" si="107"/>
        <v>2.6731067191089239E-2</v>
      </c>
      <c r="Q396" s="298">
        <f t="shared" si="108"/>
        <v>2.8782323395385556E-2</v>
      </c>
      <c r="R396" s="298">
        <f t="shared" si="109"/>
        <v>1.7072544416498681E-2</v>
      </c>
      <c r="S396" s="299">
        <f t="shared" si="110"/>
        <v>7.814926302171659E-3</v>
      </c>
      <c r="U396" s="303">
        <f t="shared" si="111"/>
        <v>2.8745957246422083E-2</v>
      </c>
      <c r="V396" s="86">
        <f t="shared" si="112"/>
        <v>2.6231213741932456E-2</v>
      </c>
      <c r="W396" s="86">
        <f t="shared" si="113"/>
        <v>7.743602436730555E-3</v>
      </c>
      <c r="X396" s="86">
        <f t="shared" si="114"/>
        <v>-2.5856721038392677E-4</v>
      </c>
      <c r="Y396" s="86">
        <f t="shared" si="115"/>
        <v>2.5622057199395611E-2</v>
      </c>
      <c r="Z396" s="86">
        <f t="shared" si="116"/>
        <v>2.7220530796208207E-2</v>
      </c>
      <c r="AA396" s="86">
        <f t="shared" si="117"/>
        <v>2.2784465092042218E-2</v>
      </c>
      <c r="AB396" s="304">
        <f t="shared" si="118"/>
        <v>7.2025684255220979E-3</v>
      </c>
    </row>
    <row r="397" spans="2:28" x14ac:dyDescent="0.3">
      <c r="B397" s="271">
        <v>43532</v>
      </c>
      <c r="C397" s="292">
        <v>172.35</v>
      </c>
      <c r="D397" s="292">
        <v>35</v>
      </c>
      <c r="E397" s="292">
        <v>2474.5500000000002</v>
      </c>
      <c r="F397" s="292">
        <v>1064.099976</v>
      </c>
      <c r="G397" s="292">
        <v>1382.35</v>
      </c>
      <c r="H397" s="292">
        <v>1267.099976</v>
      </c>
      <c r="I397" s="292">
        <v>232.3</v>
      </c>
      <c r="J397" s="197">
        <v>1701.599976</v>
      </c>
      <c r="L397" s="297">
        <f t="shared" si="103"/>
        <v>-2.1240752638187185E-2</v>
      </c>
      <c r="M397" s="298">
        <f t="shared" si="104"/>
        <v>-1.699752018879417E-2</v>
      </c>
      <c r="N397" s="298">
        <f t="shared" si="105"/>
        <v>3.5623304020204645E-2</v>
      </c>
      <c r="O397" s="298">
        <f t="shared" si="106"/>
        <v>7.9909375967149733E-4</v>
      </c>
      <c r="P397" s="298">
        <f t="shared" si="107"/>
        <v>-9.4319944684811158E-3</v>
      </c>
      <c r="Q397" s="298">
        <f t="shared" si="108"/>
        <v>-2.4829256098675059E-3</v>
      </c>
      <c r="R397" s="298">
        <f t="shared" si="109"/>
        <v>2.5862083380330724E-3</v>
      </c>
      <c r="S397" s="299">
        <f t="shared" si="110"/>
        <v>-2.2307305992388987E-3</v>
      </c>
      <c r="U397" s="303">
        <f t="shared" si="111"/>
        <v>-1.9682047217678654E-2</v>
      </c>
      <c r="V397" s="86">
        <f t="shared" si="112"/>
        <v>-2.3095248887254803E-2</v>
      </c>
      <c r="W397" s="86">
        <f t="shared" si="113"/>
        <v>3.2774800675138473E-2</v>
      </c>
      <c r="X397" s="86">
        <f t="shared" si="114"/>
        <v>4.2776624715698802E-4</v>
      </c>
      <c r="Y397" s="86">
        <f t="shared" si="115"/>
        <v>-1.0541004460174745E-2</v>
      </c>
      <c r="Z397" s="86">
        <f t="shared" si="116"/>
        <v>-4.0447182090448562E-3</v>
      </c>
      <c r="AA397" s="86">
        <f t="shared" si="117"/>
        <v>8.2981290135766082E-3</v>
      </c>
      <c r="AB397" s="304">
        <f t="shared" si="118"/>
        <v>-2.8430884758884594E-3</v>
      </c>
    </row>
    <row r="398" spans="2:28" x14ac:dyDescent="0.3">
      <c r="B398" s="271">
        <v>43531</v>
      </c>
      <c r="C398" s="292">
        <v>176.05</v>
      </c>
      <c r="D398" s="292">
        <v>35.599997999999999</v>
      </c>
      <c r="E398" s="292">
        <v>2387.9499999999998</v>
      </c>
      <c r="F398" s="292">
        <v>1063.25</v>
      </c>
      <c r="G398" s="292">
        <v>1395.45</v>
      </c>
      <c r="H398" s="292">
        <v>1270.25</v>
      </c>
      <c r="I398" s="292">
        <v>231.7</v>
      </c>
      <c r="J398" s="197">
        <v>1705.400024</v>
      </c>
      <c r="L398" s="297">
        <f t="shared" si="103"/>
        <v>-1.3820555618632199E-2</v>
      </c>
      <c r="M398" s="298">
        <f t="shared" si="104"/>
        <v>5.6337050413056231E-3</v>
      </c>
      <c r="N398" s="298">
        <f t="shared" si="105"/>
        <v>1.650941061027706E-2</v>
      </c>
      <c r="O398" s="298">
        <f t="shared" si="106"/>
        <v>1.0523083652642561E-2</v>
      </c>
      <c r="P398" s="298">
        <f t="shared" si="107"/>
        <v>1.2548627572134929E-3</v>
      </c>
      <c r="Q398" s="298">
        <f t="shared" si="108"/>
        <v>4.2996858372768209E-3</v>
      </c>
      <c r="R398" s="298">
        <f t="shared" si="109"/>
        <v>-1.5417864294986341E-2</v>
      </c>
      <c r="S398" s="299">
        <f t="shared" si="110"/>
        <v>3.2890754894475895E-3</v>
      </c>
      <c r="U398" s="303">
        <f t="shared" si="111"/>
        <v>-1.226185019812367E-2</v>
      </c>
      <c r="V398" s="86">
        <f t="shared" si="112"/>
        <v>-4.64023657155011E-4</v>
      </c>
      <c r="W398" s="86">
        <f t="shared" si="113"/>
        <v>1.3660907265210891E-2</v>
      </c>
      <c r="X398" s="86">
        <f t="shared" si="114"/>
        <v>1.0151756140128051E-2</v>
      </c>
      <c r="Y398" s="86">
        <f t="shared" si="115"/>
        <v>1.45852765519864E-4</v>
      </c>
      <c r="Z398" s="86">
        <f t="shared" si="116"/>
        <v>2.7378932380994706E-3</v>
      </c>
      <c r="AA398" s="86">
        <f t="shared" si="117"/>
        <v>-9.7059436194428042E-3</v>
      </c>
      <c r="AB398" s="304">
        <f t="shared" si="118"/>
        <v>2.6767176127980288E-3</v>
      </c>
    </row>
    <row r="399" spans="2:28" x14ac:dyDescent="0.3">
      <c r="B399" s="271">
        <v>43530</v>
      </c>
      <c r="C399" s="292">
        <v>178.5</v>
      </c>
      <c r="D399" s="292">
        <v>35.400002000000001</v>
      </c>
      <c r="E399" s="292">
        <v>2348.85</v>
      </c>
      <c r="F399" s="292">
        <v>1052.119995</v>
      </c>
      <c r="G399" s="292">
        <v>1393.7</v>
      </c>
      <c r="H399" s="292">
        <v>1264.8000489999999</v>
      </c>
      <c r="I399" s="292">
        <v>235.3</v>
      </c>
      <c r="J399" s="197">
        <v>1699.8000489999999</v>
      </c>
      <c r="L399" s="297">
        <f t="shared" si="103"/>
        <v>2.0088382405996728E-2</v>
      </c>
      <c r="M399" s="298">
        <f t="shared" si="104"/>
        <v>-2.3727504663781426E-2</v>
      </c>
      <c r="N399" s="298">
        <f t="shared" si="105"/>
        <v>-4.4815027481805905E-3</v>
      </c>
      <c r="O399" s="298">
        <f t="shared" si="106"/>
        <v>-1.3582889911356315E-3</v>
      </c>
      <c r="P399" s="298">
        <f t="shared" si="107"/>
        <v>-7.2563811459111192E-3</v>
      </c>
      <c r="Q399" s="298">
        <f t="shared" si="108"/>
        <v>2.1699606026513742E-2</v>
      </c>
      <c r="R399" s="298">
        <f t="shared" si="109"/>
        <v>-9.0957792618139369E-3</v>
      </c>
      <c r="S399" s="299">
        <f t="shared" si="110"/>
        <v>-1.4484499710507321E-2</v>
      </c>
      <c r="U399" s="303">
        <f t="shared" si="111"/>
        <v>2.1647087826505259E-2</v>
      </c>
      <c r="V399" s="86">
        <f t="shared" si="112"/>
        <v>-2.9825233362242059E-2</v>
      </c>
      <c r="W399" s="86">
        <f t="shared" si="113"/>
        <v>-7.3300060932467593E-3</v>
      </c>
      <c r="X399" s="86">
        <f t="shared" si="114"/>
        <v>-1.7296165036501409E-3</v>
      </c>
      <c r="Y399" s="86">
        <f t="shared" si="115"/>
        <v>-8.3653911376047486E-3</v>
      </c>
      <c r="Z399" s="86">
        <f t="shared" si="116"/>
        <v>2.0137813427336393E-2</v>
      </c>
      <c r="AA399" s="86">
        <f t="shared" si="117"/>
        <v>-3.3838585862704012E-3</v>
      </c>
      <c r="AB399" s="304">
        <f t="shared" si="118"/>
        <v>-1.5096857587156882E-2</v>
      </c>
    </row>
    <row r="400" spans="2:28" x14ac:dyDescent="0.3">
      <c r="B400" s="271">
        <v>43529</v>
      </c>
      <c r="C400" s="292">
        <v>174.95</v>
      </c>
      <c r="D400" s="292">
        <v>36.25</v>
      </c>
      <c r="E400" s="292">
        <v>2359.4</v>
      </c>
      <c r="F400" s="292">
        <v>1053.5500489999999</v>
      </c>
      <c r="G400" s="292">
        <v>1403.85</v>
      </c>
      <c r="H400" s="292">
        <v>1237.650024</v>
      </c>
      <c r="I400" s="292">
        <v>237.45</v>
      </c>
      <c r="J400" s="197">
        <v>1724.599976</v>
      </c>
      <c r="L400" s="297">
        <f t="shared" si="103"/>
        <v>8.6108453979384051E-3</v>
      </c>
      <c r="M400" s="298">
        <f t="shared" si="104"/>
        <v>5.821370799235874E-2</v>
      </c>
      <c r="N400" s="298">
        <f t="shared" si="105"/>
        <v>4.6566436907954152E-2</v>
      </c>
      <c r="O400" s="298">
        <f t="shared" si="106"/>
        <v>1.1330614212427941E-2</v>
      </c>
      <c r="P400" s="298">
        <f t="shared" si="107"/>
        <v>8.2254952003308606E-3</v>
      </c>
      <c r="Q400" s="298">
        <f t="shared" si="108"/>
        <v>9.4167799454987922E-3</v>
      </c>
      <c r="R400" s="298">
        <f t="shared" si="109"/>
        <v>-6.3151249335903416E-4</v>
      </c>
      <c r="S400" s="299">
        <f t="shared" si="110"/>
        <v>-5.8105521579687614E-3</v>
      </c>
      <c r="U400" s="303">
        <f t="shared" si="111"/>
        <v>1.0169550818446935E-2</v>
      </c>
      <c r="V400" s="86">
        <f t="shared" si="112"/>
        <v>5.2115979293898107E-2</v>
      </c>
      <c r="W400" s="86">
        <f t="shared" si="113"/>
        <v>4.371793356288798E-2</v>
      </c>
      <c r="X400" s="86">
        <f t="shared" si="114"/>
        <v>1.0959286699913431E-2</v>
      </c>
      <c r="Y400" s="86">
        <f t="shared" si="115"/>
        <v>7.1164852086372313E-3</v>
      </c>
      <c r="Z400" s="86">
        <f t="shared" si="116"/>
        <v>7.854987346321441E-3</v>
      </c>
      <c r="AA400" s="86">
        <f t="shared" si="117"/>
        <v>5.0804081821845017E-3</v>
      </c>
      <c r="AB400" s="304">
        <f t="shared" si="118"/>
        <v>-6.4229100346183225E-3</v>
      </c>
    </row>
    <row r="401" spans="2:28" x14ac:dyDescent="0.3">
      <c r="B401" s="271">
        <v>43525</v>
      </c>
      <c r="C401" s="292">
        <v>173.45</v>
      </c>
      <c r="D401" s="292">
        <v>34.200001</v>
      </c>
      <c r="E401" s="292">
        <v>2252.0500000000002</v>
      </c>
      <c r="F401" s="292">
        <v>1041.6800539999999</v>
      </c>
      <c r="G401" s="292">
        <v>1392.35</v>
      </c>
      <c r="H401" s="292">
        <v>1226.0500489999999</v>
      </c>
      <c r="I401" s="292">
        <v>237.6</v>
      </c>
      <c r="J401" s="197">
        <v>1734.650024</v>
      </c>
      <c r="L401" s="297">
        <f t="shared" si="103"/>
        <v>2.3626591197804549E-2</v>
      </c>
      <c r="M401" s="298">
        <f t="shared" si="104"/>
        <v>3.4204137267816341E-2</v>
      </c>
      <c r="N401" s="298">
        <f t="shared" si="105"/>
        <v>2.1022704784259501E-2</v>
      </c>
      <c r="O401" s="298">
        <f t="shared" si="106"/>
        <v>2.7878707234038434E-3</v>
      </c>
      <c r="P401" s="298">
        <f t="shared" si="107"/>
        <v>-9.1866743206278304E-3</v>
      </c>
      <c r="Q401" s="298">
        <f t="shared" si="108"/>
        <v>-4.0698438826974109E-3</v>
      </c>
      <c r="R401" s="298">
        <f t="shared" si="109"/>
        <v>2.7521737054255268E-2</v>
      </c>
      <c r="S401" s="299">
        <f t="shared" si="110"/>
        <v>1.1536355055086656E-3</v>
      </c>
      <c r="U401" s="303">
        <f t="shared" si="111"/>
        <v>2.5185296618313081E-2</v>
      </c>
      <c r="V401" s="86">
        <f t="shared" si="112"/>
        <v>2.8106408569355708E-2</v>
      </c>
      <c r="W401" s="86">
        <f t="shared" si="113"/>
        <v>1.8174201439193332E-2</v>
      </c>
      <c r="X401" s="86">
        <f t="shared" si="114"/>
        <v>2.4165432108893339E-3</v>
      </c>
      <c r="Y401" s="86">
        <f t="shared" si="115"/>
        <v>-1.029568431232146E-2</v>
      </c>
      <c r="Z401" s="86">
        <f t="shared" si="116"/>
        <v>-5.6316364818747612E-3</v>
      </c>
      <c r="AA401" s="86">
        <f t="shared" si="117"/>
        <v>3.3233657729798805E-2</v>
      </c>
      <c r="AB401" s="304">
        <f t="shared" si="118"/>
        <v>5.4127762885910471E-4</v>
      </c>
    </row>
    <row r="402" spans="2:28" x14ac:dyDescent="0.3">
      <c r="B402" s="271">
        <v>43524</v>
      </c>
      <c r="C402" s="292">
        <v>169.4</v>
      </c>
      <c r="D402" s="292">
        <v>33.049999</v>
      </c>
      <c r="E402" s="292">
        <v>2205.1999999999998</v>
      </c>
      <c r="F402" s="292">
        <v>1038.780029</v>
      </c>
      <c r="G402" s="292">
        <v>1405.2</v>
      </c>
      <c r="H402" s="292">
        <v>1231.0500489999999</v>
      </c>
      <c r="I402" s="292">
        <v>231.15</v>
      </c>
      <c r="J402" s="197">
        <v>1732.650024</v>
      </c>
      <c r="L402" s="297">
        <f t="shared" si="103"/>
        <v>2.8440773395580633E-2</v>
      </c>
      <c r="M402" s="298">
        <f t="shared" si="104"/>
        <v>4.5488174789108495E-3</v>
      </c>
      <c r="N402" s="298">
        <f t="shared" si="105"/>
        <v>-4.5921968249005348E-3</v>
      </c>
      <c r="O402" s="298">
        <f t="shared" si="106"/>
        <v>-7.0411014820920747E-3</v>
      </c>
      <c r="P402" s="298">
        <f t="shared" si="107"/>
        <v>-3.5575794604824349E-4</v>
      </c>
      <c r="Q402" s="298">
        <f t="shared" si="108"/>
        <v>6.1518996645229321E-3</v>
      </c>
      <c r="R402" s="298">
        <f t="shared" si="109"/>
        <v>1.2844413006259282E-2</v>
      </c>
      <c r="S402" s="299">
        <f t="shared" si="110"/>
        <v>-2.2195509297151523E-3</v>
      </c>
      <c r="U402" s="303">
        <f t="shared" si="111"/>
        <v>2.9999478816089165E-2</v>
      </c>
      <c r="V402" s="86">
        <f t="shared" si="112"/>
        <v>-1.5489112195497846E-3</v>
      </c>
      <c r="W402" s="86">
        <f t="shared" si="113"/>
        <v>-7.4407001699667037E-3</v>
      </c>
      <c r="X402" s="86">
        <f t="shared" si="114"/>
        <v>-7.4124289946065841E-3</v>
      </c>
      <c r="Y402" s="86">
        <f t="shared" si="115"/>
        <v>-1.4647679377418725E-3</v>
      </c>
      <c r="Z402" s="86">
        <f t="shared" si="116"/>
        <v>4.5901070653455818E-3</v>
      </c>
      <c r="AA402" s="86">
        <f t="shared" si="117"/>
        <v>1.8556333681802817E-2</v>
      </c>
      <c r="AB402" s="304">
        <f t="shared" si="118"/>
        <v>-2.831908806364713E-3</v>
      </c>
    </row>
    <row r="403" spans="2:28" x14ac:dyDescent="0.3">
      <c r="B403" s="271">
        <v>43523</v>
      </c>
      <c r="C403" s="292">
        <v>164.65</v>
      </c>
      <c r="D403" s="292">
        <v>32.900002000000001</v>
      </c>
      <c r="E403" s="292">
        <v>2215.35</v>
      </c>
      <c r="F403" s="292">
        <v>1046.119995</v>
      </c>
      <c r="G403" s="292">
        <v>1405.7</v>
      </c>
      <c r="H403" s="292">
        <v>1223.5</v>
      </c>
      <c r="I403" s="292">
        <v>228.2</v>
      </c>
      <c r="J403" s="197">
        <v>1736.5</v>
      </c>
      <c r="L403" s="297">
        <f t="shared" si="103"/>
        <v>-3.0210163417807249E-2</v>
      </c>
      <c r="M403" s="298">
        <f t="shared" si="104"/>
        <v>0</v>
      </c>
      <c r="N403" s="298">
        <f t="shared" si="105"/>
        <v>-4.144243414179365E-3</v>
      </c>
      <c r="O403" s="298">
        <f t="shared" si="106"/>
        <v>-8.7559102664371297E-3</v>
      </c>
      <c r="P403" s="298">
        <f t="shared" si="107"/>
        <v>2.6356107431847373E-3</v>
      </c>
      <c r="Q403" s="298">
        <f t="shared" si="108"/>
        <v>2.6598481154694671E-3</v>
      </c>
      <c r="R403" s="298">
        <f t="shared" si="109"/>
        <v>-5.6805920726246345E-3</v>
      </c>
      <c r="S403" s="299">
        <f t="shared" si="110"/>
        <v>-2.0378332550998159E-2</v>
      </c>
      <c r="U403" s="303">
        <f t="shared" si="111"/>
        <v>-2.8651457997298718E-2</v>
      </c>
      <c r="V403" s="86">
        <f t="shared" si="112"/>
        <v>-6.0977286984606341E-3</v>
      </c>
      <c r="W403" s="86">
        <f t="shared" si="113"/>
        <v>-6.9927467592455338E-3</v>
      </c>
      <c r="X403" s="86">
        <f t="shared" si="114"/>
        <v>-9.1272377789516392E-3</v>
      </c>
      <c r="Y403" s="86">
        <f t="shared" si="115"/>
        <v>1.5266007514911084E-3</v>
      </c>
      <c r="Z403" s="86">
        <f t="shared" si="116"/>
        <v>1.0980555162921166E-3</v>
      </c>
      <c r="AA403" s="86">
        <f t="shared" si="117"/>
        <v>3.1328602918901174E-5</v>
      </c>
      <c r="AB403" s="304">
        <f t="shared" si="118"/>
        <v>-2.0990690427647719E-2</v>
      </c>
    </row>
    <row r="404" spans="2:28" x14ac:dyDescent="0.3">
      <c r="B404" s="271">
        <v>43522</v>
      </c>
      <c r="C404" s="292">
        <v>169.7</v>
      </c>
      <c r="D404" s="292">
        <v>32.900002000000001</v>
      </c>
      <c r="E404" s="292">
        <v>2224.5500000000002</v>
      </c>
      <c r="F404" s="292">
        <v>1055.3199460000001</v>
      </c>
      <c r="G404" s="292">
        <v>1402</v>
      </c>
      <c r="H404" s="292">
        <v>1220.25</v>
      </c>
      <c r="I404" s="292">
        <v>229.5</v>
      </c>
      <c r="J404" s="197">
        <v>1772.25</v>
      </c>
      <c r="L404" s="297">
        <f t="shared" si="103"/>
        <v>-9.0923049021541264E-3</v>
      </c>
      <c r="M404" s="298">
        <f t="shared" si="104"/>
        <v>-1.5185727359314615E-3</v>
      </c>
      <c r="N404" s="298">
        <f t="shared" si="105"/>
        <v>-3.8808864815969551E-3</v>
      </c>
      <c r="O404" s="298">
        <f t="shared" si="106"/>
        <v>-6.9688059847476148E-3</v>
      </c>
      <c r="P404" s="298">
        <f t="shared" si="107"/>
        <v>2.6783338928379899E-3</v>
      </c>
      <c r="Q404" s="298">
        <f t="shared" si="108"/>
        <v>-9.8266259398644869E-3</v>
      </c>
      <c r="R404" s="298">
        <f t="shared" si="109"/>
        <v>1.7444400411499635E-3</v>
      </c>
      <c r="S404" s="299">
        <f t="shared" si="110"/>
        <v>1.185623437086463E-3</v>
      </c>
      <c r="U404" s="303">
        <f t="shared" si="111"/>
        <v>-7.533599481645596E-3</v>
      </c>
      <c r="V404" s="86">
        <f t="shared" si="112"/>
        <v>-7.6163014343920959E-3</v>
      </c>
      <c r="W404" s="86">
        <f t="shared" si="113"/>
        <v>-6.7293898266631239E-3</v>
      </c>
      <c r="X404" s="86">
        <f t="shared" si="114"/>
        <v>-7.3401334972621243E-3</v>
      </c>
      <c r="Y404" s="86">
        <f t="shared" si="115"/>
        <v>1.569323901144361E-3</v>
      </c>
      <c r="Z404" s="86">
        <f t="shared" si="116"/>
        <v>-1.1388418539041838E-2</v>
      </c>
      <c r="AA404" s="86">
        <f t="shared" si="117"/>
        <v>7.4563607166934992E-3</v>
      </c>
      <c r="AB404" s="304">
        <f t="shared" si="118"/>
        <v>5.7326556043690207E-4</v>
      </c>
    </row>
    <row r="405" spans="2:28" x14ac:dyDescent="0.3">
      <c r="B405" s="271">
        <v>43521</v>
      </c>
      <c r="C405" s="292">
        <v>171.25</v>
      </c>
      <c r="D405" s="292">
        <v>32.950001</v>
      </c>
      <c r="E405" s="292">
        <v>2233.1999999999998</v>
      </c>
      <c r="F405" s="292">
        <v>1062.6999510000001</v>
      </c>
      <c r="G405" s="292">
        <v>1398.25</v>
      </c>
      <c r="H405" s="292">
        <v>1232.3000489999999</v>
      </c>
      <c r="I405" s="292">
        <v>229.1</v>
      </c>
      <c r="J405" s="197">
        <v>1770.150024</v>
      </c>
      <c r="L405" s="297">
        <f t="shared" si="103"/>
        <v>9.3869859120953945E-3</v>
      </c>
      <c r="M405" s="298">
        <f t="shared" si="104"/>
        <v>7.6161828132823191E-3</v>
      </c>
      <c r="N405" s="298">
        <f t="shared" si="105"/>
        <v>-9.2043305906022426E-3</v>
      </c>
      <c r="O405" s="298">
        <f t="shared" si="106"/>
        <v>1.6107177635781962E-2</v>
      </c>
      <c r="P405" s="298">
        <f t="shared" si="107"/>
        <v>3.2188265866869647E-4</v>
      </c>
      <c r="Q405" s="298">
        <f t="shared" si="108"/>
        <v>-4.0514474266505549E-5</v>
      </c>
      <c r="R405" s="298">
        <f t="shared" si="109"/>
        <v>3.14812075871704E-2</v>
      </c>
      <c r="S405" s="299">
        <f t="shared" si="110"/>
        <v>9.0427279849682619E-4</v>
      </c>
      <c r="U405" s="303">
        <f t="shared" si="111"/>
        <v>1.0945691332603924E-2</v>
      </c>
      <c r="V405" s="86">
        <f t="shared" si="112"/>
        <v>1.518454114821685E-3</v>
      </c>
      <c r="W405" s="86">
        <f t="shared" si="113"/>
        <v>-1.2052833935668411E-2</v>
      </c>
      <c r="X405" s="86">
        <f t="shared" si="114"/>
        <v>1.5735850123267454E-2</v>
      </c>
      <c r="Y405" s="86">
        <f t="shared" si="115"/>
        <v>-7.8712733302493238E-4</v>
      </c>
      <c r="Z405" s="86">
        <f t="shared" si="116"/>
        <v>-1.6023070734438561E-3</v>
      </c>
      <c r="AA405" s="86">
        <f t="shared" si="117"/>
        <v>3.7193128262713933E-2</v>
      </c>
      <c r="AB405" s="304">
        <f t="shared" si="118"/>
        <v>2.919149218472653E-4</v>
      </c>
    </row>
    <row r="406" spans="2:28" x14ac:dyDescent="0.3">
      <c r="B406" s="271">
        <v>43518</v>
      </c>
      <c r="C406" s="292">
        <v>169.65</v>
      </c>
      <c r="D406" s="292">
        <v>32.700001</v>
      </c>
      <c r="E406" s="292">
        <v>2253.85</v>
      </c>
      <c r="F406" s="292">
        <v>1045.719971</v>
      </c>
      <c r="G406" s="292">
        <v>1397.8</v>
      </c>
      <c r="H406" s="292">
        <v>1232.349976</v>
      </c>
      <c r="I406" s="292">
        <v>222</v>
      </c>
      <c r="J406" s="197">
        <v>1768.5500489999999</v>
      </c>
      <c r="L406" s="297">
        <f t="shared" si="103"/>
        <v>3.0219202987269739E-2</v>
      </c>
      <c r="M406" s="298">
        <f t="shared" si="104"/>
        <v>5.8238358132850089E-2</v>
      </c>
      <c r="N406" s="298">
        <f t="shared" si="105"/>
        <v>1.6874268530293812E-3</v>
      </c>
      <c r="O406" s="298">
        <f t="shared" si="106"/>
        <v>-1.1627411372409663E-2</v>
      </c>
      <c r="P406" s="298">
        <f t="shared" si="107"/>
        <v>0</v>
      </c>
      <c r="Q406" s="298">
        <f t="shared" si="108"/>
        <v>-1.17375940688869E-2</v>
      </c>
      <c r="R406" s="298">
        <f t="shared" si="109"/>
        <v>3.1341922587670837E-2</v>
      </c>
      <c r="S406" s="299">
        <f t="shared" si="110"/>
        <v>7.8621553074556295E-3</v>
      </c>
      <c r="U406" s="303">
        <f t="shared" si="111"/>
        <v>3.177790840777827E-2</v>
      </c>
      <c r="V406" s="86">
        <f t="shared" si="112"/>
        <v>5.2140629434389456E-2</v>
      </c>
      <c r="W406" s="86">
        <f t="shared" si="113"/>
        <v>-1.1610764920367881E-3</v>
      </c>
      <c r="X406" s="86">
        <f t="shared" si="114"/>
        <v>-1.1998738884924172E-2</v>
      </c>
      <c r="Y406" s="86">
        <f t="shared" si="115"/>
        <v>-1.1090099916936289E-3</v>
      </c>
      <c r="Z406" s="86">
        <f t="shared" si="116"/>
        <v>-1.3299386668064251E-2</v>
      </c>
      <c r="AA406" s="86">
        <f t="shared" si="117"/>
        <v>3.705384326321437E-2</v>
      </c>
      <c r="AB406" s="304">
        <f t="shared" si="118"/>
        <v>7.2497974308060684E-3</v>
      </c>
    </row>
    <row r="407" spans="2:28" x14ac:dyDescent="0.3">
      <c r="B407" s="271">
        <v>43517</v>
      </c>
      <c r="C407" s="292">
        <v>164.6</v>
      </c>
      <c r="D407" s="292">
        <v>30.85</v>
      </c>
      <c r="E407" s="292">
        <v>2250.0500000000002</v>
      </c>
      <c r="F407" s="292">
        <v>1057.9499510000001</v>
      </c>
      <c r="G407" s="292">
        <v>1397.8</v>
      </c>
      <c r="H407" s="292">
        <v>1246.900024</v>
      </c>
      <c r="I407" s="292">
        <v>215.15</v>
      </c>
      <c r="J407" s="197">
        <v>1754.6999510000001</v>
      </c>
      <c r="L407" s="297">
        <f t="shared" si="103"/>
        <v>2.678319244218999E-2</v>
      </c>
      <c r="M407" s="298">
        <f t="shared" si="104"/>
        <v>-3.2362810893854007E-3</v>
      </c>
      <c r="N407" s="298">
        <f t="shared" si="105"/>
        <v>2.0019581381521085E-3</v>
      </c>
      <c r="O407" s="298">
        <f t="shared" si="106"/>
        <v>3.56976227263956E-3</v>
      </c>
      <c r="P407" s="298">
        <f t="shared" si="107"/>
        <v>6.4407630952327088E-4</v>
      </c>
      <c r="Q407" s="298">
        <f t="shared" si="108"/>
        <v>1.0115993973875113E-2</v>
      </c>
      <c r="R407" s="298">
        <f t="shared" si="109"/>
        <v>-1.247129327884247E-2</v>
      </c>
      <c r="S407" s="299">
        <f t="shared" si="110"/>
        <v>1.2155388067009883E-2</v>
      </c>
      <c r="U407" s="303">
        <f t="shared" si="111"/>
        <v>2.8341897862698522E-2</v>
      </c>
      <c r="V407" s="86">
        <f t="shared" si="112"/>
        <v>-9.3340097878460357E-3</v>
      </c>
      <c r="W407" s="86">
        <f t="shared" si="113"/>
        <v>-8.4654520691406073E-4</v>
      </c>
      <c r="X407" s="86">
        <f t="shared" si="114"/>
        <v>3.1984347601250506E-3</v>
      </c>
      <c r="Y407" s="86">
        <f t="shared" si="115"/>
        <v>-4.6493368217035802E-4</v>
      </c>
      <c r="Z407" s="86">
        <f t="shared" si="116"/>
        <v>8.5542013746977615E-3</v>
      </c>
      <c r="AA407" s="86">
        <f t="shared" si="117"/>
        <v>-6.7593726032989339E-3</v>
      </c>
      <c r="AB407" s="304">
        <f t="shared" si="118"/>
        <v>1.1543030190360322E-2</v>
      </c>
    </row>
    <row r="408" spans="2:28" x14ac:dyDescent="0.3">
      <c r="B408" s="271">
        <v>43516</v>
      </c>
      <c r="C408" s="292">
        <v>160.25</v>
      </c>
      <c r="D408" s="292">
        <v>30.950001</v>
      </c>
      <c r="E408" s="292">
        <v>2245.5500000000002</v>
      </c>
      <c r="F408" s="292">
        <v>1054.1800539999999</v>
      </c>
      <c r="G408" s="292">
        <v>1396.9</v>
      </c>
      <c r="H408" s="292">
        <v>1234.349976</v>
      </c>
      <c r="I408" s="292">
        <v>217.85</v>
      </c>
      <c r="J408" s="197">
        <v>1733.5</v>
      </c>
      <c r="L408" s="297">
        <f t="shared" si="103"/>
        <v>4.5643793137141321E-2</v>
      </c>
      <c r="M408" s="298">
        <f t="shared" si="104"/>
        <v>4.8583739287865711E-3</v>
      </c>
      <c r="N408" s="298">
        <f t="shared" si="105"/>
        <v>2.1084203435711973E-2</v>
      </c>
      <c r="O408" s="298">
        <f t="shared" si="106"/>
        <v>1.1592503217562975E-2</v>
      </c>
      <c r="P408" s="298">
        <f t="shared" si="107"/>
        <v>1.3731182495604061E-2</v>
      </c>
      <c r="Q408" s="298">
        <f t="shared" si="108"/>
        <v>1.4895499024665174E-2</v>
      </c>
      <c r="R408" s="298">
        <f t="shared" si="109"/>
        <v>2.3219060289289831E-2</v>
      </c>
      <c r="S408" s="299">
        <f t="shared" si="110"/>
        <v>-2.5637433926403003E-3</v>
      </c>
      <c r="U408" s="303">
        <f t="shared" si="111"/>
        <v>4.7202498557649852E-2</v>
      </c>
      <c r="V408" s="86">
        <f t="shared" si="112"/>
        <v>-1.239354769674063E-3</v>
      </c>
      <c r="W408" s="86">
        <f t="shared" si="113"/>
        <v>1.8235700090645804E-2</v>
      </c>
      <c r="X408" s="86">
        <f t="shared" si="114"/>
        <v>1.1221175705048466E-2</v>
      </c>
      <c r="Y408" s="86">
        <f t="shared" si="115"/>
        <v>1.2622172503910432E-2</v>
      </c>
      <c r="Z408" s="86">
        <f t="shared" si="116"/>
        <v>1.3333706425487823E-2</v>
      </c>
      <c r="AA408" s="86">
        <f t="shared" si="117"/>
        <v>2.8930980964833368E-2</v>
      </c>
      <c r="AB408" s="304">
        <f t="shared" si="118"/>
        <v>-3.176101269289861E-3</v>
      </c>
    </row>
    <row r="409" spans="2:28" x14ac:dyDescent="0.3">
      <c r="B409" s="271">
        <v>43515</v>
      </c>
      <c r="C409" s="292">
        <v>153.1</v>
      </c>
      <c r="D409" s="292">
        <v>30.799999</v>
      </c>
      <c r="E409" s="292">
        <v>2198.6999999999998</v>
      </c>
      <c r="F409" s="292">
        <v>1042.030029</v>
      </c>
      <c r="G409" s="292">
        <v>1377.85</v>
      </c>
      <c r="H409" s="292">
        <v>1216.099976</v>
      </c>
      <c r="I409" s="292">
        <v>212.85</v>
      </c>
      <c r="J409" s="197">
        <v>1737.9499510000001</v>
      </c>
      <c r="L409" s="297">
        <f t="shared" si="103"/>
        <v>3.3879028899522934E-2</v>
      </c>
      <c r="M409" s="298">
        <f t="shared" si="104"/>
        <v>1.8018473035145331E-2</v>
      </c>
      <c r="N409" s="298">
        <f t="shared" si="105"/>
        <v>1.0466201951964673E-3</v>
      </c>
      <c r="O409" s="298">
        <f t="shared" si="106"/>
        <v>-2.7982289559574038E-3</v>
      </c>
      <c r="P409" s="298">
        <f t="shared" si="107"/>
        <v>-1.595417141048382E-3</v>
      </c>
      <c r="Q409" s="298">
        <f t="shared" si="108"/>
        <v>-3.2838056590350547E-3</v>
      </c>
      <c r="R409" s="298">
        <f t="shared" si="109"/>
        <v>-3.2833050133142731E-3</v>
      </c>
      <c r="S409" s="299">
        <f t="shared" si="110"/>
        <v>-7.9946974234698341E-3</v>
      </c>
      <c r="U409" s="303">
        <f t="shared" si="111"/>
        <v>3.5437734320031465E-2</v>
      </c>
      <c r="V409" s="86">
        <f t="shared" si="112"/>
        <v>1.1920744336684698E-2</v>
      </c>
      <c r="W409" s="86">
        <f t="shared" si="113"/>
        <v>-1.8018831498697019E-3</v>
      </c>
      <c r="X409" s="86">
        <f t="shared" si="114"/>
        <v>-3.1695564684719132E-3</v>
      </c>
      <c r="Y409" s="86">
        <f t="shared" si="115"/>
        <v>-2.7044271327420107E-3</v>
      </c>
      <c r="Z409" s="86">
        <f t="shared" si="116"/>
        <v>-4.845598258212405E-3</v>
      </c>
      <c r="AA409" s="86">
        <f t="shared" si="117"/>
        <v>2.4286156622292626E-3</v>
      </c>
      <c r="AB409" s="304">
        <f t="shared" si="118"/>
        <v>-8.6070553001193952E-3</v>
      </c>
    </row>
    <row r="410" spans="2:28" x14ac:dyDescent="0.3">
      <c r="B410" s="271">
        <v>43514</v>
      </c>
      <c r="C410" s="292">
        <v>148</v>
      </c>
      <c r="D410" s="292">
        <v>30.25</v>
      </c>
      <c r="E410" s="292">
        <v>2196.4</v>
      </c>
      <c r="F410" s="292">
        <v>1044.9499510000001</v>
      </c>
      <c r="G410" s="292">
        <v>1380.05</v>
      </c>
      <c r="H410" s="292">
        <v>1220.099976</v>
      </c>
      <c r="I410" s="292">
        <v>213.55</v>
      </c>
      <c r="J410" s="197">
        <v>1751.900024</v>
      </c>
      <c r="L410" s="297">
        <f t="shared" si="103"/>
        <v>4.7409502955303683E-3</v>
      </c>
      <c r="M410" s="298">
        <f t="shared" si="104"/>
        <v>-2.4491020008295755E-2</v>
      </c>
      <c r="N410" s="298">
        <f t="shared" si="105"/>
        <v>1.5855319815997033E-2</v>
      </c>
      <c r="O410" s="298">
        <f t="shared" si="106"/>
        <v>-5.1258377408874541E-3</v>
      </c>
      <c r="P410" s="298">
        <f t="shared" si="107"/>
        <v>-9.7705967192888623E-3</v>
      </c>
      <c r="Q410" s="298">
        <f t="shared" si="108"/>
        <v>-1.9760822937121402E-2</v>
      </c>
      <c r="R410" s="298">
        <f t="shared" si="109"/>
        <v>-2.5200732529025223E-2</v>
      </c>
      <c r="S410" s="299">
        <f t="shared" si="110"/>
        <v>-1.1859318251667679E-2</v>
      </c>
      <c r="U410" s="303">
        <f t="shared" si="111"/>
        <v>6.2996557160388987E-3</v>
      </c>
      <c r="V410" s="86">
        <f t="shared" si="112"/>
        <v>-3.0588748706756388E-2</v>
      </c>
      <c r="W410" s="86">
        <f t="shared" si="113"/>
        <v>1.3006816470930865E-2</v>
      </c>
      <c r="X410" s="86">
        <f t="shared" si="114"/>
        <v>-5.4971652534019635E-3</v>
      </c>
      <c r="Y410" s="86">
        <f t="shared" si="115"/>
        <v>-1.0879606710982492E-2</v>
      </c>
      <c r="Z410" s="86">
        <f t="shared" si="116"/>
        <v>-2.1322615536298752E-2</v>
      </c>
      <c r="AA410" s="86">
        <f t="shared" si="117"/>
        <v>-1.9488811853481686E-2</v>
      </c>
      <c r="AB410" s="304">
        <f t="shared" si="118"/>
        <v>-1.247167612831724E-2</v>
      </c>
    </row>
    <row r="411" spans="2:28" x14ac:dyDescent="0.3">
      <c r="B411" s="271">
        <v>43511</v>
      </c>
      <c r="C411" s="292">
        <v>147.30000000000001</v>
      </c>
      <c r="D411" s="292">
        <v>31</v>
      </c>
      <c r="E411" s="292">
        <v>2161.85</v>
      </c>
      <c r="F411" s="292">
        <v>1050.3199460000001</v>
      </c>
      <c r="G411" s="292">
        <v>1393.6</v>
      </c>
      <c r="H411" s="292">
        <v>1244.4499510000001</v>
      </c>
      <c r="I411" s="292">
        <v>219</v>
      </c>
      <c r="J411" s="197">
        <v>1772.8000489999999</v>
      </c>
      <c r="L411" s="297">
        <f t="shared" si="103"/>
        <v>-2.9763106471022975E-2</v>
      </c>
      <c r="M411" s="298">
        <f t="shared" si="104"/>
        <v>-3.01850076373016E-2</v>
      </c>
      <c r="N411" s="298">
        <f t="shared" si="105"/>
        <v>-8.8650000890861669E-3</v>
      </c>
      <c r="O411" s="298">
        <f t="shared" si="106"/>
        <v>-4.5406981884361392E-3</v>
      </c>
      <c r="P411" s="298">
        <f t="shared" si="107"/>
        <v>-4.0103176061540343E-3</v>
      </c>
      <c r="Q411" s="298">
        <f t="shared" si="108"/>
        <v>1.6406096457061866E-2</v>
      </c>
      <c r="R411" s="298">
        <f t="shared" si="109"/>
        <v>-1.0221554071538028E-2</v>
      </c>
      <c r="S411" s="299">
        <f t="shared" si="110"/>
        <v>-6.8862082832698941E-3</v>
      </c>
      <c r="U411" s="303">
        <f t="shared" si="111"/>
        <v>-2.8204401050514444E-2</v>
      </c>
      <c r="V411" s="86">
        <f t="shared" si="112"/>
        <v>-3.6282736335762233E-2</v>
      </c>
      <c r="W411" s="86">
        <f t="shared" si="113"/>
        <v>-1.1713503434152336E-2</v>
      </c>
      <c r="X411" s="86">
        <f t="shared" si="114"/>
        <v>-4.9120257009506486E-3</v>
      </c>
      <c r="Y411" s="86">
        <f t="shared" si="115"/>
        <v>-5.1193275978476636E-3</v>
      </c>
      <c r="Z411" s="86">
        <f t="shared" si="116"/>
        <v>1.4844303857884515E-2</v>
      </c>
      <c r="AA411" s="86">
        <f t="shared" si="117"/>
        <v>-4.5096333959944923E-3</v>
      </c>
      <c r="AB411" s="304">
        <f t="shared" si="118"/>
        <v>-7.4985661599194552E-3</v>
      </c>
    </row>
    <row r="412" spans="2:28" x14ac:dyDescent="0.3">
      <c r="B412" s="271">
        <v>43510</v>
      </c>
      <c r="C412" s="292">
        <v>151.75</v>
      </c>
      <c r="D412" s="292">
        <v>31.950001</v>
      </c>
      <c r="E412" s="292">
        <v>2181.1</v>
      </c>
      <c r="F412" s="292">
        <v>1055.099976</v>
      </c>
      <c r="G412" s="292">
        <v>1399.2</v>
      </c>
      <c r="H412" s="292">
        <v>1224.1999510000001</v>
      </c>
      <c r="I412" s="292">
        <v>221.25</v>
      </c>
      <c r="J412" s="197">
        <v>1785.0500489999999</v>
      </c>
      <c r="L412" s="297">
        <f t="shared" si="103"/>
        <v>6.9433243071578346E-3</v>
      </c>
      <c r="M412" s="298">
        <f t="shared" si="104"/>
        <v>-4.6837557082243684E-3</v>
      </c>
      <c r="N412" s="298">
        <f t="shared" si="105"/>
        <v>6.7163744978425751E-3</v>
      </c>
      <c r="O412" s="298">
        <f t="shared" si="106"/>
        <v>-9.1983952137315739E-3</v>
      </c>
      <c r="P412" s="298">
        <f t="shared" si="107"/>
        <v>-1.7674499798619969E-2</v>
      </c>
      <c r="Q412" s="298">
        <f t="shared" si="108"/>
        <v>-2.5962978375858935E-2</v>
      </c>
      <c r="R412" s="298">
        <f t="shared" si="109"/>
        <v>0.26673538583497858</v>
      </c>
      <c r="S412" s="299">
        <f t="shared" si="110"/>
        <v>-5.2799781115360671E-3</v>
      </c>
      <c r="U412" s="303">
        <f t="shared" si="111"/>
        <v>8.5020297276663642E-3</v>
      </c>
      <c r="V412" s="86">
        <f t="shared" si="112"/>
        <v>-1.0781484406685003E-2</v>
      </c>
      <c r="W412" s="86">
        <f t="shared" si="113"/>
        <v>3.8678711527764058E-3</v>
      </c>
      <c r="X412" s="86">
        <f t="shared" si="114"/>
        <v>-9.5697227262460834E-3</v>
      </c>
      <c r="Y412" s="86">
        <f t="shared" si="115"/>
        <v>-1.8783509790313596E-2</v>
      </c>
      <c r="Z412" s="86">
        <f t="shared" si="116"/>
        <v>-2.7524770975036285E-2</v>
      </c>
      <c r="AA412" s="86">
        <f t="shared" si="117"/>
        <v>0.27244730651052212</v>
      </c>
      <c r="AB412" s="304">
        <f t="shared" si="118"/>
        <v>-5.8923359881856282E-3</v>
      </c>
    </row>
    <row r="413" spans="2:28" x14ac:dyDescent="0.3">
      <c r="B413" s="271">
        <v>43509</v>
      </c>
      <c r="C413" s="292">
        <v>150.69999999999999</v>
      </c>
      <c r="D413" s="292">
        <v>32.099997999999999</v>
      </c>
      <c r="E413" s="292">
        <v>2166.5</v>
      </c>
      <c r="F413" s="292">
        <v>1064.849976</v>
      </c>
      <c r="G413" s="292">
        <v>1424.15</v>
      </c>
      <c r="H413" s="292">
        <v>1256.400024</v>
      </c>
      <c r="I413" s="292">
        <v>169.45</v>
      </c>
      <c r="J413" s="197">
        <v>1794.5</v>
      </c>
      <c r="L413" s="297">
        <f t="shared" si="103"/>
        <v>-1.4165942704393813E-2</v>
      </c>
      <c r="M413" s="298">
        <f t="shared" si="104"/>
        <v>0</v>
      </c>
      <c r="N413" s="298">
        <f t="shared" si="105"/>
        <v>-7.1518397076166702E-3</v>
      </c>
      <c r="O413" s="298">
        <f t="shared" si="106"/>
        <v>0</v>
      </c>
      <c r="P413" s="298">
        <f t="shared" si="107"/>
        <v>-1.9435640033679424E-2</v>
      </c>
      <c r="Q413" s="298">
        <f t="shared" si="108"/>
        <v>0</v>
      </c>
      <c r="R413" s="298">
        <f t="shared" si="109"/>
        <v>-1.8708525782941077E-2</v>
      </c>
      <c r="S413" s="299">
        <f t="shared" si="110"/>
        <v>0</v>
      </c>
      <c r="U413" s="303">
        <f t="shared" si="111"/>
        <v>-1.2607237283885284E-2</v>
      </c>
      <c r="V413" s="86">
        <f t="shared" si="112"/>
        <v>-6.0977286984606341E-3</v>
      </c>
      <c r="W413" s="86">
        <f t="shared" si="113"/>
        <v>-1.0000343052682839E-2</v>
      </c>
      <c r="X413" s="86">
        <f t="shared" si="114"/>
        <v>-3.7132751251450931E-4</v>
      </c>
      <c r="Y413" s="86">
        <f t="shared" si="115"/>
        <v>-2.0544650025373052E-2</v>
      </c>
      <c r="Z413" s="86">
        <f t="shared" si="116"/>
        <v>-1.5617925991773505E-3</v>
      </c>
      <c r="AA413" s="86">
        <f t="shared" si="117"/>
        <v>-1.299660510739754E-2</v>
      </c>
      <c r="AB413" s="304">
        <f t="shared" si="118"/>
        <v>-6.1235787664956089E-4</v>
      </c>
    </row>
    <row r="414" spans="2:28" x14ac:dyDescent="0.3">
      <c r="B414" s="271">
        <v>43508</v>
      </c>
      <c r="C414" s="292">
        <v>152.85</v>
      </c>
      <c r="D414" s="292">
        <v>32.099997999999999</v>
      </c>
      <c r="E414" s="292">
        <v>2182.0500000000002</v>
      </c>
      <c r="F414" s="292">
        <v>1064.849976</v>
      </c>
      <c r="G414" s="292">
        <v>1452.1</v>
      </c>
      <c r="H414" s="292">
        <v>1256.400024</v>
      </c>
      <c r="I414" s="292">
        <v>172.65</v>
      </c>
      <c r="J414" s="197">
        <v>1794.5</v>
      </c>
      <c r="L414" s="297">
        <f t="shared" si="103"/>
        <v>4.5901719938634174E-3</v>
      </c>
      <c r="M414" s="298">
        <f t="shared" si="104"/>
        <v>-2.309571621714478E-2</v>
      </c>
      <c r="N414" s="298">
        <f t="shared" si="105"/>
        <v>-7.2830540759859039E-3</v>
      </c>
      <c r="O414" s="298">
        <f t="shared" si="106"/>
        <v>-4.6564379146911243E-3</v>
      </c>
      <c r="P414" s="298">
        <f t="shared" si="107"/>
        <v>1.0383590456490625E-2</v>
      </c>
      <c r="Q414" s="298">
        <f t="shared" si="108"/>
        <v>2.510330623075339E-3</v>
      </c>
      <c r="R414" s="298">
        <f t="shared" si="109"/>
        <v>-3.469214234011198E-3</v>
      </c>
      <c r="S414" s="299">
        <f t="shared" si="110"/>
        <v>-5.7233778659001094E-3</v>
      </c>
      <c r="U414" s="303">
        <f t="shared" si="111"/>
        <v>6.1488774143719479E-3</v>
      </c>
      <c r="V414" s="86">
        <f t="shared" si="112"/>
        <v>-2.9193444915605413E-2</v>
      </c>
      <c r="W414" s="86">
        <f t="shared" si="113"/>
        <v>-1.0131557421052073E-2</v>
      </c>
      <c r="X414" s="86">
        <f t="shared" si="114"/>
        <v>-5.0277654272056337E-3</v>
      </c>
      <c r="Y414" s="86">
        <f t="shared" si="115"/>
        <v>9.2745804647969953E-3</v>
      </c>
      <c r="Z414" s="86">
        <f t="shared" si="116"/>
        <v>9.4853802389798848E-4</v>
      </c>
      <c r="AA414" s="86">
        <f t="shared" si="117"/>
        <v>2.2427064415323377E-3</v>
      </c>
      <c r="AB414" s="304">
        <f t="shared" si="118"/>
        <v>-6.3357357425496705E-3</v>
      </c>
    </row>
    <row r="415" spans="2:28" x14ac:dyDescent="0.3">
      <c r="B415" s="271">
        <v>43507</v>
      </c>
      <c r="C415" s="292">
        <v>152.15</v>
      </c>
      <c r="D415" s="292">
        <v>32.849997999999999</v>
      </c>
      <c r="E415" s="292">
        <v>2198</v>
      </c>
      <c r="F415" s="292">
        <v>1069.8199460000001</v>
      </c>
      <c r="G415" s="292">
        <v>1437.1</v>
      </c>
      <c r="H415" s="292">
        <v>1253.25</v>
      </c>
      <c r="I415" s="292">
        <v>173.25</v>
      </c>
      <c r="J415" s="197">
        <v>1804.8000489999999</v>
      </c>
      <c r="L415" s="297">
        <f t="shared" si="103"/>
        <v>-1.3059277989179252E-2</v>
      </c>
      <c r="M415" s="298">
        <f t="shared" si="104"/>
        <v>-3.1463389335636013E-2</v>
      </c>
      <c r="N415" s="298">
        <f t="shared" si="105"/>
        <v>8.2459152232776181E-3</v>
      </c>
      <c r="O415" s="298">
        <f t="shared" si="106"/>
        <v>7.9769940066664602E-3</v>
      </c>
      <c r="P415" s="298">
        <f t="shared" si="107"/>
        <v>-8.1084334890024756E-3</v>
      </c>
      <c r="Q415" s="298">
        <f t="shared" si="108"/>
        <v>-1.9321371103503619E-2</v>
      </c>
      <c r="R415" s="298">
        <f t="shared" si="109"/>
        <v>-1.0621601221793496E-2</v>
      </c>
      <c r="S415" s="299">
        <f t="shared" si="110"/>
        <v>-6.9021005967303071E-3</v>
      </c>
      <c r="U415" s="303">
        <f t="shared" si="111"/>
        <v>-1.1500572568670722E-2</v>
      </c>
      <c r="V415" s="86">
        <f t="shared" si="112"/>
        <v>-3.7561118034096647E-2</v>
      </c>
      <c r="W415" s="86">
        <f t="shared" si="113"/>
        <v>5.3974118782114493E-3</v>
      </c>
      <c r="X415" s="86">
        <f t="shared" si="114"/>
        <v>7.6056664941519508E-3</v>
      </c>
      <c r="Y415" s="86">
        <f t="shared" si="115"/>
        <v>-9.217443480696105E-3</v>
      </c>
      <c r="Z415" s="86">
        <f t="shared" si="116"/>
        <v>-2.0883163702680969E-2</v>
      </c>
      <c r="AA415" s="86">
        <f t="shared" si="117"/>
        <v>-4.9096805462499607E-3</v>
      </c>
      <c r="AB415" s="304">
        <f t="shared" si="118"/>
        <v>-7.5144584733798682E-3</v>
      </c>
    </row>
    <row r="416" spans="2:28" x14ac:dyDescent="0.3">
      <c r="B416" s="271">
        <v>43504</v>
      </c>
      <c r="C416" s="292">
        <v>154.15</v>
      </c>
      <c r="D416" s="292">
        <v>33.900002000000001</v>
      </c>
      <c r="E416" s="292">
        <v>2179.9499999999998</v>
      </c>
      <c r="F416" s="292">
        <v>1061.3199460000001</v>
      </c>
      <c r="G416" s="292">
        <v>1448.8</v>
      </c>
      <c r="H416" s="292">
        <v>1277.6999510000001</v>
      </c>
      <c r="I416" s="292">
        <v>175.1</v>
      </c>
      <c r="J416" s="197">
        <v>1817.3000489999999</v>
      </c>
      <c r="L416" s="297">
        <f t="shared" si="103"/>
        <v>-5.858097883806019E-2</v>
      </c>
      <c r="M416" s="298">
        <f t="shared" si="104"/>
        <v>-1.4641549135432872E-2</v>
      </c>
      <c r="N416" s="298">
        <f t="shared" si="105"/>
        <v>-6.8785255153971817E-4</v>
      </c>
      <c r="O416" s="298">
        <f t="shared" si="106"/>
        <v>2.5471971234691873E-3</v>
      </c>
      <c r="P416" s="298">
        <f t="shared" si="107"/>
        <v>-1.6192052522639631E-2</v>
      </c>
      <c r="Q416" s="298">
        <f t="shared" si="108"/>
        <v>-9.8907181627666905E-3</v>
      </c>
      <c r="R416" s="298">
        <f t="shared" si="109"/>
        <v>-1.0509967499666227E-2</v>
      </c>
      <c r="S416" s="299">
        <f t="shared" si="110"/>
        <v>-1.1897250518119171E-2</v>
      </c>
      <c r="U416" s="303">
        <f t="shared" si="111"/>
        <v>-5.7022273417551658E-2</v>
      </c>
      <c r="V416" s="86">
        <f t="shared" si="112"/>
        <v>-2.0739277833893507E-2</v>
      </c>
      <c r="W416" s="86">
        <f t="shared" si="113"/>
        <v>-3.5363558966058873E-3</v>
      </c>
      <c r="X416" s="86">
        <f t="shared" si="114"/>
        <v>2.1758696109546779E-3</v>
      </c>
      <c r="Y416" s="86">
        <f t="shared" si="115"/>
        <v>-1.7301062514333259E-2</v>
      </c>
      <c r="Z416" s="86">
        <f t="shared" si="116"/>
        <v>-1.1452510761944042E-2</v>
      </c>
      <c r="AA416" s="86">
        <f t="shared" si="117"/>
        <v>-4.7980468241226914E-3</v>
      </c>
      <c r="AB416" s="304">
        <f t="shared" si="118"/>
        <v>-1.2509608394768732E-2</v>
      </c>
    </row>
    <row r="417" spans="2:28" x14ac:dyDescent="0.3">
      <c r="B417" s="271">
        <v>43503</v>
      </c>
      <c r="C417" s="292">
        <v>163.44999999999999</v>
      </c>
      <c r="D417" s="292">
        <v>34.400002000000001</v>
      </c>
      <c r="E417" s="292">
        <v>2181.4499999999998</v>
      </c>
      <c r="F417" s="292">
        <v>1058.619995</v>
      </c>
      <c r="G417" s="292">
        <v>1472.45</v>
      </c>
      <c r="H417" s="292">
        <v>1290.400024</v>
      </c>
      <c r="I417" s="292">
        <v>176.95</v>
      </c>
      <c r="J417" s="197">
        <v>1839.0500489999999</v>
      </c>
      <c r="L417" s="297">
        <f t="shared" si="103"/>
        <v>-1.8337413451417599E-3</v>
      </c>
      <c r="M417" s="298">
        <f t="shared" si="104"/>
        <v>3.8523400558831175E-2</v>
      </c>
      <c r="N417" s="298">
        <f t="shared" si="105"/>
        <v>-1.510458415793395E-2</v>
      </c>
      <c r="O417" s="298">
        <f t="shared" si="106"/>
        <v>-2.5471971234692732E-3</v>
      </c>
      <c r="P417" s="298">
        <f t="shared" si="107"/>
        <v>2.0735259056661121E-3</v>
      </c>
      <c r="Q417" s="298">
        <f t="shared" si="108"/>
        <v>-1.526569227239258E-2</v>
      </c>
      <c r="R417" s="298">
        <f t="shared" si="109"/>
        <v>2.8296566701933173E-3</v>
      </c>
      <c r="S417" s="299">
        <f t="shared" si="110"/>
        <v>4.9605432872682643E-3</v>
      </c>
      <c r="U417" s="303">
        <f t="shared" si="111"/>
        <v>-2.7503592463322965E-4</v>
      </c>
      <c r="V417" s="86">
        <f t="shared" si="112"/>
        <v>3.2425671860370542E-2</v>
      </c>
      <c r="W417" s="86">
        <f t="shared" si="113"/>
        <v>-1.795308750300012E-2</v>
      </c>
      <c r="X417" s="86">
        <f t="shared" si="114"/>
        <v>-2.9185246359837826E-3</v>
      </c>
      <c r="Y417" s="86">
        <f t="shared" si="115"/>
        <v>9.6451591397248319E-4</v>
      </c>
      <c r="Z417" s="86">
        <f t="shared" si="116"/>
        <v>-1.6827484871569931E-2</v>
      </c>
      <c r="AA417" s="86">
        <f t="shared" si="117"/>
        <v>8.5415773457368539E-3</v>
      </c>
      <c r="AB417" s="304">
        <f t="shared" si="118"/>
        <v>4.3481854106187032E-3</v>
      </c>
    </row>
    <row r="418" spans="2:28" x14ac:dyDescent="0.3">
      <c r="B418" s="271">
        <v>43502</v>
      </c>
      <c r="C418" s="292">
        <v>163.75</v>
      </c>
      <c r="D418" s="292">
        <v>33.099997999999999</v>
      </c>
      <c r="E418" s="292">
        <v>2214.65</v>
      </c>
      <c r="F418" s="292">
        <v>1061.3199460000001</v>
      </c>
      <c r="G418" s="292">
        <v>1469.4</v>
      </c>
      <c r="H418" s="292">
        <v>1310.25</v>
      </c>
      <c r="I418" s="292">
        <v>176.45</v>
      </c>
      <c r="J418" s="197">
        <v>1829.9499510000001</v>
      </c>
      <c r="L418" s="297">
        <f t="shared" si="103"/>
        <v>7.0476774016511529E-3</v>
      </c>
      <c r="M418" s="298">
        <f t="shared" si="104"/>
        <v>4.5419306625252226E-3</v>
      </c>
      <c r="N418" s="298">
        <f t="shared" si="105"/>
        <v>-6.2567723017090595E-3</v>
      </c>
      <c r="O418" s="298">
        <f t="shared" si="106"/>
        <v>4.0502494064994076E-3</v>
      </c>
      <c r="P418" s="298">
        <f t="shared" si="107"/>
        <v>1.3049247588511023E-2</v>
      </c>
      <c r="Q418" s="298">
        <f t="shared" si="108"/>
        <v>1.4374873284003206E-2</v>
      </c>
      <c r="R418" s="298">
        <f t="shared" si="109"/>
        <v>1.9855346191185643E-3</v>
      </c>
      <c r="S418" s="299">
        <f t="shared" si="110"/>
        <v>4.6557570148501514E-3</v>
      </c>
      <c r="U418" s="303">
        <f t="shared" si="111"/>
        <v>8.6063828221596833E-3</v>
      </c>
      <c r="V418" s="86">
        <f t="shared" si="112"/>
        <v>-1.5557980359354115E-3</v>
      </c>
      <c r="W418" s="86">
        <f t="shared" si="113"/>
        <v>-9.1052756467752283E-3</v>
      </c>
      <c r="X418" s="86">
        <f t="shared" si="114"/>
        <v>3.6789218939848982E-3</v>
      </c>
      <c r="Y418" s="86">
        <f t="shared" si="115"/>
        <v>1.1940237596817393E-2</v>
      </c>
      <c r="Z418" s="86">
        <f t="shared" si="116"/>
        <v>1.2813080684825855E-2</v>
      </c>
      <c r="AA418" s="86">
        <f t="shared" si="117"/>
        <v>7.6974552946621E-3</v>
      </c>
      <c r="AB418" s="304">
        <f t="shared" si="118"/>
        <v>4.0433991382005903E-3</v>
      </c>
    </row>
    <row r="419" spans="2:28" x14ac:dyDescent="0.3">
      <c r="B419" s="271">
        <v>43501</v>
      </c>
      <c r="C419" s="292">
        <v>162.6</v>
      </c>
      <c r="D419" s="292">
        <v>32.950001</v>
      </c>
      <c r="E419" s="292">
        <v>2228.5500000000002</v>
      </c>
      <c r="F419" s="292">
        <v>1057.030029</v>
      </c>
      <c r="G419" s="292">
        <v>1450.35</v>
      </c>
      <c r="H419" s="292">
        <v>1291.5500489999999</v>
      </c>
      <c r="I419" s="292">
        <v>176.1</v>
      </c>
      <c r="J419" s="197">
        <v>1821.4499510000001</v>
      </c>
      <c r="L419" s="297">
        <f t="shared" si="103"/>
        <v>7.7172786157393451E-3</v>
      </c>
      <c r="M419" s="298">
        <f t="shared" si="104"/>
        <v>-2.6947648976557805E-2</v>
      </c>
      <c r="N419" s="298">
        <f t="shared" si="105"/>
        <v>-4.1420906221491935E-3</v>
      </c>
      <c r="O419" s="298">
        <f t="shared" si="106"/>
        <v>4.3423831848248117E-3</v>
      </c>
      <c r="P419" s="298">
        <f t="shared" si="107"/>
        <v>2.7617651413322283E-3</v>
      </c>
      <c r="Q419" s="298">
        <f t="shared" si="108"/>
        <v>5.0341729392876938E-4</v>
      </c>
      <c r="R419" s="298">
        <f t="shared" si="109"/>
        <v>-2.0793106535359512E-2</v>
      </c>
      <c r="S419" s="299">
        <f t="shared" si="110"/>
        <v>1.040280645808561E-2</v>
      </c>
      <c r="U419" s="303">
        <f t="shared" si="111"/>
        <v>9.2759840362478755E-3</v>
      </c>
      <c r="V419" s="86">
        <f t="shared" si="112"/>
        <v>-3.3045377675018438E-2</v>
      </c>
      <c r="W419" s="86">
        <f t="shared" si="113"/>
        <v>-6.9905939672153632E-3</v>
      </c>
      <c r="X419" s="86">
        <f t="shared" si="114"/>
        <v>3.9710556723103023E-3</v>
      </c>
      <c r="Y419" s="86">
        <f t="shared" si="115"/>
        <v>1.6527551496385994E-3</v>
      </c>
      <c r="Z419" s="86">
        <f t="shared" si="116"/>
        <v>-1.058375305248581E-3</v>
      </c>
      <c r="AA419" s="86">
        <f t="shared" si="117"/>
        <v>-1.5081185859815976E-2</v>
      </c>
      <c r="AB419" s="304">
        <f t="shared" si="118"/>
        <v>9.7904485814360488E-3</v>
      </c>
    </row>
    <row r="420" spans="2:28" x14ac:dyDescent="0.3">
      <c r="B420" s="271">
        <v>43500</v>
      </c>
      <c r="C420" s="292">
        <v>161.35</v>
      </c>
      <c r="D420" s="292">
        <v>33.849997999999999</v>
      </c>
      <c r="E420" s="292">
        <v>2237.8000000000002</v>
      </c>
      <c r="F420" s="292">
        <v>1052.4499510000001</v>
      </c>
      <c r="G420" s="292">
        <v>1446.35</v>
      </c>
      <c r="H420" s="292">
        <v>1290.900024</v>
      </c>
      <c r="I420" s="292">
        <v>179.8</v>
      </c>
      <c r="J420" s="197">
        <v>1802.599976</v>
      </c>
      <c r="L420" s="297">
        <f t="shared" si="103"/>
        <v>-4.9459142553561816E-3</v>
      </c>
      <c r="M420" s="298">
        <f t="shared" si="104"/>
        <v>-5.4611328865929433E-2</v>
      </c>
      <c r="N420" s="298">
        <f t="shared" si="105"/>
        <v>-2.3342379693679419E-2</v>
      </c>
      <c r="O420" s="298">
        <f t="shared" si="106"/>
        <v>6.8933711200286889E-3</v>
      </c>
      <c r="P420" s="298">
        <f t="shared" si="107"/>
        <v>-7.4736446780748712E-3</v>
      </c>
      <c r="Q420" s="298">
        <f t="shared" si="108"/>
        <v>3.223615680958701E-2</v>
      </c>
      <c r="R420" s="298">
        <f t="shared" si="109"/>
        <v>-3.1748698314580187E-2</v>
      </c>
      <c r="S420" s="299">
        <f t="shared" si="110"/>
        <v>1.8323262169220923E-3</v>
      </c>
      <c r="U420" s="303">
        <f t="shared" si="111"/>
        <v>-3.3872088348476511E-3</v>
      </c>
      <c r="V420" s="86">
        <f t="shared" si="112"/>
        <v>-6.0709057564390066E-2</v>
      </c>
      <c r="W420" s="86">
        <f t="shared" si="113"/>
        <v>-2.6190883038745588E-2</v>
      </c>
      <c r="X420" s="86">
        <f t="shared" si="114"/>
        <v>6.5220436075141795E-3</v>
      </c>
      <c r="Y420" s="86">
        <f t="shared" si="115"/>
        <v>-8.5826546697684997E-3</v>
      </c>
      <c r="Z420" s="86">
        <f t="shared" si="116"/>
        <v>3.0674364210409661E-2</v>
      </c>
      <c r="AA420" s="86">
        <f t="shared" si="117"/>
        <v>-2.6036777639036651E-2</v>
      </c>
      <c r="AB420" s="304">
        <f t="shared" si="118"/>
        <v>1.2199683402725314E-3</v>
      </c>
    </row>
    <row r="421" spans="2:28" x14ac:dyDescent="0.3">
      <c r="B421" s="271">
        <v>43497</v>
      </c>
      <c r="C421" s="292">
        <v>162.15</v>
      </c>
      <c r="D421" s="292">
        <v>35.75</v>
      </c>
      <c r="E421" s="292">
        <v>2290.65</v>
      </c>
      <c r="F421" s="292">
        <v>1045.219971</v>
      </c>
      <c r="G421" s="292">
        <v>1457.2</v>
      </c>
      <c r="H421" s="292">
        <v>1249.9499510000001</v>
      </c>
      <c r="I421" s="292">
        <v>185.6</v>
      </c>
      <c r="J421" s="197">
        <v>1799.3000489999999</v>
      </c>
      <c r="L421" s="297">
        <f t="shared" si="103"/>
        <v>-0.19645696935552909</v>
      </c>
      <c r="M421" s="298">
        <f t="shared" si="104"/>
        <v>4.2046874618087773E-3</v>
      </c>
      <c r="N421" s="298">
        <f t="shared" si="105"/>
        <v>9.6947592099276558E-3</v>
      </c>
      <c r="O421" s="298">
        <f t="shared" si="106"/>
        <v>5.0355231316967022E-3</v>
      </c>
      <c r="P421" s="298">
        <f t="shared" si="107"/>
        <v>3.1084808159587009E-2</v>
      </c>
      <c r="Q421" s="298">
        <f t="shared" si="108"/>
        <v>1.8409084109428559E-2</v>
      </c>
      <c r="R421" s="298">
        <f t="shared" si="109"/>
        <v>-4.4779669822864333E-2</v>
      </c>
      <c r="S421" s="299">
        <f t="shared" si="110"/>
        <v>2.0239030502996833E-2</v>
      </c>
      <c r="U421" s="303">
        <f t="shared" si="111"/>
        <v>-0.19489826393502055</v>
      </c>
      <c r="V421" s="86">
        <f t="shared" si="112"/>
        <v>-1.8930412366518568E-3</v>
      </c>
      <c r="W421" s="86">
        <f t="shared" si="113"/>
        <v>6.846255864861487E-3</v>
      </c>
      <c r="X421" s="86">
        <f t="shared" si="114"/>
        <v>4.6641956191821928E-3</v>
      </c>
      <c r="Y421" s="86">
        <f t="shared" si="115"/>
        <v>2.9975798167893381E-2</v>
      </c>
      <c r="Z421" s="86">
        <f t="shared" si="116"/>
        <v>1.684729151025121E-2</v>
      </c>
      <c r="AA421" s="86">
        <f t="shared" si="117"/>
        <v>-3.90677491473208E-2</v>
      </c>
      <c r="AB421" s="304">
        <f t="shared" si="118"/>
        <v>1.9626672626347274E-2</v>
      </c>
    </row>
    <row r="422" spans="2:28" x14ac:dyDescent="0.3">
      <c r="B422" s="271">
        <v>43496</v>
      </c>
      <c r="C422" s="292">
        <v>197.35</v>
      </c>
      <c r="D422" s="292">
        <v>35.599997999999999</v>
      </c>
      <c r="E422" s="292">
        <v>2268.5500000000002</v>
      </c>
      <c r="F422" s="292">
        <v>1039.969971</v>
      </c>
      <c r="G422" s="292">
        <v>1412.6</v>
      </c>
      <c r="H422" s="292">
        <v>1227.150024</v>
      </c>
      <c r="I422" s="292">
        <v>194.1</v>
      </c>
      <c r="J422" s="197">
        <v>1763.25</v>
      </c>
      <c r="L422" s="297">
        <f t="shared" si="103"/>
        <v>1.660531193389158E-2</v>
      </c>
      <c r="M422" s="298">
        <f t="shared" si="104"/>
        <v>-4.6647718161910066E-2</v>
      </c>
      <c r="N422" s="298">
        <f t="shared" si="105"/>
        <v>2.0305718273883014E-2</v>
      </c>
      <c r="O422" s="298">
        <f t="shared" si="106"/>
        <v>2.1990654968883486E-2</v>
      </c>
      <c r="P422" s="298">
        <f t="shared" si="107"/>
        <v>1.584050246369418E-2</v>
      </c>
      <c r="Q422" s="298">
        <f t="shared" si="108"/>
        <v>2.5962680239973539E-2</v>
      </c>
      <c r="R422" s="298">
        <f t="shared" si="109"/>
        <v>-2.7440746154953597E-2</v>
      </c>
      <c r="S422" s="299">
        <f t="shared" si="110"/>
        <v>1.7102758694512575E-2</v>
      </c>
      <c r="U422" s="303">
        <f t="shared" si="111"/>
        <v>1.8164017354400111E-2</v>
      </c>
      <c r="V422" s="86">
        <f t="shared" si="112"/>
        <v>-5.27454468603707E-2</v>
      </c>
      <c r="W422" s="86">
        <f t="shared" si="113"/>
        <v>1.7457214928816845E-2</v>
      </c>
      <c r="X422" s="86">
        <f t="shared" si="114"/>
        <v>2.1619327456368978E-2</v>
      </c>
      <c r="Y422" s="86">
        <f t="shared" si="115"/>
        <v>1.473149247200055E-2</v>
      </c>
      <c r="Z422" s="86">
        <f t="shared" si="116"/>
        <v>2.440088764079619E-2</v>
      </c>
      <c r="AA422" s="86">
        <f t="shared" si="117"/>
        <v>-2.172882547941006E-2</v>
      </c>
      <c r="AB422" s="304">
        <f t="shared" si="118"/>
        <v>1.6490400817863016E-2</v>
      </c>
    </row>
    <row r="423" spans="2:28" x14ac:dyDescent="0.3">
      <c r="B423" s="271">
        <v>43495</v>
      </c>
      <c r="C423" s="292">
        <v>194.1</v>
      </c>
      <c r="D423" s="292">
        <v>37.299999</v>
      </c>
      <c r="E423" s="292">
        <v>2222.9499999999998</v>
      </c>
      <c r="F423" s="292">
        <v>1017.349976</v>
      </c>
      <c r="G423" s="292">
        <v>1390.4</v>
      </c>
      <c r="H423" s="292">
        <v>1195.6999510000001</v>
      </c>
      <c r="I423" s="292">
        <v>199.5</v>
      </c>
      <c r="J423" s="197">
        <v>1733.349976</v>
      </c>
      <c r="L423" s="297">
        <f t="shared" si="103"/>
        <v>7.4984191027979239E-3</v>
      </c>
      <c r="M423" s="298">
        <f t="shared" si="104"/>
        <v>6.6506413325147951E-2</v>
      </c>
      <c r="N423" s="298">
        <f t="shared" si="105"/>
        <v>1.3268319453881849E-2</v>
      </c>
      <c r="O423" s="298">
        <f t="shared" si="106"/>
        <v>-1.1191938400448354E-2</v>
      </c>
      <c r="P423" s="298">
        <f t="shared" si="107"/>
        <v>-2.0835586084183952E-3</v>
      </c>
      <c r="Q423" s="298">
        <f t="shared" si="108"/>
        <v>-1.2425678317197762E-2</v>
      </c>
      <c r="R423" s="298">
        <f t="shared" si="109"/>
        <v>-1.6899010501850966E-2</v>
      </c>
      <c r="S423" s="299">
        <f t="shared" si="110"/>
        <v>-1.3381082732351977E-2</v>
      </c>
      <c r="U423" s="303">
        <f t="shared" si="111"/>
        <v>9.0571245233064535E-3</v>
      </c>
      <c r="V423" s="86">
        <f t="shared" si="112"/>
        <v>6.0408684626687317E-2</v>
      </c>
      <c r="W423" s="86">
        <f t="shared" si="113"/>
        <v>1.0419816108815681E-2</v>
      </c>
      <c r="X423" s="86">
        <f t="shared" si="114"/>
        <v>-1.1563265912962863E-2</v>
      </c>
      <c r="Y423" s="86">
        <f t="shared" si="115"/>
        <v>-3.1925686001120241E-3</v>
      </c>
      <c r="Z423" s="86">
        <f t="shared" si="116"/>
        <v>-1.3987470916375113E-2</v>
      </c>
      <c r="AA423" s="86">
        <f t="shared" si="117"/>
        <v>-1.1187089826307429E-2</v>
      </c>
      <c r="AB423" s="304">
        <f t="shared" si="118"/>
        <v>-1.3993440609001538E-2</v>
      </c>
    </row>
    <row r="424" spans="2:28" x14ac:dyDescent="0.3">
      <c r="B424" s="271">
        <v>43494</v>
      </c>
      <c r="C424" s="292">
        <v>192.65</v>
      </c>
      <c r="D424" s="292">
        <v>34.900002000000001</v>
      </c>
      <c r="E424" s="292">
        <v>2193.65</v>
      </c>
      <c r="F424" s="292">
        <v>1028.8000489999999</v>
      </c>
      <c r="G424" s="292">
        <v>1393.3</v>
      </c>
      <c r="H424" s="292">
        <v>1210.650024</v>
      </c>
      <c r="I424" s="292">
        <v>202.9</v>
      </c>
      <c r="J424" s="197">
        <v>1756.6999510000001</v>
      </c>
      <c r="L424" s="297">
        <f t="shared" si="103"/>
        <v>5.9872624514659759E-3</v>
      </c>
      <c r="M424" s="298">
        <f t="shared" si="104"/>
        <v>7.1246797179278246E-2</v>
      </c>
      <c r="N424" s="298">
        <f t="shared" si="105"/>
        <v>1.2061600021877927E-2</v>
      </c>
      <c r="O424" s="298">
        <f t="shared" si="106"/>
        <v>-1.2815945628221598E-2</v>
      </c>
      <c r="P424" s="298">
        <f t="shared" si="107"/>
        <v>9.9539194622053143E-3</v>
      </c>
      <c r="Q424" s="298">
        <f t="shared" si="108"/>
        <v>-1.5490863356574515E-2</v>
      </c>
      <c r="R424" s="298">
        <f t="shared" si="109"/>
        <v>-2.2418092838983879E-2</v>
      </c>
      <c r="S424" s="299">
        <f t="shared" si="110"/>
        <v>7.8292546061070507E-3</v>
      </c>
      <c r="U424" s="303">
        <f t="shared" si="111"/>
        <v>7.5459678719745063E-3</v>
      </c>
      <c r="V424" s="86">
        <f t="shared" si="112"/>
        <v>6.5149068480817612E-2</v>
      </c>
      <c r="W424" s="86">
        <f t="shared" si="113"/>
        <v>9.2130966768117582E-3</v>
      </c>
      <c r="X424" s="86">
        <f t="shared" si="114"/>
        <v>-1.3187273140736108E-2</v>
      </c>
      <c r="Y424" s="86">
        <f t="shared" si="115"/>
        <v>8.8449094705116849E-3</v>
      </c>
      <c r="Z424" s="86">
        <f t="shared" si="116"/>
        <v>-1.7052655955751866E-2</v>
      </c>
      <c r="AA424" s="86">
        <f t="shared" si="117"/>
        <v>-1.6706172163440343E-2</v>
      </c>
      <c r="AB424" s="304">
        <f t="shared" si="118"/>
        <v>7.2168967294574896E-3</v>
      </c>
    </row>
    <row r="425" spans="2:28" x14ac:dyDescent="0.3">
      <c r="B425" s="271">
        <v>43493</v>
      </c>
      <c r="C425" s="292">
        <v>191.5</v>
      </c>
      <c r="D425" s="292">
        <v>32.5</v>
      </c>
      <c r="E425" s="292">
        <v>2167.35</v>
      </c>
      <c r="F425" s="292">
        <v>1042.0699460000001</v>
      </c>
      <c r="G425" s="292">
        <v>1379.5</v>
      </c>
      <c r="H425" s="292">
        <v>1229.5500489999999</v>
      </c>
      <c r="I425" s="292">
        <v>207.5</v>
      </c>
      <c r="J425" s="197">
        <v>1743</v>
      </c>
      <c r="L425" s="297">
        <f t="shared" si="103"/>
        <v>-1.6572103757453299E-2</v>
      </c>
      <c r="M425" s="298">
        <f t="shared" si="104"/>
        <v>-7.6960984156069709E-2</v>
      </c>
      <c r="N425" s="298">
        <f t="shared" si="105"/>
        <v>-3.5645633190658541E-2</v>
      </c>
      <c r="O425" s="298">
        <f t="shared" si="106"/>
        <v>-5.6745181411072985E-3</v>
      </c>
      <c r="P425" s="298">
        <f t="shared" si="107"/>
        <v>5.3422619014744177E-3</v>
      </c>
      <c r="Q425" s="298">
        <f t="shared" si="108"/>
        <v>-1.3290131728271566E-2</v>
      </c>
      <c r="R425" s="298">
        <f t="shared" si="109"/>
        <v>-5.6676369964622504E-2</v>
      </c>
      <c r="S425" s="299">
        <f t="shared" si="110"/>
        <v>-7.8862336868112965E-3</v>
      </c>
      <c r="U425" s="303">
        <f t="shared" si="111"/>
        <v>-1.501339833694477E-2</v>
      </c>
      <c r="V425" s="86">
        <f t="shared" si="112"/>
        <v>-8.3058712854530342E-2</v>
      </c>
      <c r="W425" s="86">
        <f t="shared" si="113"/>
        <v>-3.8494136535724713E-2</v>
      </c>
      <c r="X425" s="86">
        <f t="shared" si="114"/>
        <v>-6.0458456536218079E-3</v>
      </c>
      <c r="Y425" s="86">
        <f t="shared" si="115"/>
        <v>4.2332519097807893E-3</v>
      </c>
      <c r="Z425" s="86">
        <f t="shared" si="116"/>
        <v>-1.4851924327448918E-2</v>
      </c>
      <c r="AA425" s="86">
        <f t="shared" si="117"/>
        <v>-5.0964449289078971E-2</v>
      </c>
      <c r="AB425" s="304">
        <f t="shared" si="118"/>
        <v>-8.4985915634608576E-3</v>
      </c>
    </row>
    <row r="426" spans="2:28" x14ac:dyDescent="0.3">
      <c r="B426" s="271">
        <v>43490</v>
      </c>
      <c r="C426" s="292">
        <v>194.7</v>
      </c>
      <c r="D426" s="292">
        <v>35.099997999999999</v>
      </c>
      <c r="E426" s="292">
        <v>2246</v>
      </c>
      <c r="F426" s="292">
        <v>1048</v>
      </c>
      <c r="G426" s="292">
        <v>1372.15</v>
      </c>
      <c r="H426" s="292">
        <v>1246</v>
      </c>
      <c r="I426" s="292">
        <v>219.6</v>
      </c>
      <c r="J426" s="197">
        <v>1756.8000489999999</v>
      </c>
      <c r="L426" s="297">
        <f t="shared" si="103"/>
        <v>6.1823999083173396E-3</v>
      </c>
      <c r="M426" s="298">
        <f t="shared" si="104"/>
        <v>-6.2131784539539971E-2</v>
      </c>
      <c r="N426" s="298">
        <f t="shared" si="105"/>
        <v>-9.5270466909032226E-3</v>
      </c>
      <c r="O426" s="298">
        <f t="shared" si="106"/>
        <v>-2.9726716957484537E-3</v>
      </c>
      <c r="P426" s="298">
        <f t="shared" si="107"/>
        <v>-2.1413940100563765E-2</v>
      </c>
      <c r="Q426" s="298">
        <f t="shared" si="108"/>
        <v>-1.1630080345914017E-3</v>
      </c>
      <c r="R426" s="298">
        <f t="shared" si="109"/>
        <v>1.9310944913087307E-2</v>
      </c>
      <c r="S426" s="299">
        <f t="shared" si="110"/>
        <v>-1.5356775548076075E-3</v>
      </c>
      <c r="U426" s="303">
        <f t="shared" si="111"/>
        <v>7.74110532882587E-3</v>
      </c>
      <c r="V426" s="86">
        <f t="shared" si="112"/>
        <v>-6.8229513238000611E-2</v>
      </c>
      <c r="W426" s="86">
        <f t="shared" si="113"/>
        <v>-1.2375550035969391E-2</v>
      </c>
      <c r="X426" s="86">
        <f t="shared" si="114"/>
        <v>-3.3439992082629631E-3</v>
      </c>
      <c r="Y426" s="86">
        <f t="shared" si="115"/>
        <v>-2.2522950092257393E-2</v>
      </c>
      <c r="Z426" s="86">
        <f t="shared" si="116"/>
        <v>-2.7248006337687522E-3</v>
      </c>
      <c r="AA426" s="86">
        <f t="shared" si="117"/>
        <v>2.5022865588630844E-2</v>
      </c>
      <c r="AB426" s="304">
        <f t="shared" si="118"/>
        <v>-2.1480354314571681E-3</v>
      </c>
    </row>
    <row r="427" spans="2:28" x14ac:dyDescent="0.3">
      <c r="B427" s="271">
        <v>43489</v>
      </c>
      <c r="C427" s="292">
        <v>193.5</v>
      </c>
      <c r="D427" s="292">
        <v>37.349997999999999</v>
      </c>
      <c r="E427" s="292">
        <v>2267.5</v>
      </c>
      <c r="F427" s="292">
        <v>1051.119995</v>
      </c>
      <c r="G427" s="292">
        <v>1401.85</v>
      </c>
      <c r="H427" s="292">
        <v>1247.4499510000001</v>
      </c>
      <c r="I427" s="292">
        <v>215.4</v>
      </c>
      <c r="J427" s="197">
        <v>1759.5</v>
      </c>
      <c r="L427" s="297">
        <f t="shared" si="103"/>
        <v>3.6241302933912442E-3</v>
      </c>
      <c r="M427" s="298">
        <f t="shared" si="104"/>
        <v>-1.593667216079829E-2</v>
      </c>
      <c r="N427" s="298">
        <f t="shared" si="105"/>
        <v>1.0685330778168573E-2</v>
      </c>
      <c r="O427" s="298">
        <f t="shared" si="106"/>
        <v>-1.5019881335678177E-3</v>
      </c>
      <c r="P427" s="298">
        <f t="shared" si="107"/>
        <v>3.7878833169369352E-3</v>
      </c>
      <c r="Q427" s="298">
        <f t="shared" si="108"/>
        <v>1.7099882656414381E-2</v>
      </c>
      <c r="R427" s="298">
        <f t="shared" si="109"/>
        <v>8.802480499630462E-2</v>
      </c>
      <c r="S427" s="299">
        <f t="shared" si="110"/>
        <v>-4.3666676167887514E-3</v>
      </c>
      <c r="U427" s="303">
        <f t="shared" si="111"/>
        <v>5.1828357138997746E-3</v>
      </c>
      <c r="V427" s="86">
        <f t="shared" si="112"/>
        <v>-2.2034400859258924E-2</v>
      </c>
      <c r="W427" s="86">
        <f t="shared" si="113"/>
        <v>7.836827433102404E-3</v>
      </c>
      <c r="X427" s="86">
        <f t="shared" si="114"/>
        <v>-1.8733156460823269E-3</v>
      </c>
      <c r="Y427" s="86">
        <f t="shared" si="115"/>
        <v>2.6788733252433063E-3</v>
      </c>
      <c r="Z427" s="86">
        <f t="shared" si="116"/>
        <v>1.553809005723703E-2</v>
      </c>
      <c r="AA427" s="86">
        <f t="shared" si="117"/>
        <v>9.3736725671848153E-2</v>
      </c>
      <c r="AB427" s="304">
        <f t="shared" si="118"/>
        <v>-4.9790254934383125E-3</v>
      </c>
    </row>
    <row r="428" spans="2:28" x14ac:dyDescent="0.3">
      <c r="B428" s="271">
        <v>43488</v>
      </c>
      <c r="C428" s="292">
        <v>192.8</v>
      </c>
      <c r="D428" s="292">
        <v>37.950001</v>
      </c>
      <c r="E428" s="292">
        <v>2243.4</v>
      </c>
      <c r="F428" s="292">
        <v>1052.6999510000001</v>
      </c>
      <c r="G428" s="292">
        <v>1396.55</v>
      </c>
      <c r="H428" s="292">
        <v>1226.3000489999999</v>
      </c>
      <c r="I428" s="292">
        <v>197.25</v>
      </c>
      <c r="J428" s="197">
        <v>1767.1999510000001</v>
      </c>
      <c r="L428" s="297">
        <f t="shared" si="103"/>
        <v>6.765573555744659E-3</v>
      </c>
      <c r="M428" s="298">
        <f t="shared" si="104"/>
        <v>5.2840544970659074E-3</v>
      </c>
      <c r="N428" s="298">
        <f t="shared" si="105"/>
        <v>3.0044789976575566E-2</v>
      </c>
      <c r="O428" s="298">
        <f t="shared" si="106"/>
        <v>-1.436400015574509E-2</v>
      </c>
      <c r="P428" s="298">
        <f t="shared" si="107"/>
        <v>-7.419331340755164E-3</v>
      </c>
      <c r="Q428" s="298">
        <f t="shared" si="108"/>
        <v>-7.1908938818550875E-3</v>
      </c>
      <c r="R428" s="298">
        <f t="shared" si="109"/>
        <v>2.5935463189791574E-2</v>
      </c>
      <c r="S428" s="299">
        <f t="shared" si="110"/>
        <v>9.6663062734985497E-3</v>
      </c>
      <c r="U428" s="303">
        <f t="shared" si="111"/>
        <v>8.3242789762531886E-3</v>
      </c>
      <c r="V428" s="86">
        <f t="shared" si="112"/>
        <v>-8.1367420139472676E-4</v>
      </c>
      <c r="W428" s="86">
        <f t="shared" si="113"/>
        <v>2.7196286631509397E-2</v>
      </c>
      <c r="X428" s="86">
        <f t="shared" si="114"/>
        <v>-1.47353276682596E-2</v>
      </c>
      <c r="Y428" s="86">
        <f t="shared" si="115"/>
        <v>-8.5283413324487925E-3</v>
      </c>
      <c r="Z428" s="86">
        <f t="shared" si="116"/>
        <v>-8.7526864810324387E-3</v>
      </c>
      <c r="AA428" s="86">
        <f t="shared" si="117"/>
        <v>3.164738386533511E-2</v>
      </c>
      <c r="AB428" s="304">
        <f t="shared" si="118"/>
        <v>9.0539483968489886E-3</v>
      </c>
    </row>
    <row r="429" spans="2:28" x14ac:dyDescent="0.3">
      <c r="B429" s="271">
        <v>43487</v>
      </c>
      <c r="C429" s="292">
        <v>191.5</v>
      </c>
      <c r="D429" s="292">
        <v>37.75</v>
      </c>
      <c r="E429" s="292">
        <v>2177</v>
      </c>
      <c r="F429" s="292">
        <v>1067.9300539999999</v>
      </c>
      <c r="G429" s="292">
        <v>1406.95</v>
      </c>
      <c r="H429" s="292">
        <v>1235.150024</v>
      </c>
      <c r="I429" s="292">
        <v>192.2</v>
      </c>
      <c r="J429" s="197">
        <v>1750.1999510000001</v>
      </c>
      <c r="L429" s="297">
        <f t="shared" si="103"/>
        <v>-3.5649370608373594E-2</v>
      </c>
      <c r="M429" s="298">
        <f t="shared" si="104"/>
        <v>-5.2840544970659794E-3</v>
      </c>
      <c r="N429" s="298">
        <f t="shared" si="105"/>
        <v>-1.1935914743958238E-3</v>
      </c>
      <c r="O429" s="298">
        <f t="shared" si="106"/>
        <v>-5.7328747115371519E-3</v>
      </c>
      <c r="P429" s="298">
        <f t="shared" si="107"/>
        <v>-1.0710411498402255E-2</v>
      </c>
      <c r="Q429" s="298">
        <f t="shared" si="108"/>
        <v>-2.0623393489840112E-3</v>
      </c>
      <c r="R429" s="298">
        <f t="shared" si="109"/>
        <v>1.3015750893853807E-3</v>
      </c>
      <c r="S429" s="299">
        <f t="shared" si="110"/>
        <v>1.8872368551234129E-3</v>
      </c>
      <c r="U429" s="303">
        <f t="shared" si="111"/>
        <v>-3.4090665187865063E-2</v>
      </c>
      <c r="V429" s="86">
        <f t="shared" si="112"/>
        <v>-1.1381783195526613E-2</v>
      </c>
      <c r="W429" s="86">
        <f t="shared" si="113"/>
        <v>-4.0420948194619926E-3</v>
      </c>
      <c r="X429" s="86">
        <f t="shared" si="114"/>
        <v>-6.1042022240516613E-3</v>
      </c>
      <c r="Y429" s="86">
        <f t="shared" si="115"/>
        <v>-1.1819421490095884E-2</v>
      </c>
      <c r="Z429" s="86">
        <f t="shared" si="116"/>
        <v>-3.624131948161362E-3</v>
      </c>
      <c r="AA429" s="86">
        <f t="shared" si="117"/>
        <v>7.0134957649289169E-3</v>
      </c>
      <c r="AB429" s="304">
        <f t="shared" si="118"/>
        <v>1.274878978473852E-3</v>
      </c>
    </row>
    <row r="430" spans="2:28" x14ac:dyDescent="0.3">
      <c r="B430" s="271">
        <v>43486</v>
      </c>
      <c r="C430" s="292">
        <v>198.45</v>
      </c>
      <c r="D430" s="292">
        <v>37.950001</v>
      </c>
      <c r="E430" s="292">
        <v>2179.6</v>
      </c>
      <c r="F430" s="292">
        <v>1074.0699460000001</v>
      </c>
      <c r="G430" s="292">
        <v>1422.1</v>
      </c>
      <c r="H430" s="292">
        <v>1237.6999510000001</v>
      </c>
      <c r="I430" s="292">
        <v>191.95</v>
      </c>
      <c r="J430" s="197">
        <v>1746.900024</v>
      </c>
      <c r="L430" s="297">
        <f t="shared" si="103"/>
        <v>-1.2589703286968064E-3</v>
      </c>
      <c r="M430" s="298">
        <f t="shared" si="104"/>
        <v>-2.0861225607256239E-2</v>
      </c>
      <c r="N430" s="298">
        <f t="shared" si="105"/>
        <v>1.6990016714668549E-3</v>
      </c>
      <c r="O430" s="298">
        <f t="shared" si="106"/>
        <v>8.3676564194991709E-3</v>
      </c>
      <c r="P430" s="298">
        <f t="shared" si="107"/>
        <v>1.5341038850968386E-2</v>
      </c>
      <c r="Q430" s="298">
        <f t="shared" si="108"/>
        <v>4.4060698352103959E-2</v>
      </c>
      <c r="R430" s="298">
        <f t="shared" si="109"/>
        <v>-3.4057830164265571E-2</v>
      </c>
      <c r="S430" s="299">
        <f t="shared" si="110"/>
        <v>1.6041527358626243E-3</v>
      </c>
      <c r="U430" s="303">
        <f t="shared" si="111"/>
        <v>2.9973509181172378E-4</v>
      </c>
      <c r="V430" s="86">
        <f t="shared" si="112"/>
        <v>-2.6958954305716872E-2</v>
      </c>
      <c r="W430" s="86">
        <f t="shared" si="113"/>
        <v>-1.1495016735993144E-3</v>
      </c>
      <c r="X430" s="86">
        <f t="shared" si="114"/>
        <v>7.9963289069846614E-3</v>
      </c>
      <c r="Y430" s="86">
        <f t="shared" si="115"/>
        <v>1.4232028859274756E-2</v>
      </c>
      <c r="Z430" s="86">
        <f t="shared" si="116"/>
        <v>4.2498905752926606E-2</v>
      </c>
      <c r="AA430" s="86">
        <f t="shared" si="117"/>
        <v>-2.8345909488722034E-2</v>
      </c>
      <c r="AB430" s="304">
        <f t="shared" si="118"/>
        <v>9.9179485921306338E-4</v>
      </c>
    </row>
    <row r="431" spans="2:28" x14ac:dyDescent="0.3">
      <c r="B431" s="271">
        <v>43483</v>
      </c>
      <c r="C431" s="292">
        <v>198.7</v>
      </c>
      <c r="D431" s="292">
        <v>38.75</v>
      </c>
      <c r="E431" s="292">
        <v>2175.9</v>
      </c>
      <c r="F431" s="292">
        <v>1065.119995</v>
      </c>
      <c r="G431" s="292">
        <v>1400.45</v>
      </c>
      <c r="H431" s="292">
        <v>1184.349976</v>
      </c>
      <c r="I431" s="292">
        <v>198.6</v>
      </c>
      <c r="J431" s="197">
        <v>1744.099976</v>
      </c>
      <c r="L431" s="297">
        <f t="shared" si="103"/>
        <v>6.3107618251127861E-3</v>
      </c>
      <c r="M431" s="298">
        <f t="shared" si="104"/>
        <v>-2.2960242722861634E-2</v>
      </c>
      <c r="N431" s="298">
        <f t="shared" si="105"/>
        <v>-1.9742436567816235E-3</v>
      </c>
      <c r="O431" s="298">
        <f t="shared" si="106"/>
        <v>-9.6658712505967245E-4</v>
      </c>
      <c r="P431" s="298">
        <f t="shared" si="107"/>
        <v>7.7776776007871737E-3</v>
      </c>
      <c r="Q431" s="298">
        <f t="shared" si="108"/>
        <v>4.3046171826899862E-2</v>
      </c>
      <c r="R431" s="298">
        <f t="shared" si="109"/>
        <v>-1.4496629775665458E-2</v>
      </c>
      <c r="S431" s="299">
        <f t="shared" si="110"/>
        <v>-4.2339141235977059E-3</v>
      </c>
      <c r="U431" s="303">
        <f t="shared" si="111"/>
        <v>7.8694672456213165E-3</v>
      </c>
      <c r="V431" s="86">
        <f t="shared" si="112"/>
        <v>-2.9057971421322267E-2</v>
      </c>
      <c r="W431" s="86">
        <f t="shared" si="113"/>
        <v>-4.8227470018477932E-3</v>
      </c>
      <c r="X431" s="86">
        <f t="shared" si="114"/>
        <v>-1.3379146375741818E-3</v>
      </c>
      <c r="Y431" s="86">
        <f t="shared" si="115"/>
        <v>6.6686676090935443E-3</v>
      </c>
      <c r="Z431" s="86">
        <f t="shared" si="116"/>
        <v>4.1484379227722509E-2</v>
      </c>
      <c r="AA431" s="86">
        <f t="shared" si="117"/>
        <v>-8.7847091001219228E-3</v>
      </c>
      <c r="AB431" s="304">
        <f t="shared" si="118"/>
        <v>-4.846272000247267E-3</v>
      </c>
    </row>
    <row r="432" spans="2:28" x14ac:dyDescent="0.3">
      <c r="B432" s="271">
        <v>43482</v>
      </c>
      <c r="C432" s="292">
        <v>197.45</v>
      </c>
      <c r="D432" s="292">
        <v>39.650002000000001</v>
      </c>
      <c r="E432" s="292">
        <v>2180.1999999999998</v>
      </c>
      <c r="F432" s="292">
        <v>1066.150024</v>
      </c>
      <c r="G432" s="292">
        <v>1389.6</v>
      </c>
      <c r="H432" s="292">
        <v>1134.4499510000001</v>
      </c>
      <c r="I432" s="292">
        <v>201.5</v>
      </c>
      <c r="J432" s="197">
        <v>1751.5</v>
      </c>
      <c r="L432" s="297">
        <f t="shared" si="103"/>
        <v>5.8412864502429621E-3</v>
      </c>
      <c r="M432" s="298">
        <f t="shared" si="104"/>
        <v>1.2690524999838445E-2</v>
      </c>
      <c r="N432" s="298">
        <f t="shared" si="105"/>
        <v>-1.0289964052581035E-2</v>
      </c>
      <c r="O432" s="298">
        <f t="shared" si="106"/>
        <v>5.6908306434683125E-3</v>
      </c>
      <c r="P432" s="298">
        <f t="shared" si="107"/>
        <v>-1.0793890668379515E-4</v>
      </c>
      <c r="Q432" s="298">
        <f t="shared" si="108"/>
        <v>-1.2774005885854858E-3</v>
      </c>
      <c r="R432" s="298">
        <f t="shared" si="109"/>
        <v>-3.3429976481724737E-2</v>
      </c>
      <c r="S432" s="299">
        <f t="shared" si="110"/>
        <v>-1.194665175938236E-2</v>
      </c>
      <c r="U432" s="303">
        <f t="shared" si="111"/>
        <v>7.3999918707514925E-3</v>
      </c>
      <c r="V432" s="86">
        <f t="shared" si="112"/>
        <v>6.5927963013778105E-3</v>
      </c>
      <c r="W432" s="86">
        <f t="shared" si="113"/>
        <v>-1.3138467397647204E-2</v>
      </c>
      <c r="X432" s="86">
        <f t="shared" si="114"/>
        <v>5.3195031309538031E-3</v>
      </c>
      <c r="Y432" s="86">
        <f t="shared" si="115"/>
        <v>-1.2169488983774241E-3</v>
      </c>
      <c r="Z432" s="86">
        <f t="shared" si="116"/>
        <v>-2.8391931877628364E-3</v>
      </c>
      <c r="AA432" s="86">
        <f t="shared" si="117"/>
        <v>-2.77180558061812E-2</v>
      </c>
      <c r="AB432" s="304">
        <f t="shared" si="118"/>
        <v>-1.2559009636031921E-2</v>
      </c>
    </row>
    <row r="433" spans="2:28" x14ac:dyDescent="0.3">
      <c r="B433" s="271">
        <v>43481</v>
      </c>
      <c r="C433" s="292">
        <v>196.3</v>
      </c>
      <c r="D433" s="292">
        <v>39.150002000000001</v>
      </c>
      <c r="E433" s="292">
        <v>2202.75</v>
      </c>
      <c r="F433" s="292">
        <v>1060.099976</v>
      </c>
      <c r="G433" s="292">
        <v>1389.75</v>
      </c>
      <c r="H433" s="292">
        <v>1135.900024</v>
      </c>
      <c r="I433" s="292">
        <v>208.35</v>
      </c>
      <c r="J433" s="197">
        <v>1772.5500489999999</v>
      </c>
      <c r="L433" s="297">
        <f t="shared" si="103"/>
        <v>-1.3158084577511088E-2</v>
      </c>
      <c r="M433" s="298">
        <f t="shared" si="104"/>
        <v>1.0269717723023125E-2</v>
      </c>
      <c r="N433" s="298">
        <f t="shared" si="105"/>
        <v>1.6409005021928238E-2</v>
      </c>
      <c r="O433" s="298">
        <f t="shared" si="106"/>
        <v>-8.0146632540669522E-4</v>
      </c>
      <c r="P433" s="298">
        <f t="shared" si="107"/>
        <v>-1.1589356027025677E-2</v>
      </c>
      <c r="Q433" s="298">
        <f t="shared" si="108"/>
        <v>5.5174379050075342E-3</v>
      </c>
      <c r="R433" s="298">
        <f t="shared" si="109"/>
        <v>2.6013378826675159E-2</v>
      </c>
      <c r="S433" s="299">
        <f t="shared" si="110"/>
        <v>-9.7125886349277556E-3</v>
      </c>
      <c r="U433" s="303">
        <f t="shared" si="111"/>
        <v>-1.1599379157002558E-2</v>
      </c>
      <c r="V433" s="86">
        <f t="shared" si="112"/>
        <v>4.171989024562491E-3</v>
      </c>
      <c r="W433" s="86">
        <f t="shared" si="113"/>
        <v>1.3560501676862069E-2</v>
      </c>
      <c r="X433" s="86">
        <f t="shared" si="114"/>
        <v>-1.1727938379212045E-3</v>
      </c>
      <c r="Y433" s="86">
        <f t="shared" si="115"/>
        <v>-1.2698366018719306E-2</v>
      </c>
      <c r="Z433" s="86">
        <f t="shared" si="116"/>
        <v>3.9556453058301839E-3</v>
      </c>
      <c r="AA433" s="86">
        <f t="shared" si="117"/>
        <v>3.1725299502218696E-2</v>
      </c>
      <c r="AB433" s="304">
        <f t="shared" si="118"/>
        <v>-1.0324946511577317E-2</v>
      </c>
    </row>
    <row r="434" spans="2:28" x14ac:dyDescent="0.3">
      <c r="B434" s="271">
        <v>43480</v>
      </c>
      <c r="C434" s="292">
        <v>198.9</v>
      </c>
      <c r="D434" s="292">
        <v>38.75</v>
      </c>
      <c r="E434" s="292">
        <v>2166.9</v>
      </c>
      <c r="F434" s="292">
        <v>1060.9499510000001</v>
      </c>
      <c r="G434" s="292">
        <v>1405.95</v>
      </c>
      <c r="H434" s="292">
        <v>1129.650024</v>
      </c>
      <c r="I434" s="292">
        <v>203</v>
      </c>
      <c r="J434" s="197">
        <v>1789.849976</v>
      </c>
      <c r="L434" s="297">
        <f t="shared" si="103"/>
        <v>2.9852963149681128E-2</v>
      </c>
      <c r="M434" s="298">
        <f t="shared" si="104"/>
        <v>-2.1698311956027106E-2</v>
      </c>
      <c r="N434" s="298">
        <f t="shared" si="105"/>
        <v>5.4872586998560124E-2</v>
      </c>
      <c r="O434" s="298">
        <f t="shared" si="106"/>
        <v>9.5939266056434217E-3</v>
      </c>
      <c r="P434" s="298">
        <f t="shared" si="107"/>
        <v>1.2417185541431524E-2</v>
      </c>
      <c r="Q434" s="298">
        <f t="shared" si="108"/>
        <v>2.9510977537465757E-2</v>
      </c>
      <c r="R434" s="298">
        <f t="shared" si="109"/>
        <v>3.8413157540707822E-2</v>
      </c>
      <c r="S434" s="299">
        <f t="shared" si="110"/>
        <v>1.4604523808206663E-2</v>
      </c>
      <c r="U434" s="303">
        <f t="shared" si="111"/>
        <v>3.1411668570189656E-2</v>
      </c>
      <c r="V434" s="86">
        <f t="shared" si="112"/>
        <v>-2.7796040654487739E-2</v>
      </c>
      <c r="W434" s="86">
        <f t="shared" si="113"/>
        <v>5.2024083653493952E-2</v>
      </c>
      <c r="X434" s="86">
        <f t="shared" si="114"/>
        <v>9.2225990931289123E-3</v>
      </c>
      <c r="Y434" s="86">
        <f t="shared" si="115"/>
        <v>1.1308175549737894E-2</v>
      </c>
      <c r="Z434" s="86">
        <f t="shared" si="116"/>
        <v>2.7949184938288407E-2</v>
      </c>
      <c r="AA434" s="86">
        <f t="shared" si="117"/>
        <v>4.4125078216251355E-2</v>
      </c>
      <c r="AB434" s="304">
        <f t="shared" si="118"/>
        <v>1.3992165931557101E-2</v>
      </c>
    </row>
    <row r="435" spans="2:28" x14ac:dyDescent="0.3">
      <c r="B435" s="271">
        <v>43479</v>
      </c>
      <c r="C435" s="292">
        <v>193.05</v>
      </c>
      <c r="D435" s="292">
        <v>39.599997999999999</v>
      </c>
      <c r="E435" s="292">
        <v>2051.1999999999998</v>
      </c>
      <c r="F435" s="292">
        <v>1050.8199460000001</v>
      </c>
      <c r="G435" s="292">
        <v>1388.6</v>
      </c>
      <c r="H435" s="292">
        <v>1096.8000489999999</v>
      </c>
      <c r="I435" s="292">
        <v>195.35</v>
      </c>
      <c r="J435" s="197">
        <v>1763.900024</v>
      </c>
      <c r="L435" s="297">
        <f t="shared" si="103"/>
        <v>-1.8221985002820688E-2</v>
      </c>
      <c r="M435" s="298">
        <f t="shared" si="104"/>
        <v>-3.7807733449577875E-3</v>
      </c>
      <c r="N435" s="298">
        <f t="shared" si="105"/>
        <v>-5.2271492539406423E-3</v>
      </c>
      <c r="O435" s="298">
        <f t="shared" si="106"/>
        <v>-4.8700288972288825E-3</v>
      </c>
      <c r="P435" s="298">
        <f t="shared" si="107"/>
        <v>-1.0779941439939884E-2</v>
      </c>
      <c r="Q435" s="298">
        <f t="shared" si="108"/>
        <v>-1.1390300743396693E-3</v>
      </c>
      <c r="R435" s="298">
        <f t="shared" si="109"/>
        <v>5.8499290431633641E-2</v>
      </c>
      <c r="S435" s="299">
        <f t="shared" si="110"/>
        <v>-3.1132393895605365E-3</v>
      </c>
      <c r="U435" s="303">
        <f t="shared" si="111"/>
        <v>-1.6663279582312156E-2</v>
      </c>
      <c r="V435" s="86">
        <f t="shared" si="112"/>
        <v>-9.8785020434184224E-3</v>
      </c>
      <c r="W435" s="86">
        <f t="shared" si="113"/>
        <v>-8.075652599006812E-3</v>
      </c>
      <c r="X435" s="86">
        <f t="shared" si="114"/>
        <v>-5.241356409743392E-3</v>
      </c>
      <c r="Y435" s="86">
        <f t="shared" si="115"/>
        <v>-1.1888951431633514E-2</v>
      </c>
      <c r="Z435" s="86">
        <f t="shared" si="116"/>
        <v>-2.7008226735170198E-3</v>
      </c>
      <c r="AA435" s="86">
        <f t="shared" si="117"/>
        <v>6.4211211107177174E-2</v>
      </c>
      <c r="AB435" s="304">
        <f t="shared" si="118"/>
        <v>-3.7255972662100971E-3</v>
      </c>
    </row>
    <row r="436" spans="2:28" x14ac:dyDescent="0.3">
      <c r="B436" s="271">
        <v>43476</v>
      </c>
      <c r="C436" s="292">
        <v>196.6</v>
      </c>
      <c r="D436" s="292">
        <v>39.75</v>
      </c>
      <c r="E436" s="292">
        <v>2061.9499999999998</v>
      </c>
      <c r="F436" s="292">
        <v>1055.9499510000001</v>
      </c>
      <c r="G436" s="292">
        <v>1403.65</v>
      </c>
      <c r="H436" s="292">
        <v>1098.0500489999999</v>
      </c>
      <c r="I436" s="292">
        <v>184.25</v>
      </c>
      <c r="J436" s="197">
        <v>1769.400024</v>
      </c>
      <c r="L436" s="297">
        <f t="shared" si="103"/>
        <v>5.8666154741023385E-3</v>
      </c>
      <c r="M436" s="298">
        <f t="shared" si="104"/>
        <v>-2.2389044093969485E-2</v>
      </c>
      <c r="N436" s="298">
        <f t="shared" si="105"/>
        <v>-7.5612443682471263E-3</v>
      </c>
      <c r="O436" s="298">
        <f t="shared" si="106"/>
        <v>1.6111756300009521E-3</v>
      </c>
      <c r="P436" s="298">
        <f t="shared" si="107"/>
        <v>5.2142975285042739E-3</v>
      </c>
      <c r="Q436" s="298">
        <f t="shared" si="108"/>
        <v>-8.5692989214279959E-3</v>
      </c>
      <c r="R436" s="298">
        <f t="shared" si="109"/>
        <v>-1.4280183392071153E-2</v>
      </c>
      <c r="S436" s="299">
        <f t="shared" si="110"/>
        <v>-9.4499112040415511E-3</v>
      </c>
      <c r="U436" s="303">
        <f t="shared" si="111"/>
        <v>7.4253208946108689E-3</v>
      </c>
      <c r="V436" s="86">
        <f t="shared" si="112"/>
        <v>-2.8486772792430119E-2</v>
      </c>
      <c r="W436" s="86">
        <f t="shared" si="113"/>
        <v>-1.0409747713313296E-2</v>
      </c>
      <c r="X436" s="86">
        <f t="shared" si="114"/>
        <v>1.2398481174864429E-3</v>
      </c>
      <c r="Y436" s="86">
        <f t="shared" si="115"/>
        <v>4.1052875368106454E-3</v>
      </c>
      <c r="Z436" s="86">
        <f t="shared" si="116"/>
        <v>-1.0131091520605347E-2</v>
      </c>
      <c r="AA436" s="86">
        <f t="shared" si="117"/>
        <v>-8.5682627165276186E-3</v>
      </c>
      <c r="AB436" s="304">
        <f t="shared" si="118"/>
        <v>-1.0062269080691112E-2</v>
      </c>
    </row>
    <row r="437" spans="2:28" x14ac:dyDescent="0.3">
      <c r="B437" s="271">
        <v>43475</v>
      </c>
      <c r="C437" s="292">
        <v>195.45</v>
      </c>
      <c r="D437" s="292">
        <v>40.650002000000001</v>
      </c>
      <c r="E437" s="292">
        <v>2077.6</v>
      </c>
      <c r="F437" s="292">
        <v>1054.25</v>
      </c>
      <c r="G437" s="292">
        <v>1396.35</v>
      </c>
      <c r="H437" s="292">
        <v>1107.5</v>
      </c>
      <c r="I437" s="292">
        <v>186.9</v>
      </c>
      <c r="J437" s="197">
        <v>1786.1999510000001</v>
      </c>
      <c r="L437" s="297">
        <f t="shared" si="103"/>
        <v>3.5879074881062087E-3</v>
      </c>
      <c r="M437" s="298">
        <f t="shared" si="104"/>
        <v>0</v>
      </c>
      <c r="N437" s="298">
        <f t="shared" si="105"/>
        <v>-8.9128003875381841E-3</v>
      </c>
      <c r="O437" s="298">
        <f t="shared" si="106"/>
        <v>-3.9287428498133905E-3</v>
      </c>
      <c r="P437" s="298">
        <f t="shared" si="107"/>
        <v>-4.0380993639268659E-3</v>
      </c>
      <c r="Q437" s="298">
        <f t="shared" si="108"/>
        <v>-2.9302398967271516E-3</v>
      </c>
      <c r="R437" s="298">
        <f t="shared" si="109"/>
        <v>2.4106078366873439E-3</v>
      </c>
      <c r="S437" s="299">
        <f t="shared" si="110"/>
        <v>6.7201560350762493E-4</v>
      </c>
      <c r="U437" s="303">
        <f t="shared" si="111"/>
        <v>5.1466129086147391E-3</v>
      </c>
      <c r="V437" s="86">
        <f t="shared" si="112"/>
        <v>-6.0977286984606341E-3</v>
      </c>
      <c r="W437" s="86">
        <f t="shared" si="113"/>
        <v>-1.1761303732604353E-2</v>
      </c>
      <c r="X437" s="86">
        <f t="shared" si="114"/>
        <v>-4.3000703623278999E-3</v>
      </c>
      <c r="Y437" s="86">
        <f t="shared" si="115"/>
        <v>-5.1471093556204953E-3</v>
      </c>
      <c r="Z437" s="86">
        <f t="shared" si="116"/>
        <v>-4.4920324959045023E-3</v>
      </c>
      <c r="AA437" s="86">
        <f t="shared" si="117"/>
        <v>8.1225285122308796E-3</v>
      </c>
      <c r="AB437" s="304">
        <f t="shared" si="118"/>
        <v>5.9657726858064041E-5</v>
      </c>
    </row>
    <row r="438" spans="2:28" x14ac:dyDescent="0.3">
      <c r="B438" s="271">
        <v>43474</v>
      </c>
      <c r="C438" s="292">
        <v>194.75</v>
      </c>
      <c r="D438" s="292">
        <v>40.650002000000001</v>
      </c>
      <c r="E438" s="292">
        <v>2096.1999999999998</v>
      </c>
      <c r="F438" s="292">
        <v>1058.400024</v>
      </c>
      <c r="G438" s="292">
        <v>1402</v>
      </c>
      <c r="H438" s="292">
        <v>1110.75</v>
      </c>
      <c r="I438" s="292">
        <v>186.45</v>
      </c>
      <c r="J438" s="197">
        <v>1785</v>
      </c>
      <c r="L438" s="297">
        <f t="shared" si="103"/>
        <v>-4.6106639055638566E-3</v>
      </c>
      <c r="M438" s="298">
        <f t="shared" si="104"/>
        <v>-2.4569544925613159E-3</v>
      </c>
      <c r="N438" s="298">
        <f t="shared" si="105"/>
        <v>3.9358114062633467E-2</v>
      </c>
      <c r="O438" s="298">
        <f t="shared" si="106"/>
        <v>6.5406403337281991E-3</v>
      </c>
      <c r="P438" s="298">
        <f t="shared" si="107"/>
        <v>5.3509320816569003E-4</v>
      </c>
      <c r="Q438" s="298">
        <f t="shared" si="108"/>
        <v>5.5068983926421398E-3</v>
      </c>
      <c r="R438" s="298">
        <f t="shared" si="109"/>
        <v>-3.1153522573474403E-2</v>
      </c>
      <c r="S438" s="299">
        <f t="shared" si="110"/>
        <v>7.9587714815751547E-3</v>
      </c>
      <c r="U438" s="303">
        <f t="shared" si="111"/>
        <v>-3.0519584850553262E-3</v>
      </c>
      <c r="V438" s="86">
        <f t="shared" si="112"/>
        <v>-8.5546831910219504E-3</v>
      </c>
      <c r="W438" s="86">
        <f t="shared" si="113"/>
        <v>3.6509610717567295E-2</v>
      </c>
      <c r="X438" s="86">
        <f t="shared" si="114"/>
        <v>6.1693128212136896E-3</v>
      </c>
      <c r="Y438" s="86">
        <f t="shared" si="115"/>
        <v>-5.7391678352793887E-4</v>
      </c>
      <c r="Z438" s="86">
        <f t="shared" si="116"/>
        <v>3.9451057934647895E-3</v>
      </c>
      <c r="AA438" s="86">
        <f t="shared" si="117"/>
        <v>-2.5441601897930866E-2</v>
      </c>
      <c r="AB438" s="304">
        <f t="shared" si="118"/>
        <v>7.3464136049255935E-3</v>
      </c>
    </row>
    <row r="439" spans="2:28" x14ac:dyDescent="0.3">
      <c r="B439" s="271">
        <v>43473</v>
      </c>
      <c r="C439" s="292">
        <v>195.65</v>
      </c>
      <c r="D439" s="292">
        <v>40.75</v>
      </c>
      <c r="E439" s="292">
        <v>2015.3</v>
      </c>
      <c r="F439" s="292">
        <v>1051.5</v>
      </c>
      <c r="G439" s="292">
        <v>1401.25</v>
      </c>
      <c r="H439" s="292">
        <v>1104.650024</v>
      </c>
      <c r="I439" s="292">
        <v>192.35</v>
      </c>
      <c r="J439" s="197">
        <v>1770.849976</v>
      </c>
      <c r="L439" s="297">
        <f t="shared" si="103"/>
        <v>1.1308267509899505E-2</v>
      </c>
      <c r="M439" s="298">
        <f t="shared" si="104"/>
        <v>-8.5522331535155642E-3</v>
      </c>
      <c r="N439" s="298">
        <f t="shared" si="105"/>
        <v>3.6786678987373068E-3</v>
      </c>
      <c r="O439" s="298">
        <f t="shared" si="106"/>
        <v>-8.3529822691392995E-3</v>
      </c>
      <c r="P439" s="298">
        <f t="shared" si="107"/>
        <v>3.7536910640518905E-3</v>
      </c>
      <c r="Q439" s="298">
        <f t="shared" si="108"/>
        <v>-9.0500587473731626E-5</v>
      </c>
      <c r="R439" s="298">
        <f t="shared" si="109"/>
        <v>2.7406194847866043E-2</v>
      </c>
      <c r="S439" s="299">
        <f t="shared" si="110"/>
        <v>-7.9307324330224905E-3</v>
      </c>
      <c r="U439" s="303">
        <f t="shared" si="111"/>
        <v>1.2866972930408034E-2</v>
      </c>
      <c r="V439" s="86">
        <f t="shared" si="112"/>
        <v>-1.4649961851976197E-2</v>
      </c>
      <c r="W439" s="86">
        <f t="shared" si="113"/>
        <v>8.3016455367113757E-4</v>
      </c>
      <c r="X439" s="86">
        <f t="shared" si="114"/>
        <v>-8.7243097816538089E-3</v>
      </c>
      <c r="Y439" s="86">
        <f t="shared" si="115"/>
        <v>2.6446810723582616E-3</v>
      </c>
      <c r="Z439" s="86">
        <f t="shared" si="116"/>
        <v>-1.6522931866510822E-3</v>
      </c>
      <c r="AA439" s="86">
        <f t="shared" si="117"/>
        <v>3.3118115523409576E-2</v>
      </c>
      <c r="AB439" s="304">
        <f t="shared" si="118"/>
        <v>-8.5430903096720516E-3</v>
      </c>
    </row>
    <row r="440" spans="2:28" x14ac:dyDescent="0.3">
      <c r="B440" s="271">
        <v>43472</v>
      </c>
      <c r="C440" s="292">
        <v>193.45</v>
      </c>
      <c r="D440" s="292">
        <v>41.099997999999999</v>
      </c>
      <c r="E440" s="292">
        <v>2007.9</v>
      </c>
      <c r="F440" s="292">
        <v>1060.3199460000001</v>
      </c>
      <c r="G440" s="292">
        <v>1396</v>
      </c>
      <c r="H440" s="292">
        <v>1104.75</v>
      </c>
      <c r="I440" s="292">
        <v>187.15</v>
      </c>
      <c r="J440" s="197">
        <v>1784.9499510000001</v>
      </c>
      <c r="L440" s="297">
        <f t="shared" si="103"/>
        <v>2.8471612348384503E-3</v>
      </c>
      <c r="M440" s="298">
        <f t="shared" si="104"/>
        <v>1.3472316939878055E-2</v>
      </c>
      <c r="N440" s="298">
        <f t="shared" si="105"/>
        <v>-1.7917115120269646E-2</v>
      </c>
      <c r="O440" s="298">
        <f t="shared" si="106"/>
        <v>1.5100945397119908E-3</v>
      </c>
      <c r="P440" s="298">
        <f t="shared" si="107"/>
        <v>7.2973345374540586E-3</v>
      </c>
      <c r="Q440" s="298">
        <f t="shared" si="108"/>
        <v>5.5368898225821314E-3</v>
      </c>
      <c r="R440" s="298">
        <f t="shared" si="109"/>
        <v>-1.3269833784469991E-2</v>
      </c>
      <c r="S440" s="299">
        <f t="shared" si="110"/>
        <v>1.8224389770871922E-3</v>
      </c>
      <c r="U440" s="303">
        <f t="shared" si="111"/>
        <v>4.4058666553469803E-3</v>
      </c>
      <c r="V440" s="86">
        <f t="shared" si="112"/>
        <v>7.3745882414174213E-3</v>
      </c>
      <c r="W440" s="86">
        <f t="shared" si="113"/>
        <v>-2.0765618465335815E-2</v>
      </c>
      <c r="X440" s="86">
        <f t="shared" si="114"/>
        <v>1.1387670271974814E-3</v>
      </c>
      <c r="Y440" s="86">
        <f t="shared" si="115"/>
        <v>6.1883245457604302E-3</v>
      </c>
      <c r="Z440" s="86">
        <f t="shared" si="116"/>
        <v>3.9750972234047811E-3</v>
      </c>
      <c r="AA440" s="86">
        <f t="shared" si="117"/>
        <v>-7.557913108926455E-3</v>
      </c>
      <c r="AB440" s="304">
        <f t="shared" si="118"/>
        <v>1.2100811004376313E-3</v>
      </c>
    </row>
    <row r="441" spans="2:28" x14ac:dyDescent="0.3">
      <c r="B441" s="271">
        <v>43469</v>
      </c>
      <c r="C441" s="292">
        <v>192.9</v>
      </c>
      <c r="D441" s="292">
        <v>40.549999</v>
      </c>
      <c r="E441" s="292">
        <v>2044.2</v>
      </c>
      <c r="F441" s="292">
        <v>1058.719971</v>
      </c>
      <c r="G441" s="292">
        <v>1385.85</v>
      </c>
      <c r="H441" s="292">
        <v>1098.650024</v>
      </c>
      <c r="I441" s="292">
        <v>189.65</v>
      </c>
      <c r="J441" s="197">
        <v>1781.6999510000001</v>
      </c>
      <c r="L441" s="297">
        <f t="shared" si="103"/>
        <v>2.5995949901496406E-2</v>
      </c>
      <c r="M441" s="298">
        <f t="shared" si="104"/>
        <v>-9.816078818593435E-3</v>
      </c>
      <c r="N441" s="298">
        <f t="shared" si="105"/>
        <v>3.8966339787209914E-3</v>
      </c>
      <c r="O441" s="298">
        <f t="shared" si="106"/>
        <v>2.6670973302881438E-3</v>
      </c>
      <c r="P441" s="298">
        <f t="shared" si="107"/>
        <v>-1.7663072558929164E-3</v>
      </c>
      <c r="Q441" s="298">
        <f t="shared" si="108"/>
        <v>5.3847204448434268E-3</v>
      </c>
      <c r="R441" s="298">
        <f t="shared" si="109"/>
        <v>2.9701179895875923E-2</v>
      </c>
      <c r="S441" s="299">
        <f t="shared" si="110"/>
        <v>-3.7534415915423591E-3</v>
      </c>
      <c r="U441" s="303">
        <f t="shared" si="111"/>
        <v>2.7554655322004937E-2</v>
      </c>
      <c r="V441" s="86">
        <f t="shared" si="112"/>
        <v>-1.5913807517054068E-2</v>
      </c>
      <c r="W441" s="86">
        <f t="shared" si="113"/>
        <v>1.0481306336548222E-3</v>
      </c>
      <c r="X441" s="86">
        <f t="shared" si="114"/>
        <v>2.2957698177736344E-3</v>
      </c>
      <c r="Y441" s="86">
        <f t="shared" si="115"/>
        <v>-2.8753172475865455E-3</v>
      </c>
      <c r="Z441" s="86">
        <f t="shared" si="116"/>
        <v>3.8229278456660765E-3</v>
      </c>
      <c r="AA441" s="86">
        <f t="shared" si="117"/>
        <v>3.5413100571419456E-2</v>
      </c>
      <c r="AB441" s="304">
        <f t="shared" si="118"/>
        <v>-4.3657994681919202E-3</v>
      </c>
    </row>
    <row r="442" spans="2:28" x14ac:dyDescent="0.3">
      <c r="B442" s="271">
        <v>43468</v>
      </c>
      <c r="C442" s="292">
        <v>187.95</v>
      </c>
      <c r="D442" s="292">
        <v>40.950001</v>
      </c>
      <c r="E442" s="292">
        <v>2036.25</v>
      </c>
      <c r="F442" s="292">
        <v>1055.900024</v>
      </c>
      <c r="G442" s="292">
        <v>1388.3</v>
      </c>
      <c r="H442" s="292">
        <v>1092.75</v>
      </c>
      <c r="I442" s="292">
        <v>184.1</v>
      </c>
      <c r="J442" s="197">
        <v>1788.400024</v>
      </c>
      <c r="L442" s="297">
        <f t="shared" si="103"/>
        <v>-2.7291119102103349E-2</v>
      </c>
      <c r="M442" s="298">
        <f t="shared" si="104"/>
        <v>-4.8721410066481985E-3</v>
      </c>
      <c r="N442" s="298">
        <f t="shared" si="105"/>
        <v>1.2701564452701706E-2</v>
      </c>
      <c r="O442" s="298">
        <f t="shared" si="106"/>
        <v>-7.8768191663681798E-3</v>
      </c>
      <c r="P442" s="298">
        <f t="shared" si="107"/>
        <v>3.6080281599870888E-3</v>
      </c>
      <c r="Q442" s="298">
        <f t="shared" si="108"/>
        <v>-1.2414068299098352E-2</v>
      </c>
      <c r="R442" s="298">
        <f t="shared" si="109"/>
        <v>-2.9830530595400776E-3</v>
      </c>
      <c r="S442" s="299">
        <f t="shared" si="110"/>
        <v>2.1270917619830138E-3</v>
      </c>
      <c r="U442" s="303">
        <f t="shared" si="111"/>
        <v>-2.5732413681594818E-2</v>
      </c>
      <c r="V442" s="86">
        <f t="shared" si="112"/>
        <v>-1.0969869705108833E-2</v>
      </c>
      <c r="W442" s="86">
        <f t="shared" si="113"/>
        <v>9.8530611076355374E-3</v>
      </c>
      <c r="X442" s="86">
        <f t="shared" si="114"/>
        <v>-8.2481466788826893E-3</v>
      </c>
      <c r="Y442" s="86">
        <f t="shared" si="115"/>
        <v>2.4990181682934599E-3</v>
      </c>
      <c r="Z442" s="86">
        <f t="shared" si="116"/>
        <v>-1.3975860898275703E-2</v>
      </c>
      <c r="AA442" s="86">
        <f t="shared" si="117"/>
        <v>2.7288676160034581E-3</v>
      </c>
      <c r="AB442" s="304">
        <f t="shared" si="118"/>
        <v>1.5147338853334529E-3</v>
      </c>
    </row>
    <row r="443" spans="2:28" x14ac:dyDescent="0.3">
      <c r="B443" s="271">
        <v>43467</v>
      </c>
      <c r="C443" s="292">
        <v>193.15</v>
      </c>
      <c r="D443" s="292">
        <v>41.150002000000001</v>
      </c>
      <c r="E443" s="292">
        <v>2010.55</v>
      </c>
      <c r="F443" s="292">
        <v>1064.25</v>
      </c>
      <c r="G443" s="292">
        <v>1383.3</v>
      </c>
      <c r="H443" s="292">
        <v>1106.400024</v>
      </c>
      <c r="I443" s="292">
        <v>184.65</v>
      </c>
      <c r="J443" s="197">
        <v>1784.599976</v>
      </c>
      <c r="L443" s="297">
        <f t="shared" si="103"/>
        <v>-4.5295535297284931E-2</v>
      </c>
      <c r="M443" s="298">
        <f t="shared" si="104"/>
        <v>-6.0569534146955074E-3</v>
      </c>
      <c r="N443" s="298">
        <f t="shared" si="105"/>
        <v>-1.6059945782212974E-2</v>
      </c>
      <c r="O443" s="298">
        <f t="shared" si="106"/>
        <v>-9.1662698334351225E-3</v>
      </c>
      <c r="P443" s="298">
        <f t="shared" si="107"/>
        <v>8.5304617330705899E-3</v>
      </c>
      <c r="Q443" s="298">
        <f t="shared" si="108"/>
        <v>-1.3109621029637742E-2</v>
      </c>
      <c r="R443" s="298">
        <f t="shared" si="109"/>
        <v>2.1686102291263464E-3</v>
      </c>
      <c r="S443" s="299">
        <f t="shared" si="110"/>
        <v>-9.2032890001623319E-3</v>
      </c>
      <c r="U443" s="303">
        <f t="shared" si="111"/>
        <v>-4.3736829876776399E-2</v>
      </c>
      <c r="V443" s="86">
        <f t="shared" si="112"/>
        <v>-1.2154682113156141E-2</v>
      </c>
      <c r="W443" s="86">
        <f t="shared" si="113"/>
        <v>-1.8908449127279143E-2</v>
      </c>
      <c r="X443" s="86">
        <f t="shared" si="114"/>
        <v>-9.5375973459496319E-3</v>
      </c>
      <c r="Y443" s="86">
        <f t="shared" si="115"/>
        <v>7.4214517413769606E-3</v>
      </c>
      <c r="Z443" s="86">
        <f t="shared" si="116"/>
        <v>-1.4671413628815093E-2</v>
      </c>
      <c r="AA443" s="86">
        <f t="shared" si="117"/>
        <v>7.8805309046698826E-3</v>
      </c>
      <c r="AB443" s="304">
        <f t="shared" si="118"/>
        <v>-9.815646876811893E-3</v>
      </c>
    </row>
    <row r="444" spans="2:28" x14ac:dyDescent="0.3">
      <c r="B444" s="271">
        <v>43466</v>
      </c>
      <c r="C444" s="292">
        <v>202.1</v>
      </c>
      <c r="D444" s="292">
        <v>41.400002000000001</v>
      </c>
      <c r="E444" s="292">
        <v>2043.1</v>
      </c>
      <c r="F444" s="292">
        <v>1074.0500489999999</v>
      </c>
      <c r="G444" s="292">
        <v>1371.55</v>
      </c>
      <c r="H444" s="292">
        <v>1121</v>
      </c>
      <c r="I444" s="292">
        <v>184.25</v>
      </c>
      <c r="J444" s="197">
        <v>1801.099976</v>
      </c>
      <c r="L444" s="297">
        <f t="shared" si="103"/>
        <v>-4.9468217679571357E-4</v>
      </c>
      <c r="M444" s="298">
        <f t="shared" si="104"/>
        <v>-1.081082000531168E-2</v>
      </c>
      <c r="N444" s="298">
        <f t="shared" si="105"/>
        <v>-9.6444975531961435E-3</v>
      </c>
      <c r="O444" s="298">
        <f t="shared" si="106"/>
        <v>1.236614460593981E-2</v>
      </c>
      <c r="P444" s="298">
        <f t="shared" si="107"/>
        <v>-1.0930555631758711E-3</v>
      </c>
      <c r="Q444" s="298">
        <f t="shared" si="108"/>
        <v>-2.2299030084593365E-4</v>
      </c>
      <c r="R444" s="298">
        <f t="shared" si="109"/>
        <v>1.3386349326067514E-2</v>
      </c>
      <c r="S444" s="299">
        <f t="shared" si="110"/>
        <v>-1.0246612056566061E-2</v>
      </c>
      <c r="U444" s="303">
        <f t="shared" si="111"/>
        <v>1.0640232437128167E-3</v>
      </c>
      <c r="V444" s="86">
        <f t="shared" si="112"/>
        <v>-1.6908548703772314E-2</v>
      </c>
      <c r="W444" s="86">
        <f t="shared" si="113"/>
        <v>-1.2493000898262312E-2</v>
      </c>
      <c r="X444" s="86">
        <f t="shared" si="114"/>
        <v>1.19948170934253E-2</v>
      </c>
      <c r="Y444" s="86">
        <f t="shared" si="115"/>
        <v>-2.2020655548694998E-3</v>
      </c>
      <c r="Z444" s="86">
        <f t="shared" si="116"/>
        <v>-1.7847829000232841E-3</v>
      </c>
      <c r="AA444" s="86">
        <f t="shared" si="117"/>
        <v>1.9098270001611049E-2</v>
      </c>
      <c r="AB444" s="304">
        <f t="shared" si="118"/>
        <v>-1.0858969933215622E-2</v>
      </c>
    </row>
    <row r="445" spans="2:28" x14ac:dyDescent="0.3">
      <c r="B445" s="271">
        <v>43465</v>
      </c>
      <c r="C445" s="292">
        <v>202.2</v>
      </c>
      <c r="D445" s="292">
        <v>41.849997999999999</v>
      </c>
      <c r="E445" s="292">
        <v>2062.9</v>
      </c>
      <c r="F445" s="292">
        <v>1060.849976</v>
      </c>
      <c r="G445" s="292">
        <v>1373.05</v>
      </c>
      <c r="H445" s="292">
        <v>1121.25</v>
      </c>
      <c r="I445" s="292">
        <v>181.8</v>
      </c>
      <c r="J445" s="197">
        <v>1819.650024</v>
      </c>
      <c r="L445" s="297">
        <f t="shared" si="103"/>
        <v>1.394444905863294E-2</v>
      </c>
      <c r="M445" s="298">
        <f t="shared" si="104"/>
        <v>3.5905963601870379E-3</v>
      </c>
      <c r="N445" s="298">
        <f t="shared" si="105"/>
        <v>3.8787879274191478E-4</v>
      </c>
      <c r="O445" s="298">
        <f t="shared" si="106"/>
        <v>-5.6540077898547311E-4</v>
      </c>
      <c r="P445" s="298">
        <f t="shared" si="107"/>
        <v>5.1477815801394319E-3</v>
      </c>
      <c r="Q445" s="298">
        <f t="shared" si="108"/>
        <v>-3.8277142214376632E-3</v>
      </c>
      <c r="R445" s="298">
        <f t="shared" si="109"/>
        <v>1.9270480842993229E-3</v>
      </c>
      <c r="S445" s="299">
        <f t="shared" si="110"/>
        <v>-1.3180796327871317E-3</v>
      </c>
      <c r="U445" s="303">
        <f t="shared" si="111"/>
        <v>1.5503154479141469E-2</v>
      </c>
      <c r="V445" s="86">
        <f t="shared" si="112"/>
        <v>-2.5071323382735962E-3</v>
      </c>
      <c r="W445" s="86">
        <f t="shared" si="113"/>
        <v>-2.4606245523242547E-3</v>
      </c>
      <c r="X445" s="86">
        <f t="shared" si="114"/>
        <v>-9.3672829149998242E-4</v>
      </c>
      <c r="Y445" s="86">
        <f t="shared" si="115"/>
        <v>4.0387715884458025E-3</v>
      </c>
      <c r="Z445" s="86">
        <f t="shared" si="116"/>
        <v>-5.3895068206150139E-3</v>
      </c>
      <c r="AA445" s="86">
        <f t="shared" si="117"/>
        <v>7.6389687598428582E-3</v>
      </c>
      <c r="AB445" s="304">
        <f t="shared" si="118"/>
        <v>-1.9304375094366926E-3</v>
      </c>
    </row>
    <row r="446" spans="2:28" x14ac:dyDescent="0.3">
      <c r="B446" s="271">
        <v>43462</v>
      </c>
      <c r="C446" s="292">
        <v>199.4</v>
      </c>
      <c r="D446" s="292">
        <v>41.700001</v>
      </c>
      <c r="E446" s="292">
        <v>2062.1</v>
      </c>
      <c r="F446" s="292">
        <v>1061.4499510000001</v>
      </c>
      <c r="G446" s="292">
        <v>1366</v>
      </c>
      <c r="H446" s="292">
        <v>1125.5500489999999</v>
      </c>
      <c r="I446" s="292">
        <v>181.45</v>
      </c>
      <c r="J446" s="197">
        <v>1822.0500489999999</v>
      </c>
      <c r="L446" s="297">
        <f t="shared" si="103"/>
        <v>1.7963797415897615E-2</v>
      </c>
      <c r="M446" s="298">
        <f t="shared" si="104"/>
        <v>6.0132470788148195E-3</v>
      </c>
      <c r="N446" s="298">
        <f t="shared" si="105"/>
        <v>-8.4025991767458993E-3</v>
      </c>
      <c r="O446" s="298">
        <f t="shared" si="106"/>
        <v>8.4390344488212091E-3</v>
      </c>
      <c r="P446" s="298">
        <f t="shared" si="107"/>
        <v>-4.7471332529503141E-3</v>
      </c>
      <c r="Q446" s="298">
        <f t="shared" si="108"/>
        <v>4.76465156090153E-3</v>
      </c>
      <c r="R446" s="298">
        <f t="shared" si="109"/>
        <v>1.8634943363463271E-2</v>
      </c>
      <c r="S446" s="299">
        <f t="shared" si="110"/>
        <v>3.9318847209507402E-3</v>
      </c>
      <c r="U446" s="303">
        <f t="shared" si="111"/>
        <v>1.9522502836406146E-2</v>
      </c>
      <c r="V446" s="86">
        <f t="shared" si="112"/>
        <v>-8.448161964581466E-5</v>
      </c>
      <c r="W446" s="86">
        <f t="shared" si="113"/>
        <v>-1.1251102521812068E-2</v>
      </c>
      <c r="X446" s="86">
        <f t="shared" si="114"/>
        <v>8.0677069363066997E-3</v>
      </c>
      <c r="Y446" s="86">
        <f t="shared" si="115"/>
        <v>-5.8561432446439434E-3</v>
      </c>
      <c r="Z446" s="86">
        <f t="shared" si="116"/>
        <v>3.2028589617241797E-3</v>
      </c>
      <c r="AA446" s="86">
        <f t="shared" si="117"/>
        <v>2.4346864039006808E-2</v>
      </c>
      <c r="AB446" s="304">
        <f t="shared" si="118"/>
        <v>3.319526844301179E-3</v>
      </c>
    </row>
    <row r="447" spans="2:28" x14ac:dyDescent="0.3">
      <c r="B447" s="271">
        <v>43461</v>
      </c>
      <c r="C447" s="292">
        <v>195.85</v>
      </c>
      <c r="D447" s="292">
        <v>41.450001</v>
      </c>
      <c r="E447" s="292">
        <v>2079.5</v>
      </c>
      <c r="F447" s="292">
        <v>1052.530029</v>
      </c>
      <c r="G447" s="292">
        <v>1372.5</v>
      </c>
      <c r="H447" s="292">
        <v>1120.1999510000001</v>
      </c>
      <c r="I447" s="292">
        <v>178.1</v>
      </c>
      <c r="J447" s="197">
        <v>1814.900024</v>
      </c>
      <c r="L447" s="297">
        <f t="shared" si="103"/>
        <v>-2.8043358085252604E-3</v>
      </c>
      <c r="M447" s="298">
        <f t="shared" si="104"/>
        <v>-2.4095915273121432E-3</v>
      </c>
      <c r="N447" s="298">
        <f t="shared" si="105"/>
        <v>9.8099223411042703E-3</v>
      </c>
      <c r="O447" s="298">
        <f t="shared" si="106"/>
        <v>-8.1847301180438415E-3</v>
      </c>
      <c r="P447" s="298">
        <f t="shared" si="107"/>
        <v>6.9457416871531365E-3</v>
      </c>
      <c r="Q447" s="298">
        <f t="shared" si="108"/>
        <v>1.9698165224305848E-2</v>
      </c>
      <c r="R447" s="298">
        <f t="shared" si="109"/>
        <v>-7.5514272980003088E-3</v>
      </c>
      <c r="S447" s="299">
        <f t="shared" si="110"/>
        <v>1.2921321048926316E-2</v>
      </c>
      <c r="U447" s="303">
        <f t="shared" si="111"/>
        <v>-1.2456303880167302E-3</v>
      </c>
      <c r="V447" s="86">
        <f t="shared" si="112"/>
        <v>-8.5073202257727777E-3</v>
      </c>
      <c r="W447" s="86">
        <f t="shared" si="113"/>
        <v>6.9614189960381014E-3</v>
      </c>
      <c r="X447" s="86">
        <f t="shared" si="114"/>
        <v>-8.5560576305583509E-3</v>
      </c>
      <c r="Y447" s="86">
        <f t="shared" si="115"/>
        <v>5.8367316954595072E-3</v>
      </c>
      <c r="Z447" s="86">
        <f t="shared" si="116"/>
        <v>1.8136372625128499E-2</v>
      </c>
      <c r="AA447" s="86">
        <f t="shared" si="117"/>
        <v>-1.8395066224567731E-3</v>
      </c>
      <c r="AB447" s="304">
        <f t="shared" si="118"/>
        <v>1.2308963172276755E-2</v>
      </c>
    </row>
    <row r="448" spans="2:28" x14ac:dyDescent="0.3">
      <c r="B448" s="271">
        <v>43460</v>
      </c>
      <c r="C448" s="292">
        <v>196.4</v>
      </c>
      <c r="D448" s="292">
        <v>41.549999</v>
      </c>
      <c r="E448" s="292">
        <v>2059.1999999999998</v>
      </c>
      <c r="F448" s="292">
        <v>1061.1800539999999</v>
      </c>
      <c r="G448" s="292">
        <v>1363</v>
      </c>
      <c r="H448" s="292">
        <v>1098.349976</v>
      </c>
      <c r="I448" s="292">
        <v>179.45</v>
      </c>
      <c r="J448" s="197">
        <v>1791.599976</v>
      </c>
      <c r="L448" s="297">
        <f t="shared" si="103"/>
        <v>0</v>
      </c>
      <c r="M448" s="298">
        <f t="shared" si="104"/>
        <v>-1.4337234663379961E-2</v>
      </c>
      <c r="N448" s="298">
        <f t="shared" si="105"/>
        <v>-2.0143459253141288E-2</v>
      </c>
      <c r="O448" s="298">
        <f t="shared" si="106"/>
        <v>1.98532411755316E-2</v>
      </c>
      <c r="P448" s="298">
        <f t="shared" si="107"/>
        <v>4.3749265566724134E-3</v>
      </c>
      <c r="Q448" s="298">
        <f t="shared" si="108"/>
        <v>8.4114342793388183E-3</v>
      </c>
      <c r="R448" s="298">
        <f t="shared" si="109"/>
        <v>-1.575706409100126E-2</v>
      </c>
      <c r="S448" s="299">
        <f t="shared" si="110"/>
        <v>3.8867309328045165E-3</v>
      </c>
      <c r="U448" s="303">
        <f t="shared" si="111"/>
        <v>1.5587054205085302E-3</v>
      </c>
      <c r="V448" s="86">
        <f t="shared" si="112"/>
        <v>-2.0434963361840596E-2</v>
      </c>
      <c r="W448" s="86">
        <f t="shared" si="113"/>
        <v>-2.2991962598207457E-2</v>
      </c>
      <c r="X448" s="86">
        <f t="shared" si="114"/>
        <v>1.9481913663017093E-2</v>
      </c>
      <c r="Y448" s="86">
        <f t="shared" si="115"/>
        <v>3.2659165649787845E-3</v>
      </c>
      <c r="Z448" s="86">
        <f t="shared" si="116"/>
        <v>6.849641680161468E-3</v>
      </c>
      <c r="AA448" s="86">
        <f t="shared" si="117"/>
        <v>-1.0045143415457723E-2</v>
      </c>
      <c r="AB448" s="304">
        <f t="shared" si="118"/>
        <v>3.2743730561549554E-3</v>
      </c>
    </row>
    <row r="449" spans="2:28" x14ac:dyDescent="0.3">
      <c r="B449" s="271">
        <v>43458</v>
      </c>
      <c r="C449" s="292">
        <v>196.4</v>
      </c>
      <c r="D449" s="292">
        <v>42.150002000000001</v>
      </c>
      <c r="E449" s="292">
        <v>2101.1</v>
      </c>
      <c r="F449" s="292">
        <v>1040.3199460000001</v>
      </c>
      <c r="G449" s="292">
        <v>1357.05</v>
      </c>
      <c r="H449" s="292">
        <v>1089.150024</v>
      </c>
      <c r="I449" s="292">
        <v>182.3</v>
      </c>
      <c r="J449" s="197">
        <v>1784.650024</v>
      </c>
      <c r="L449" s="297">
        <f t="shared" si="103"/>
        <v>-1.84139393828785E-2</v>
      </c>
      <c r="M449" s="298">
        <f t="shared" si="104"/>
        <v>-8.2693440329229644E-3</v>
      </c>
      <c r="N449" s="298">
        <f t="shared" si="105"/>
        <v>-2.0655224972121033E-2</v>
      </c>
      <c r="O449" s="298">
        <f t="shared" si="106"/>
        <v>-1.4552548003681496E-2</v>
      </c>
      <c r="P449" s="298">
        <f t="shared" si="107"/>
        <v>-2.2694717765623075E-2</v>
      </c>
      <c r="Q449" s="298">
        <f t="shared" si="108"/>
        <v>-1.0094339374102368E-2</v>
      </c>
      <c r="R449" s="298">
        <f t="shared" si="109"/>
        <v>-3.5592097805982967E-3</v>
      </c>
      <c r="S449" s="299">
        <f t="shared" si="110"/>
        <v>-1.0506890339100693E-2</v>
      </c>
      <c r="U449" s="303">
        <f t="shared" si="111"/>
        <v>-1.6855233962369969E-2</v>
      </c>
      <c r="V449" s="86">
        <f t="shared" si="112"/>
        <v>-1.4367072731383598E-2</v>
      </c>
      <c r="W449" s="86">
        <f t="shared" si="113"/>
        <v>-2.3503728317187202E-2</v>
      </c>
      <c r="X449" s="86">
        <f t="shared" si="114"/>
        <v>-1.4923875516196006E-2</v>
      </c>
      <c r="Y449" s="86">
        <f t="shared" si="115"/>
        <v>-2.3803727757316703E-2</v>
      </c>
      <c r="Z449" s="86">
        <f t="shared" si="116"/>
        <v>-1.1656131973279719E-2</v>
      </c>
      <c r="AA449" s="86">
        <f t="shared" si="117"/>
        <v>2.152710894945239E-3</v>
      </c>
      <c r="AB449" s="304">
        <f t="shared" si="118"/>
        <v>-1.1119248215750254E-2</v>
      </c>
    </row>
    <row r="450" spans="2:28" x14ac:dyDescent="0.3">
      <c r="B450" s="271">
        <v>43455</v>
      </c>
      <c r="C450" s="292">
        <v>200.05</v>
      </c>
      <c r="D450" s="292">
        <v>42.5</v>
      </c>
      <c r="E450" s="292">
        <v>2144.9499999999998</v>
      </c>
      <c r="F450" s="292">
        <v>1055.5699460000001</v>
      </c>
      <c r="G450" s="292">
        <v>1388.2</v>
      </c>
      <c r="H450" s="292">
        <v>1100.1999510000001</v>
      </c>
      <c r="I450" s="292">
        <v>182.95</v>
      </c>
      <c r="J450" s="197">
        <v>1803.5</v>
      </c>
      <c r="L450" s="297">
        <f t="shared" si="103"/>
        <v>-1.3406357692278223E-2</v>
      </c>
      <c r="M450" s="298">
        <f t="shared" si="104"/>
        <v>-3.3548570953943126E-2</v>
      </c>
      <c r="N450" s="298">
        <f t="shared" si="105"/>
        <v>1.5954473218803916E-2</v>
      </c>
      <c r="O450" s="298">
        <f t="shared" si="106"/>
        <v>-1.2380789334176382E-2</v>
      </c>
      <c r="P450" s="298">
        <f t="shared" si="107"/>
        <v>-2.6725115778044681E-2</v>
      </c>
      <c r="Q450" s="298">
        <f t="shared" si="108"/>
        <v>-2.5353029347945928E-2</v>
      </c>
      <c r="R450" s="298">
        <f t="shared" si="109"/>
        <v>-2.0557932547710971E-2</v>
      </c>
      <c r="S450" s="299">
        <f t="shared" si="110"/>
        <v>-1.6906457250509991E-2</v>
      </c>
      <c r="U450" s="303">
        <f t="shared" si="111"/>
        <v>-1.1847652271769694E-2</v>
      </c>
      <c r="V450" s="86">
        <f t="shared" si="112"/>
        <v>-3.9646299652403759E-2</v>
      </c>
      <c r="W450" s="86">
        <f t="shared" si="113"/>
        <v>1.3105969873737747E-2</v>
      </c>
      <c r="X450" s="86">
        <f t="shared" si="114"/>
        <v>-1.2752116846690892E-2</v>
      </c>
      <c r="Y450" s="86">
        <f t="shared" si="115"/>
        <v>-2.7834125769738309E-2</v>
      </c>
      <c r="Z450" s="86">
        <f t="shared" si="116"/>
        <v>-2.6914821947123278E-2</v>
      </c>
      <c r="AA450" s="86">
        <f t="shared" si="117"/>
        <v>-1.4846011872167435E-2</v>
      </c>
      <c r="AB450" s="304">
        <f t="shared" si="118"/>
        <v>-1.751881512715955E-2</v>
      </c>
    </row>
    <row r="451" spans="2:28" x14ac:dyDescent="0.3">
      <c r="B451" s="271">
        <v>43454</v>
      </c>
      <c r="C451" s="292">
        <v>202.75</v>
      </c>
      <c r="D451" s="292">
        <v>43.950001</v>
      </c>
      <c r="E451" s="292">
        <v>2111</v>
      </c>
      <c r="F451" s="292">
        <v>1068.719971</v>
      </c>
      <c r="G451" s="292">
        <v>1425.8</v>
      </c>
      <c r="H451" s="292">
        <v>1128.4499510000001</v>
      </c>
      <c r="I451" s="292">
        <v>186.75</v>
      </c>
      <c r="J451" s="197">
        <v>1834.25</v>
      </c>
      <c r="L451" s="297">
        <f t="shared" si="103"/>
        <v>-2.002019991189815E-2</v>
      </c>
      <c r="M451" s="298">
        <f t="shared" si="104"/>
        <v>-4.540325465766981E-3</v>
      </c>
      <c r="N451" s="298">
        <f t="shared" si="105"/>
        <v>-5.0323189846779885E-3</v>
      </c>
      <c r="O451" s="298">
        <f t="shared" si="106"/>
        <v>6.5714363052599865E-3</v>
      </c>
      <c r="P451" s="298">
        <f t="shared" si="107"/>
        <v>1.8082267593586315E-2</v>
      </c>
      <c r="Q451" s="298">
        <f t="shared" si="108"/>
        <v>-7.3723746343924128E-3</v>
      </c>
      <c r="R451" s="298">
        <f t="shared" si="109"/>
        <v>3.9317103340834839E-2</v>
      </c>
      <c r="S451" s="299">
        <f t="shared" si="110"/>
        <v>-5.7352184818354381E-3</v>
      </c>
      <c r="U451" s="303">
        <f t="shared" si="111"/>
        <v>-1.8461494491389618E-2</v>
      </c>
      <c r="V451" s="86">
        <f t="shared" si="112"/>
        <v>-1.0638054164227615E-2</v>
      </c>
      <c r="W451" s="86">
        <f t="shared" si="113"/>
        <v>-7.8808223297441582E-3</v>
      </c>
      <c r="X451" s="86">
        <f t="shared" si="114"/>
        <v>6.2001087927454771E-3</v>
      </c>
      <c r="Y451" s="86">
        <f t="shared" si="115"/>
        <v>1.6973257601892687E-2</v>
      </c>
      <c r="Z451" s="86">
        <f t="shared" si="116"/>
        <v>-8.934167233569764E-3</v>
      </c>
      <c r="AA451" s="86">
        <f t="shared" si="117"/>
        <v>4.5029024016378372E-2</v>
      </c>
      <c r="AB451" s="304">
        <f t="shared" si="118"/>
        <v>-6.3475763584849992E-3</v>
      </c>
    </row>
    <row r="452" spans="2:28" x14ac:dyDescent="0.3">
      <c r="B452" s="271">
        <v>43453</v>
      </c>
      <c r="C452" s="292">
        <v>206.85</v>
      </c>
      <c r="D452" s="292">
        <v>44.150002000000001</v>
      </c>
      <c r="E452" s="292">
        <v>2121.65</v>
      </c>
      <c r="F452" s="292">
        <v>1061.719971</v>
      </c>
      <c r="G452" s="292">
        <v>1400.25</v>
      </c>
      <c r="H452" s="292">
        <v>1136.8000489999999</v>
      </c>
      <c r="I452" s="292">
        <v>179.55</v>
      </c>
      <c r="J452" s="197">
        <v>1844.8000489999999</v>
      </c>
      <c r="L452" s="297">
        <f t="shared" ref="L452:L491" si="119">LN(C452/C453)</f>
        <v>-8.1849277355338038E-3</v>
      </c>
      <c r="M452" s="298">
        <f t="shared" ref="M452:M491" si="120">LN(D452/D453)</f>
        <v>-2.2623991038572869E-3</v>
      </c>
      <c r="N452" s="298">
        <f t="shared" ref="N452:N491" si="121">LN(E452/E453)</f>
        <v>4.3788904901935329E-2</v>
      </c>
      <c r="O452" s="298">
        <f t="shared" ref="O452:O491" si="122">LN(F452/F453)</f>
        <v>-5.6352994606236823E-3</v>
      </c>
      <c r="P452" s="298">
        <f t="shared" ref="P452:P491" si="123">LN(G452/G453)</f>
        <v>3.2332866004598067E-2</v>
      </c>
      <c r="Q452" s="298">
        <f t="shared" ref="Q452:Q491" si="124">LN(H452/H453)</f>
        <v>3.5194878698138792E-4</v>
      </c>
      <c r="R452" s="298">
        <f t="shared" ref="R452:R491" si="125">LN(I452/I453)</f>
        <v>3.0679148313368324E-3</v>
      </c>
      <c r="S452" s="299">
        <f t="shared" ref="S452:S491" si="126">LN(J452/J453)</f>
        <v>2.1977998271128217E-3</v>
      </c>
      <c r="U452" s="303">
        <f t="shared" ref="U452:U490" si="127">L452-L$494</f>
        <v>-6.6262223150252734E-3</v>
      </c>
      <c r="V452" s="86">
        <f t="shared" ref="V452:V490" si="128">M452-M$494</f>
        <v>-8.3601278023179206E-3</v>
      </c>
      <c r="W452" s="86">
        <f t="shared" ref="W452:W490" si="129">N452-N$494</f>
        <v>4.0940401556869156E-2</v>
      </c>
      <c r="X452" s="86">
        <f t="shared" ref="X452:X490" si="130">O452-O$494</f>
        <v>-6.0066269731381917E-3</v>
      </c>
      <c r="Y452" s="86">
        <f t="shared" ref="Y452:Y490" si="131">P452-P$494</f>
        <v>3.1223856012904439E-2</v>
      </c>
      <c r="Z452" s="86">
        <f t="shared" ref="Z452:Z490" si="132">Q452-Q$494</f>
        <v>-1.2098438121959626E-3</v>
      </c>
      <c r="AA452" s="86">
        <f t="shared" ref="AA452:AA490" si="133">R452-R$494</f>
        <v>8.7798355068803673E-3</v>
      </c>
      <c r="AB452" s="304">
        <f t="shared" ref="AB452:AB490" si="134">S452-S$494</f>
        <v>1.5854419504632608E-3</v>
      </c>
    </row>
    <row r="453" spans="2:28" x14ac:dyDescent="0.3">
      <c r="B453" s="271">
        <v>43452</v>
      </c>
      <c r="C453" s="292">
        <v>208.55</v>
      </c>
      <c r="D453" s="292">
        <v>44.25</v>
      </c>
      <c r="E453" s="292">
        <v>2030.75</v>
      </c>
      <c r="F453" s="292">
        <v>1067.719971</v>
      </c>
      <c r="G453" s="292">
        <v>1355.7</v>
      </c>
      <c r="H453" s="292">
        <v>1136.400024</v>
      </c>
      <c r="I453" s="292">
        <v>179</v>
      </c>
      <c r="J453" s="197">
        <v>1840.75</v>
      </c>
      <c r="L453" s="297">
        <f t="shared" si="119"/>
        <v>1.4732786706665035E-2</v>
      </c>
      <c r="M453" s="298">
        <f t="shared" si="120"/>
        <v>-8.9989806614016957E-3</v>
      </c>
      <c r="N453" s="298">
        <f t="shared" si="121"/>
        <v>9.3504861745196365E-3</v>
      </c>
      <c r="O453" s="298">
        <f t="shared" si="122"/>
        <v>2.4568377856310653E-3</v>
      </c>
      <c r="P453" s="298">
        <f t="shared" si="123"/>
        <v>1.4750132741214653E-2</v>
      </c>
      <c r="Q453" s="298">
        <f t="shared" si="124"/>
        <v>5.7362376433387858E-3</v>
      </c>
      <c r="R453" s="298">
        <f t="shared" si="125"/>
        <v>-1.1111225425070722E-2</v>
      </c>
      <c r="S453" s="299">
        <f t="shared" si="126"/>
        <v>-5.3908221584077279E-3</v>
      </c>
      <c r="U453" s="303">
        <f t="shared" si="127"/>
        <v>1.6291492127173565E-2</v>
      </c>
      <c r="V453" s="86">
        <f t="shared" si="128"/>
        <v>-1.5096709359862331E-2</v>
      </c>
      <c r="W453" s="86">
        <f t="shared" si="129"/>
        <v>6.5019828294534676E-3</v>
      </c>
      <c r="X453" s="86">
        <f t="shared" si="130"/>
        <v>2.0855102731165559E-3</v>
      </c>
      <c r="Y453" s="86">
        <f t="shared" si="131"/>
        <v>1.3641122749521024E-2</v>
      </c>
      <c r="Z453" s="86">
        <f t="shared" si="132"/>
        <v>4.1744450441614355E-3</v>
      </c>
      <c r="AA453" s="86">
        <f t="shared" si="133"/>
        <v>-5.3993047495271866E-3</v>
      </c>
      <c r="AB453" s="304">
        <f t="shared" si="134"/>
        <v>-6.003180035057289E-3</v>
      </c>
    </row>
    <row r="454" spans="2:28" x14ac:dyDescent="0.3">
      <c r="B454" s="271">
        <v>43451</v>
      </c>
      <c r="C454" s="292">
        <v>205.5</v>
      </c>
      <c r="D454" s="292">
        <v>44.650002000000001</v>
      </c>
      <c r="E454" s="292">
        <v>2011.85</v>
      </c>
      <c r="F454" s="292">
        <v>1065.099976</v>
      </c>
      <c r="G454" s="292">
        <v>1335.85</v>
      </c>
      <c r="H454" s="292">
        <v>1129.900024</v>
      </c>
      <c r="I454" s="292">
        <v>181</v>
      </c>
      <c r="J454" s="197">
        <v>1850.6999510000001</v>
      </c>
      <c r="L454" s="297">
        <f t="shared" si="119"/>
        <v>1.9160497739075789E-2</v>
      </c>
      <c r="M454" s="298">
        <f t="shared" si="120"/>
        <v>1.1261379765259018E-2</v>
      </c>
      <c r="N454" s="298">
        <f t="shared" si="121"/>
        <v>2.5906162721151257E-2</v>
      </c>
      <c r="O454" s="298">
        <f t="shared" si="122"/>
        <v>1.6328245954114227E-2</v>
      </c>
      <c r="P454" s="298">
        <f t="shared" si="123"/>
        <v>-3.8105246346684853E-3</v>
      </c>
      <c r="Q454" s="298">
        <f t="shared" si="124"/>
        <v>1.5789162759379687E-2</v>
      </c>
      <c r="R454" s="298">
        <f t="shared" si="125"/>
        <v>3.5976239162777623E-3</v>
      </c>
      <c r="S454" s="299">
        <f t="shared" si="126"/>
        <v>-5.3082498507316988E-3</v>
      </c>
      <c r="U454" s="303">
        <f t="shared" si="127"/>
        <v>2.071920315958432E-2</v>
      </c>
      <c r="V454" s="86">
        <f t="shared" si="128"/>
        <v>5.1636510667983837E-3</v>
      </c>
      <c r="W454" s="86">
        <f t="shared" si="129"/>
        <v>2.3057659376085088E-2</v>
      </c>
      <c r="X454" s="86">
        <f t="shared" si="130"/>
        <v>1.5956918441599719E-2</v>
      </c>
      <c r="Y454" s="86">
        <f t="shared" si="131"/>
        <v>-4.9195346263621147E-3</v>
      </c>
      <c r="Z454" s="86">
        <f t="shared" si="132"/>
        <v>1.4227370160202335E-2</v>
      </c>
      <c r="AA454" s="86">
        <f t="shared" si="133"/>
        <v>9.309544591821298E-3</v>
      </c>
      <c r="AB454" s="304">
        <f t="shared" si="134"/>
        <v>-5.9206077273812599E-3</v>
      </c>
    </row>
    <row r="455" spans="2:28" x14ac:dyDescent="0.3">
      <c r="B455" s="271">
        <v>43448</v>
      </c>
      <c r="C455" s="292">
        <v>201.6</v>
      </c>
      <c r="D455" s="292">
        <v>44.150002000000001</v>
      </c>
      <c r="E455" s="292">
        <v>1960.4</v>
      </c>
      <c r="F455" s="292">
        <v>1047.849976</v>
      </c>
      <c r="G455" s="292">
        <v>1340.95</v>
      </c>
      <c r="H455" s="292">
        <v>1112.1999510000001</v>
      </c>
      <c r="I455" s="292">
        <v>180.35</v>
      </c>
      <c r="J455" s="197">
        <v>1860.5500489999999</v>
      </c>
      <c r="L455" s="297">
        <f t="shared" si="119"/>
        <v>4.7234394842877829E-3</v>
      </c>
      <c r="M455" s="298">
        <f t="shared" si="120"/>
        <v>-3.391682127645053E-3</v>
      </c>
      <c r="N455" s="298">
        <f t="shared" si="121"/>
        <v>-1.9619590205384781E-3</v>
      </c>
      <c r="O455" s="298">
        <f t="shared" si="122"/>
        <v>-2.668620120771451E-3</v>
      </c>
      <c r="P455" s="298">
        <f t="shared" si="123"/>
        <v>1.5595077724127234E-2</v>
      </c>
      <c r="Q455" s="298">
        <f t="shared" si="124"/>
        <v>4.6411276278914265E-3</v>
      </c>
      <c r="R455" s="298">
        <f t="shared" si="125"/>
        <v>3.1829190209537221E-2</v>
      </c>
      <c r="S455" s="299">
        <f t="shared" si="126"/>
        <v>2.6909947985323834E-3</v>
      </c>
      <c r="U455" s="303">
        <f t="shared" si="127"/>
        <v>6.2821449047963133E-3</v>
      </c>
      <c r="V455" s="86">
        <f t="shared" si="128"/>
        <v>-9.4894108261056875E-3</v>
      </c>
      <c r="W455" s="86">
        <f t="shared" si="129"/>
        <v>-4.810462365604647E-3</v>
      </c>
      <c r="X455" s="86">
        <f t="shared" si="130"/>
        <v>-3.0399476332859604E-3</v>
      </c>
      <c r="Y455" s="86">
        <f t="shared" si="131"/>
        <v>1.4486067732433605E-2</v>
      </c>
      <c r="Z455" s="86">
        <f t="shared" si="132"/>
        <v>3.0793350287140761E-3</v>
      </c>
      <c r="AA455" s="86">
        <f t="shared" si="133"/>
        <v>3.7541110885080754E-2</v>
      </c>
      <c r="AB455" s="304">
        <f t="shared" si="134"/>
        <v>2.0786369218828227E-3</v>
      </c>
    </row>
    <row r="456" spans="2:28" x14ac:dyDescent="0.3">
      <c r="B456" s="271">
        <v>43447</v>
      </c>
      <c r="C456" s="292">
        <v>200.65</v>
      </c>
      <c r="D456" s="292">
        <v>44.299999</v>
      </c>
      <c r="E456" s="292">
        <v>1964.25</v>
      </c>
      <c r="F456" s="292">
        <v>1050.650024</v>
      </c>
      <c r="G456" s="292">
        <v>1320.2</v>
      </c>
      <c r="H456" s="292">
        <v>1107.0500489999999</v>
      </c>
      <c r="I456" s="292">
        <v>174.7</v>
      </c>
      <c r="J456" s="197">
        <v>1855.5500489999999</v>
      </c>
      <c r="L456" s="297">
        <f t="shared" si="119"/>
        <v>6.7508694941766176E-3</v>
      </c>
      <c r="M456" s="298">
        <f t="shared" si="120"/>
        <v>-1.1223462621784367E-2</v>
      </c>
      <c r="N456" s="298">
        <f t="shared" si="121"/>
        <v>5.9742824753519636E-3</v>
      </c>
      <c r="O456" s="298">
        <f t="shared" si="122"/>
        <v>7.6434708498064018E-3</v>
      </c>
      <c r="P456" s="298">
        <f t="shared" si="123"/>
        <v>-8.0721648378400106E-3</v>
      </c>
      <c r="Q456" s="298">
        <f t="shared" si="124"/>
        <v>-3.1115002657352547E-3</v>
      </c>
      <c r="R456" s="298">
        <f t="shared" si="125"/>
        <v>-6.5897071273232563E-2</v>
      </c>
      <c r="S456" s="299">
        <f t="shared" si="126"/>
        <v>8.9048660043595049E-3</v>
      </c>
      <c r="U456" s="303">
        <f t="shared" si="127"/>
        <v>8.3095749146851472E-3</v>
      </c>
      <c r="V456" s="86">
        <f t="shared" si="128"/>
        <v>-1.7321191320245E-2</v>
      </c>
      <c r="W456" s="86">
        <f t="shared" si="129"/>
        <v>3.1257791302857943E-3</v>
      </c>
      <c r="X456" s="86">
        <f t="shared" si="130"/>
        <v>7.2721433372918923E-3</v>
      </c>
      <c r="Y456" s="86">
        <f t="shared" si="131"/>
        <v>-9.18117482953364E-3</v>
      </c>
      <c r="Z456" s="86">
        <f t="shared" si="132"/>
        <v>-4.673292864912605E-3</v>
      </c>
      <c r="AA456" s="86">
        <f t="shared" si="133"/>
        <v>-6.018515059768903E-2</v>
      </c>
      <c r="AB456" s="304">
        <f t="shared" si="134"/>
        <v>8.2925081277099438E-3</v>
      </c>
    </row>
    <row r="457" spans="2:28" x14ac:dyDescent="0.3">
      <c r="B457" s="271">
        <v>43446</v>
      </c>
      <c r="C457" s="292">
        <v>199.3</v>
      </c>
      <c r="D457" s="292">
        <v>44.799999</v>
      </c>
      <c r="E457" s="292">
        <v>1952.55</v>
      </c>
      <c r="F457" s="292">
        <v>1042.650024</v>
      </c>
      <c r="G457" s="292">
        <v>1330.9</v>
      </c>
      <c r="H457" s="292">
        <v>1110.5</v>
      </c>
      <c r="I457" s="292">
        <v>186.6</v>
      </c>
      <c r="J457" s="197">
        <v>1839.099976</v>
      </c>
      <c r="L457" s="297">
        <f t="shared" si="119"/>
        <v>2.9275350195091938E-2</v>
      </c>
      <c r="M457" s="298">
        <f t="shared" si="120"/>
        <v>3.2901460009062265E-2</v>
      </c>
      <c r="N457" s="298">
        <f t="shared" si="121"/>
        <v>1.0011278652933005E-2</v>
      </c>
      <c r="O457" s="298">
        <f t="shared" si="122"/>
        <v>1.2420356894918536E-2</v>
      </c>
      <c r="P457" s="298">
        <f t="shared" si="123"/>
        <v>5.5001080450534203E-3</v>
      </c>
      <c r="Q457" s="298">
        <f t="shared" si="124"/>
        <v>1.1729896691443682E-2</v>
      </c>
      <c r="R457" s="298">
        <f t="shared" si="125"/>
        <v>4.8026790018779152E-2</v>
      </c>
      <c r="S457" s="299">
        <f t="shared" si="126"/>
        <v>2.4326985019759655E-2</v>
      </c>
      <c r="U457" s="303">
        <f t="shared" si="127"/>
        <v>3.0834055615600469E-2</v>
      </c>
      <c r="V457" s="86">
        <f t="shared" si="128"/>
        <v>2.6803731310601632E-2</v>
      </c>
      <c r="W457" s="86">
        <f t="shared" si="129"/>
        <v>7.1627753078668359E-3</v>
      </c>
      <c r="X457" s="86">
        <f t="shared" si="130"/>
        <v>1.2049029382404026E-2</v>
      </c>
      <c r="Y457" s="86">
        <f t="shared" si="131"/>
        <v>4.3910980533597918E-3</v>
      </c>
      <c r="Z457" s="86">
        <f t="shared" si="132"/>
        <v>1.0168104092266331E-2</v>
      </c>
      <c r="AA457" s="86">
        <f t="shared" si="133"/>
        <v>5.3738710694322685E-2</v>
      </c>
      <c r="AB457" s="304">
        <f t="shared" si="134"/>
        <v>2.3714627143110095E-2</v>
      </c>
    </row>
    <row r="458" spans="2:28" x14ac:dyDescent="0.3">
      <c r="B458" s="271">
        <v>43445</v>
      </c>
      <c r="C458" s="292">
        <v>193.55</v>
      </c>
      <c r="D458" s="292">
        <v>43.349997999999999</v>
      </c>
      <c r="E458" s="292">
        <v>1933.1</v>
      </c>
      <c r="F458" s="292">
        <v>1029.780029</v>
      </c>
      <c r="G458" s="292">
        <v>1323.6</v>
      </c>
      <c r="H458" s="292">
        <v>1097.5500489999999</v>
      </c>
      <c r="I458" s="292">
        <v>177.85</v>
      </c>
      <c r="J458" s="197">
        <v>1794.900024</v>
      </c>
      <c r="L458" s="297">
        <f t="shared" si="119"/>
        <v>5.1800167627393126E-3</v>
      </c>
      <c r="M458" s="298">
        <f t="shared" si="120"/>
        <v>4.8444181336536676E-2</v>
      </c>
      <c r="N458" s="298">
        <f t="shared" si="121"/>
        <v>9.5117534092920633E-3</v>
      </c>
      <c r="O458" s="298">
        <f t="shared" si="122"/>
        <v>-1.407819734013455E-2</v>
      </c>
      <c r="P458" s="298">
        <f t="shared" si="123"/>
        <v>3.8036766365069273E-2</v>
      </c>
      <c r="Q458" s="298">
        <f t="shared" si="124"/>
        <v>6.6734399201627808E-3</v>
      </c>
      <c r="R458" s="298">
        <f t="shared" si="125"/>
        <v>7.1063369648559235E-2</v>
      </c>
      <c r="S458" s="299">
        <f t="shared" si="126"/>
        <v>-5.0130893728300902E-4</v>
      </c>
      <c r="U458" s="303">
        <f t="shared" si="127"/>
        <v>6.7387221832478431E-3</v>
      </c>
      <c r="V458" s="86">
        <f t="shared" si="128"/>
        <v>4.2346452638076043E-2</v>
      </c>
      <c r="W458" s="86">
        <f t="shared" si="129"/>
        <v>6.6632500642258945E-3</v>
      </c>
      <c r="X458" s="86">
        <f t="shared" si="130"/>
        <v>-1.4449524852649059E-2</v>
      </c>
      <c r="Y458" s="86">
        <f t="shared" si="131"/>
        <v>3.6927756373375642E-2</v>
      </c>
      <c r="Z458" s="86">
        <f t="shared" si="132"/>
        <v>5.1116473209854305E-3</v>
      </c>
      <c r="AA458" s="86">
        <f t="shared" si="133"/>
        <v>7.6775290324102768E-2</v>
      </c>
      <c r="AB458" s="304">
        <f t="shared" si="134"/>
        <v>-1.1136668139325699E-3</v>
      </c>
    </row>
    <row r="459" spans="2:28" x14ac:dyDescent="0.3">
      <c r="B459" s="271">
        <v>43444</v>
      </c>
      <c r="C459" s="292">
        <v>192.55</v>
      </c>
      <c r="D459" s="292">
        <v>41.299999</v>
      </c>
      <c r="E459" s="292">
        <v>1914.8</v>
      </c>
      <c r="F459" s="292">
        <v>1044.380005</v>
      </c>
      <c r="G459" s="292">
        <v>1274.2</v>
      </c>
      <c r="H459" s="292">
        <v>1090.25</v>
      </c>
      <c r="I459" s="292">
        <v>165.65</v>
      </c>
      <c r="J459" s="197">
        <v>1795.8000489999999</v>
      </c>
      <c r="L459" s="297">
        <f t="shared" si="119"/>
        <v>-1.6227014141112488E-2</v>
      </c>
      <c r="M459" s="298">
        <f t="shared" si="120"/>
        <v>-7.3502508703189487E-2</v>
      </c>
      <c r="N459" s="298">
        <f t="shared" si="121"/>
        <v>-2.1952793990124158E-2</v>
      </c>
      <c r="O459" s="298">
        <f t="shared" si="122"/>
        <v>-8.9793125954798873E-3</v>
      </c>
      <c r="P459" s="298">
        <f t="shared" si="123"/>
        <v>-3.4289955282909547E-2</v>
      </c>
      <c r="Q459" s="298">
        <f t="shared" si="124"/>
        <v>-3.9167838384825245E-2</v>
      </c>
      <c r="R459" s="298">
        <f t="shared" si="125"/>
        <v>-3.3147536754428099E-3</v>
      </c>
      <c r="S459" s="299">
        <f t="shared" si="126"/>
        <v>-1.5745746281193535E-2</v>
      </c>
      <c r="U459" s="303">
        <f t="shared" si="127"/>
        <v>-1.4668308720603958E-2</v>
      </c>
      <c r="V459" s="86">
        <f t="shared" si="128"/>
        <v>-7.960023740165012E-2</v>
      </c>
      <c r="W459" s="86">
        <f t="shared" si="129"/>
        <v>-2.4801297335190327E-2</v>
      </c>
      <c r="X459" s="86">
        <f t="shared" si="130"/>
        <v>-9.3506401079943968E-3</v>
      </c>
      <c r="Y459" s="86">
        <f t="shared" si="131"/>
        <v>-3.5398965274603178E-2</v>
      </c>
      <c r="Z459" s="86">
        <f t="shared" si="132"/>
        <v>-4.0729630984002597E-2</v>
      </c>
      <c r="AA459" s="86">
        <f t="shared" si="133"/>
        <v>2.3971670001007258E-3</v>
      </c>
      <c r="AB459" s="304">
        <f t="shared" si="134"/>
        <v>-1.6358104157843095E-2</v>
      </c>
    </row>
    <row r="460" spans="2:28" x14ac:dyDescent="0.3">
      <c r="B460" s="271">
        <v>43441</v>
      </c>
      <c r="C460" s="292">
        <v>195.7</v>
      </c>
      <c r="D460" s="292">
        <v>44.450001</v>
      </c>
      <c r="E460" s="292">
        <v>1957.3</v>
      </c>
      <c r="F460" s="292">
        <v>1053.8000489999999</v>
      </c>
      <c r="G460" s="292">
        <v>1318.65</v>
      </c>
      <c r="H460" s="292">
        <v>1133.8000489999999</v>
      </c>
      <c r="I460" s="292">
        <v>166.2</v>
      </c>
      <c r="J460" s="197">
        <v>1824.3000489999999</v>
      </c>
      <c r="L460" s="297">
        <f t="shared" si="119"/>
        <v>1.7900529009510183E-3</v>
      </c>
      <c r="M460" s="298">
        <f t="shared" si="120"/>
        <v>-1.6732124504977863E-2</v>
      </c>
      <c r="N460" s="298">
        <f t="shared" si="121"/>
        <v>-1.3145729212502616E-2</v>
      </c>
      <c r="O460" s="298">
        <f t="shared" si="122"/>
        <v>5.0135143798620474E-3</v>
      </c>
      <c r="P460" s="298">
        <f t="shared" si="123"/>
        <v>1.8020573735755979E-2</v>
      </c>
      <c r="Q460" s="298">
        <f t="shared" si="124"/>
        <v>8.9925296867354437E-3</v>
      </c>
      <c r="R460" s="298">
        <f t="shared" si="125"/>
        <v>-1.3447087431214078E-2</v>
      </c>
      <c r="S460" s="299">
        <f t="shared" si="126"/>
        <v>1.2576727465642786E-2</v>
      </c>
      <c r="U460" s="303">
        <f t="shared" si="127"/>
        <v>3.3487583214595485E-3</v>
      </c>
      <c r="V460" s="86">
        <f t="shared" si="128"/>
        <v>-2.2829853203438496E-2</v>
      </c>
      <c r="W460" s="86">
        <f t="shared" si="129"/>
        <v>-1.5994232557568787E-2</v>
      </c>
      <c r="X460" s="86">
        <f t="shared" si="130"/>
        <v>4.6421868673475379E-3</v>
      </c>
      <c r="Y460" s="86">
        <f t="shared" si="131"/>
        <v>1.6911563744062351E-2</v>
      </c>
      <c r="Z460" s="86">
        <f t="shared" si="132"/>
        <v>7.4307370875580933E-3</v>
      </c>
      <c r="AA460" s="86">
        <f t="shared" si="133"/>
        <v>-7.7351667556705426E-3</v>
      </c>
      <c r="AB460" s="304">
        <f t="shared" si="134"/>
        <v>1.1964369588993225E-2</v>
      </c>
    </row>
    <row r="461" spans="2:28" x14ac:dyDescent="0.3">
      <c r="B461" s="271">
        <v>43440</v>
      </c>
      <c r="C461" s="292">
        <v>195.35</v>
      </c>
      <c r="D461" s="292">
        <v>45.200001</v>
      </c>
      <c r="E461" s="292">
        <v>1983.2</v>
      </c>
      <c r="F461" s="292">
        <v>1048.530029</v>
      </c>
      <c r="G461" s="292">
        <v>1295.0999999999999</v>
      </c>
      <c r="H461" s="292">
        <v>1123.650024</v>
      </c>
      <c r="I461" s="292">
        <v>168.45</v>
      </c>
      <c r="J461" s="197">
        <v>1801.5</v>
      </c>
      <c r="L461" s="297">
        <f t="shared" si="119"/>
        <v>-1.5492373349692834E-2</v>
      </c>
      <c r="M461" s="298">
        <f t="shared" si="120"/>
        <v>-3.4786072594000392E-2</v>
      </c>
      <c r="N461" s="298">
        <f t="shared" si="121"/>
        <v>-2.1894498505257785E-2</v>
      </c>
      <c r="O461" s="298">
        <f t="shared" si="122"/>
        <v>-1.0199054302616143E-3</v>
      </c>
      <c r="P461" s="298">
        <f t="shared" si="123"/>
        <v>-2.6215019453533037E-2</v>
      </c>
      <c r="Q461" s="298">
        <f t="shared" si="124"/>
        <v>-2.7647890008925667E-2</v>
      </c>
      <c r="R461" s="298">
        <f t="shared" si="125"/>
        <v>-2.896209449387965E-2</v>
      </c>
      <c r="S461" s="299">
        <f t="shared" si="126"/>
        <v>-2.5538420117252339E-2</v>
      </c>
      <c r="U461" s="303">
        <f t="shared" si="127"/>
        <v>-1.3933667929184304E-2</v>
      </c>
      <c r="V461" s="86">
        <f t="shared" si="128"/>
        <v>-4.0883801292461025E-2</v>
      </c>
      <c r="W461" s="86">
        <f t="shared" si="129"/>
        <v>-2.4743001850323954E-2</v>
      </c>
      <c r="X461" s="86">
        <f t="shared" si="130"/>
        <v>-1.3912329427761237E-3</v>
      </c>
      <c r="Y461" s="86">
        <f t="shared" si="131"/>
        <v>-2.7324029445226664E-2</v>
      </c>
      <c r="Z461" s="86">
        <f t="shared" si="132"/>
        <v>-2.9209682608103017E-2</v>
      </c>
      <c r="AA461" s="86">
        <f t="shared" si="133"/>
        <v>-2.3250173818336113E-2</v>
      </c>
      <c r="AB461" s="304">
        <f t="shared" si="134"/>
        <v>-2.6150777993901898E-2</v>
      </c>
    </row>
    <row r="462" spans="2:28" x14ac:dyDescent="0.3">
      <c r="B462" s="271">
        <v>43439</v>
      </c>
      <c r="C462" s="292">
        <v>198.4</v>
      </c>
      <c r="D462" s="292">
        <v>46.799999</v>
      </c>
      <c r="E462" s="292">
        <v>2027.1</v>
      </c>
      <c r="F462" s="292">
        <v>1049.599976</v>
      </c>
      <c r="G462" s="292">
        <v>1329.5</v>
      </c>
      <c r="H462" s="292">
        <v>1155.150024</v>
      </c>
      <c r="I462" s="292">
        <v>173.4</v>
      </c>
      <c r="J462" s="197">
        <v>1848.099976</v>
      </c>
      <c r="L462" s="297">
        <f t="shared" si="119"/>
        <v>-3.8561376732087031E-2</v>
      </c>
      <c r="M462" s="298">
        <f t="shared" si="120"/>
        <v>3.7000979393345783E-2</v>
      </c>
      <c r="N462" s="298">
        <f t="shared" si="121"/>
        <v>-1.2744645812480023E-2</v>
      </c>
      <c r="O462" s="298">
        <f t="shared" si="122"/>
        <v>6.518864771373192E-3</v>
      </c>
      <c r="P462" s="298">
        <f t="shared" si="123"/>
        <v>3.7608830557826118E-5</v>
      </c>
      <c r="Q462" s="298">
        <f t="shared" si="124"/>
        <v>2.4702388862748725E-3</v>
      </c>
      <c r="R462" s="298">
        <f t="shared" si="125"/>
        <v>-1.7719812026909913E-2</v>
      </c>
      <c r="S462" s="299">
        <f t="shared" si="126"/>
        <v>2.2130398886983125E-2</v>
      </c>
      <c r="U462" s="303">
        <f t="shared" si="127"/>
        <v>-3.70026713115785E-2</v>
      </c>
      <c r="V462" s="86">
        <f t="shared" si="128"/>
        <v>3.090325069488515E-2</v>
      </c>
      <c r="W462" s="86">
        <f t="shared" si="129"/>
        <v>-1.5593149157546192E-2</v>
      </c>
      <c r="X462" s="86">
        <f t="shared" si="130"/>
        <v>6.1475372588586825E-3</v>
      </c>
      <c r="Y462" s="86">
        <f t="shared" si="131"/>
        <v>-1.0714011611358029E-3</v>
      </c>
      <c r="Z462" s="86">
        <f t="shared" si="132"/>
        <v>9.0844628709752201E-4</v>
      </c>
      <c r="AA462" s="86">
        <f t="shared" si="133"/>
        <v>-1.2007891351366377E-2</v>
      </c>
      <c r="AB462" s="304">
        <f t="shared" si="134"/>
        <v>2.1518041010333566E-2</v>
      </c>
    </row>
    <row r="463" spans="2:28" x14ac:dyDescent="0.3">
      <c r="B463" s="271">
        <v>43438</v>
      </c>
      <c r="C463" s="292">
        <v>206.2</v>
      </c>
      <c r="D463" s="292">
        <v>45.099997999999999</v>
      </c>
      <c r="E463" s="292">
        <v>2053.1</v>
      </c>
      <c r="F463" s="292">
        <v>1042.780029</v>
      </c>
      <c r="G463" s="292">
        <v>1329.45</v>
      </c>
      <c r="H463" s="292">
        <v>1152.3000489999999</v>
      </c>
      <c r="I463" s="292">
        <v>176.5</v>
      </c>
      <c r="J463" s="197">
        <v>1807.650024</v>
      </c>
      <c r="L463" s="297">
        <f t="shared" si="119"/>
        <v>1.5886928297952831E-2</v>
      </c>
      <c r="M463" s="298">
        <f t="shared" si="120"/>
        <v>-2.0845538823055398E-2</v>
      </c>
      <c r="N463" s="298">
        <f t="shared" si="121"/>
        <v>9.2585831236781694E-4</v>
      </c>
      <c r="O463" s="298">
        <f t="shared" si="122"/>
        <v>-1.3213297368855377E-2</v>
      </c>
      <c r="P463" s="298">
        <f t="shared" si="123"/>
        <v>-6.9336709393353303E-3</v>
      </c>
      <c r="Q463" s="298">
        <f t="shared" si="124"/>
        <v>-3.5949379268416957E-3</v>
      </c>
      <c r="R463" s="298">
        <f t="shared" si="125"/>
        <v>-8.4626739187336538E-3</v>
      </c>
      <c r="S463" s="299">
        <f t="shared" si="126"/>
        <v>-9.8810145430312836E-3</v>
      </c>
      <c r="U463" s="303">
        <f t="shared" si="127"/>
        <v>1.7445633718461362E-2</v>
      </c>
      <c r="V463" s="86">
        <f t="shared" si="128"/>
        <v>-2.6943267521516032E-2</v>
      </c>
      <c r="W463" s="86">
        <f t="shared" si="129"/>
        <v>-1.9226450326983524E-3</v>
      </c>
      <c r="X463" s="86">
        <f t="shared" si="130"/>
        <v>-1.3584624881369887E-2</v>
      </c>
      <c r="Y463" s="86">
        <f t="shared" si="131"/>
        <v>-8.0426809310289588E-3</v>
      </c>
      <c r="Z463" s="86">
        <f t="shared" si="132"/>
        <v>-5.156730526019046E-3</v>
      </c>
      <c r="AA463" s="86">
        <f t="shared" si="133"/>
        <v>-2.7507532431901181E-3</v>
      </c>
      <c r="AB463" s="304">
        <f t="shared" si="134"/>
        <v>-1.0493372419680845E-2</v>
      </c>
    </row>
    <row r="464" spans="2:28" x14ac:dyDescent="0.3">
      <c r="B464" s="271">
        <v>43437</v>
      </c>
      <c r="C464" s="292">
        <v>202.95</v>
      </c>
      <c r="D464" s="292">
        <v>46.049999</v>
      </c>
      <c r="E464" s="292">
        <v>2051.1999999999998</v>
      </c>
      <c r="F464" s="292">
        <v>1056.650024</v>
      </c>
      <c r="G464" s="292">
        <v>1338.7</v>
      </c>
      <c r="H464" s="292">
        <v>1156.4499510000001</v>
      </c>
      <c r="I464" s="292">
        <v>178</v>
      </c>
      <c r="J464" s="197">
        <v>1825.599976</v>
      </c>
      <c r="L464" s="297">
        <f t="shared" si="119"/>
        <v>3.5610583173066368E-2</v>
      </c>
      <c r="M464" s="298">
        <f t="shared" si="120"/>
        <v>-1.5086514748906946E-2</v>
      </c>
      <c r="N464" s="298">
        <f t="shared" si="121"/>
        <v>6.4315193879085969E-3</v>
      </c>
      <c r="O464" s="298">
        <f t="shared" si="122"/>
        <v>-7.1385602740920628E-3</v>
      </c>
      <c r="P464" s="298">
        <f t="shared" si="123"/>
        <v>-5.4010896203243843E-3</v>
      </c>
      <c r="Q464" s="298">
        <f t="shared" si="124"/>
        <v>-9.5526526762494453E-3</v>
      </c>
      <c r="R464" s="298">
        <f t="shared" si="125"/>
        <v>4.7162276414838111E-2</v>
      </c>
      <c r="S464" s="299">
        <f t="shared" si="126"/>
        <v>4.0009793029319798E-2</v>
      </c>
      <c r="U464" s="303">
        <f t="shared" si="127"/>
        <v>3.7169288593574899E-2</v>
      </c>
      <c r="V464" s="86">
        <f t="shared" si="128"/>
        <v>-2.1184243447367579E-2</v>
      </c>
      <c r="W464" s="86">
        <f t="shared" si="129"/>
        <v>3.5830160428424276E-3</v>
      </c>
      <c r="X464" s="86">
        <f t="shared" si="130"/>
        <v>-7.5098877866065722E-3</v>
      </c>
      <c r="Y464" s="86">
        <f t="shared" si="131"/>
        <v>-6.5100996120180128E-3</v>
      </c>
      <c r="Z464" s="86">
        <f t="shared" si="132"/>
        <v>-1.1114445275426797E-2</v>
      </c>
      <c r="AA464" s="86">
        <f t="shared" si="133"/>
        <v>5.2874197090381644E-2</v>
      </c>
      <c r="AB464" s="304">
        <f t="shared" si="134"/>
        <v>3.9397435152670239E-2</v>
      </c>
    </row>
    <row r="465" spans="2:28" x14ac:dyDescent="0.3">
      <c r="B465" s="271">
        <v>43434</v>
      </c>
      <c r="C465" s="292">
        <v>195.85</v>
      </c>
      <c r="D465" s="292">
        <v>46.75</v>
      </c>
      <c r="E465" s="292">
        <v>2038.05</v>
      </c>
      <c r="F465" s="292">
        <v>1064.219971</v>
      </c>
      <c r="G465" s="292">
        <v>1345.95</v>
      </c>
      <c r="H465" s="292">
        <v>1167.5500489999999</v>
      </c>
      <c r="I465" s="292">
        <v>169.8</v>
      </c>
      <c r="J465" s="197">
        <v>1754</v>
      </c>
      <c r="L465" s="297">
        <f t="shared" si="119"/>
        <v>-1.4950234110633434E-2</v>
      </c>
      <c r="M465" s="298">
        <f t="shared" si="120"/>
        <v>-1.4862290396056211E-2</v>
      </c>
      <c r="N465" s="298">
        <f t="shared" si="121"/>
        <v>-1.3136758056690944E-2</v>
      </c>
      <c r="O465" s="298">
        <f t="shared" si="122"/>
        <v>-1.2302459586633996E-3</v>
      </c>
      <c r="P465" s="298">
        <f t="shared" si="123"/>
        <v>-3.2267065548202438E-3</v>
      </c>
      <c r="Q465" s="298">
        <f t="shared" si="124"/>
        <v>-8.1329683220524637E-4</v>
      </c>
      <c r="R465" s="298">
        <f t="shared" si="125"/>
        <v>5.6638906321381147E-2</v>
      </c>
      <c r="S465" s="299">
        <f t="shared" si="126"/>
        <v>-8.2328357134069767E-3</v>
      </c>
      <c r="U465" s="303">
        <f t="shared" si="127"/>
        <v>-1.3391528690124905E-2</v>
      </c>
      <c r="V465" s="86">
        <f t="shared" si="128"/>
        <v>-2.0960019094516846E-2</v>
      </c>
      <c r="W465" s="86">
        <f t="shared" si="129"/>
        <v>-1.5985261401757114E-2</v>
      </c>
      <c r="X465" s="86">
        <f t="shared" si="130"/>
        <v>-1.601573471177909E-3</v>
      </c>
      <c r="Y465" s="86">
        <f t="shared" si="131"/>
        <v>-4.3357165465138722E-3</v>
      </c>
      <c r="Z465" s="86">
        <f t="shared" si="132"/>
        <v>-2.3750894313825967E-3</v>
      </c>
      <c r="AA465" s="86">
        <f t="shared" si="133"/>
        <v>6.235082699692468E-2</v>
      </c>
      <c r="AB465" s="304">
        <f t="shared" si="134"/>
        <v>-8.8451935900565378E-3</v>
      </c>
    </row>
    <row r="466" spans="2:28" x14ac:dyDescent="0.3">
      <c r="B466" s="271">
        <v>43433</v>
      </c>
      <c r="C466" s="292">
        <v>198.8</v>
      </c>
      <c r="D466" s="292">
        <v>47.450001</v>
      </c>
      <c r="E466" s="292">
        <v>2065</v>
      </c>
      <c r="F466" s="292">
        <v>1065.530029</v>
      </c>
      <c r="G466" s="292">
        <v>1350.3</v>
      </c>
      <c r="H466" s="292">
        <v>1168.5</v>
      </c>
      <c r="I466" s="292">
        <v>160.44999999999999</v>
      </c>
      <c r="J466" s="197">
        <v>1768.5</v>
      </c>
      <c r="L466" s="297">
        <f t="shared" si="119"/>
        <v>2.9868206238845913E-2</v>
      </c>
      <c r="M466" s="298">
        <f t="shared" si="120"/>
        <v>-1.9823308914147013E-2</v>
      </c>
      <c r="N466" s="298">
        <f t="shared" si="121"/>
        <v>7.5831590295155999E-3</v>
      </c>
      <c r="O466" s="298">
        <f t="shared" si="122"/>
        <v>1.9819177037097763E-2</v>
      </c>
      <c r="P466" s="298">
        <f t="shared" si="123"/>
        <v>1.9480528542360556E-2</v>
      </c>
      <c r="Q466" s="298">
        <f t="shared" si="124"/>
        <v>1.3657214911722835E-2</v>
      </c>
      <c r="R466" s="298">
        <f t="shared" si="125"/>
        <v>-1.0231061185764573E-2</v>
      </c>
      <c r="S466" s="299">
        <f t="shared" si="126"/>
        <v>2.0739481036317769E-2</v>
      </c>
      <c r="U466" s="303">
        <f t="shared" si="127"/>
        <v>3.1426911659354441E-2</v>
      </c>
      <c r="V466" s="86">
        <f t="shared" si="128"/>
        <v>-2.5921037612607646E-2</v>
      </c>
      <c r="W466" s="86">
        <f t="shared" si="129"/>
        <v>4.7346556844494302E-3</v>
      </c>
      <c r="X466" s="86">
        <f t="shared" si="130"/>
        <v>1.9447849524583255E-2</v>
      </c>
      <c r="Y466" s="86">
        <f t="shared" si="131"/>
        <v>1.8371518550666929E-2</v>
      </c>
      <c r="Z466" s="86">
        <f t="shared" si="132"/>
        <v>1.2095422312545484E-2</v>
      </c>
      <c r="AA466" s="86">
        <f t="shared" si="133"/>
        <v>-4.5191405102210378E-3</v>
      </c>
      <c r="AB466" s="304">
        <f t="shared" si="134"/>
        <v>2.0127123159668209E-2</v>
      </c>
    </row>
    <row r="467" spans="2:28" x14ac:dyDescent="0.3">
      <c r="B467" s="271">
        <v>43432</v>
      </c>
      <c r="C467" s="292">
        <v>192.95</v>
      </c>
      <c r="D467" s="292">
        <v>48.400002000000001</v>
      </c>
      <c r="E467" s="292">
        <v>2049.4</v>
      </c>
      <c r="F467" s="292">
        <v>1044.619995</v>
      </c>
      <c r="G467" s="292">
        <v>1324.25</v>
      </c>
      <c r="H467" s="292">
        <v>1152.650024</v>
      </c>
      <c r="I467" s="292">
        <v>162.1</v>
      </c>
      <c r="J467" s="197">
        <v>1732.1999510000001</v>
      </c>
      <c r="L467" s="297">
        <f t="shared" si="119"/>
        <v>-1.0568470580119069E-2</v>
      </c>
      <c r="M467" s="298">
        <f t="shared" si="120"/>
        <v>-2.1462223246268605E-2</v>
      </c>
      <c r="N467" s="298">
        <f t="shared" si="121"/>
        <v>-8.45445004741208E-3</v>
      </c>
      <c r="O467" s="298">
        <f t="shared" si="122"/>
        <v>1.2154511075602455E-2</v>
      </c>
      <c r="P467" s="298">
        <f t="shared" si="123"/>
        <v>-1.1524800495413347E-2</v>
      </c>
      <c r="Q467" s="298">
        <f t="shared" si="124"/>
        <v>2.1440261193330545E-2</v>
      </c>
      <c r="R467" s="298">
        <f t="shared" si="125"/>
        <v>-0.11935832449966115</v>
      </c>
      <c r="S467" s="299">
        <f t="shared" si="126"/>
        <v>-6.348856078212178E-4</v>
      </c>
      <c r="U467" s="303">
        <f t="shared" si="127"/>
        <v>-9.0097651596105395E-3</v>
      </c>
      <c r="V467" s="86">
        <f t="shared" si="128"/>
        <v>-2.7559951944729238E-2</v>
      </c>
      <c r="W467" s="86">
        <f t="shared" si="129"/>
        <v>-1.1302953392478249E-2</v>
      </c>
      <c r="X467" s="86">
        <f t="shared" si="130"/>
        <v>1.1783183563087945E-2</v>
      </c>
      <c r="Y467" s="86">
        <f t="shared" si="131"/>
        <v>-1.2633810487106977E-2</v>
      </c>
      <c r="Z467" s="86">
        <f t="shared" si="132"/>
        <v>1.9878468594153195E-2</v>
      </c>
      <c r="AA467" s="86">
        <f t="shared" si="133"/>
        <v>-0.11364640382411761</v>
      </c>
      <c r="AB467" s="304">
        <f t="shared" si="134"/>
        <v>-1.2472434844707787E-3</v>
      </c>
    </row>
    <row r="468" spans="2:28" x14ac:dyDescent="0.3">
      <c r="B468" s="271">
        <v>43431</v>
      </c>
      <c r="C468" s="292">
        <v>195</v>
      </c>
      <c r="D468" s="292">
        <v>49.450001</v>
      </c>
      <c r="E468" s="292">
        <v>2066.8000000000002</v>
      </c>
      <c r="F468" s="292">
        <v>1032</v>
      </c>
      <c r="G468" s="292">
        <v>1339.6</v>
      </c>
      <c r="H468" s="292">
        <v>1128.1999510000001</v>
      </c>
      <c r="I468" s="292">
        <v>182.65</v>
      </c>
      <c r="J468" s="197">
        <v>1733.3000489999999</v>
      </c>
      <c r="L468" s="297">
        <f t="shared" si="119"/>
        <v>-4.0941715326632258E-3</v>
      </c>
      <c r="M468" s="298">
        <f t="shared" si="120"/>
        <v>3.1846532120645629E-2</v>
      </c>
      <c r="N468" s="298">
        <f t="shared" si="121"/>
        <v>7.8934675816945809E-3</v>
      </c>
      <c r="O468" s="298">
        <f t="shared" si="122"/>
        <v>6.9035967870723774E-3</v>
      </c>
      <c r="P468" s="298">
        <f t="shared" si="123"/>
        <v>-7.3630915380099148E-3</v>
      </c>
      <c r="Q468" s="298">
        <f t="shared" si="124"/>
        <v>1.6488634159714636E-2</v>
      </c>
      <c r="R468" s="298">
        <f t="shared" si="125"/>
        <v>-2.8338153178128149E-2</v>
      </c>
      <c r="S468" s="299">
        <f t="shared" si="126"/>
        <v>-6.1541912518862643E-3</v>
      </c>
      <c r="U468" s="303">
        <f t="shared" si="127"/>
        <v>-2.5354661121546954E-3</v>
      </c>
      <c r="V468" s="86">
        <f t="shared" si="128"/>
        <v>2.5748803422184996E-2</v>
      </c>
      <c r="W468" s="86">
        <f t="shared" si="129"/>
        <v>5.044964236628412E-3</v>
      </c>
      <c r="X468" s="86">
        <f t="shared" si="130"/>
        <v>6.532269274557868E-3</v>
      </c>
      <c r="Y468" s="86">
        <f t="shared" si="131"/>
        <v>-8.4721015297035442E-3</v>
      </c>
      <c r="Z468" s="86">
        <f t="shared" si="132"/>
        <v>1.4926841560537285E-2</v>
      </c>
      <c r="AA468" s="86">
        <f t="shared" si="133"/>
        <v>-2.2626232502584612E-2</v>
      </c>
      <c r="AB468" s="304">
        <f t="shared" si="134"/>
        <v>-6.7665491285358254E-3</v>
      </c>
    </row>
    <row r="469" spans="2:28" x14ac:dyDescent="0.3">
      <c r="B469" s="271">
        <v>43430</v>
      </c>
      <c r="C469" s="292">
        <v>195.8</v>
      </c>
      <c r="D469" s="292">
        <v>47.900002000000001</v>
      </c>
      <c r="E469" s="292">
        <v>2050.5500000000002</v>
      </c>
      <c r="F469" s="292">
        <v>1024.900024</v>
      </c>
      <c r="G469" s="292">
        <v>1349.5</v>
      </c>
      <c r="H469" s="292">
        <v>1109.75</v>
      </c>
      <c r="I469" s="292">
        <v>187.9</v>
      </c>
      <c r="J469" s="197">
        <v>1744</v>
      </c>
      <c r="L469" s="297">
        <f t="shared" si="119"/>
        <v>-1.9221633780953554E-2</v>
      </c>
      <c r="M469" s="298">
        <f t="shared" si="120"/>
        <v>4.8111895317935617E-2</v>
      </c>
      <c r="N469" s="298">
        <f t="shared" si="121"/>
        <v>-4.5008408603664698E-3</v>
      </c>
      <c r="O469" s="298">
        <f t="shared" si="122"/>
        <v>2.1848844604273561E-2</v>
      </c>
      <c r="P469" s="298">
        <f t="shared" si="123"/>
        <v>2.6353865735000953E-2</v>
      </c>
      <c r="Q469" s="298">
        <f t="shared" si="124"/>
        <v>6.2370482173469514E-3</v>
      </c>
      <c r="R469" s="298">
        <f t="shared" si="125"/>
        <v>-3.9906194782103541E-2</v>
      </c>
      <c r="S469" s="299">
        <f t="shared" si="126"/>
        <v>4.0308474826787018E-2</v>
      </c>
      <c r="U469" s="303">
        <f t="shared" si="127"/>
        <v>-1.7662928360445022E-2</v>
      </c>
      <c r="V469" s="86">
        <f t="shared" si="128"/>
        <v>4.2014166619474984E-2</v>
      </c>
      <c r="W469" s="86">
        <f t="shared" si="129"/>
        <v>-7.3493442054326386E-3</v>
      </c>
      <c r="X469" s="86">
        <f t="shared" si="130"/>
        <v>2.1477517091759053E-2</v>
      </c>
      <c r="Y469" s="86">
        <f t="shared" si="131"/>
        <v>2.5244855743307325E-2</v>
      </c>
      <c r="Z469" s="86">
        <f t="shared" si="132"/>
        <v>4.6752556181696011E-3</v>
      </c>
      <c r="AA469" s="86">
        <f t="shared" si="133"/>
        <v>-3.4194274106560008E-2</v>
      </c>
      <c r="AB469" s="304">
        <f t="shared" si="134"/>
        <v>3.9696116950137458E-2</v>
      </c>
    </row>
    <row r="470" spans="2:28" x14ac:dyDescent="0.3">
      <c r="B470" s="271">
        <v>43426</v>
      </c>
      <c r="C470" s="292">
        <v>199.6</v>
      </c>
      <c r="D470" s="292">
        <v>45.650002000000001</v>
      </c>
      <c r="E470" s="292">
        <v>2059.8000000000002</v>
      </c>
      <c r="F470" s="292">
        <v>1002.75</v>
      </c>
      <c r="G470" s="292">
        <v>1314.4</v>
      </c>
      <c r="H470" s="292">
        <v>1102.849976</v>
      </c>
      <c r="I470" s="292">
        <v>195.55</v>
      </c>
      <c r="J470" s="197">
        <v>1675.099976</v>
      </c>
      <c r="L470" s="297">
        <f t="shared" si="119"/>
        <v>-1.1457161441428283E-2</v>
      </c>
      <c r="M470" s="298">
        <f t="shared" si="120"/>
        <v>4.8242712757948274E-2</v>
      </c>
      <c r="N470" s="298">
        <f t="shared" si="121"/>
        <v>9.7816393827919734E-3</v>
      </c>
      <c r="O470" s="298">
        <f t="shared" si="122"/>
        <v>-6.5900602624975784E-3</v>
      </c>
      <c r="P470" s="298">
        <f t="shared" si="123"/>
        <v>-7.4282157676873262E-3</v>
      </c>
      <c r="Q470" s="298">
        <f t="shared" si="124"/>
        <v>-9.0715260478614196E-3</v>
      </c>
      <c r="R470" s="298">
        <f t="shared" si="125"/>
        <v>-1.3208218434920859E-2</v>
      </c>
      <c r="S470" s="299">
        <f t="shared" si="126"/>
        <v>-8.8260630435551476E-3</v>
      </c>
      <c r="U470" s="303">
        <f t="shared" si="127"/>
        <v>-9.8984560209197537E-3</v>
      </c>
      <c r="V470" s="86">
        <f t="shared" si="128"/>
        <v>4.214498405948764E-2</v>
      </c>
      <c r="W470" s="86">
        <f t="shared" si="129"/>
        <v>6.9331360377258046E-3</v>
      </c>
      <c r="X470" s="86">
        <f t="shared" si="130"/>
        <v>-6.9613877750120878E-3</v>
      </c>
      <c r="Y470" s="86">
        <f t="shared" si="131"/>
        <v>-8.5372257593809547E-3</v>
      </c>
      <c r="Z470" s="86">
        <f t="shared" si="132"/>
        <v>-1.0633318647038771E-2</v>
      </c>
      <c r="AA470" s="86">
        <f t="shared" si="133"/>
        <v>-7.496297759377323E-3</v>
      </c>
      <c r="AB470" s="304">
        <f t="shared" si="134"/>
        <v>-9.4384209202047088E-3</v>
      </c>
    </row>
    <row r="471" spans="2:28" x14ac:dyDescent="0.3">
      <c r="B471" s="271">
        <v>43425</v>
      </c>
      <c r="C471" s="292">
        <v>201.9</v>
      </c>
      <c r="D471" s="292">
        <v>43.5</v>
      </c>
      <c r="E471" s="292">
        <v>2039.75</v>
      </c>
      <c r="F471" s="292">
        <v>1009.380005</v>
      </c>
      <c r="G471" s="292">
        <v>1324.2</v>
      </c>
      <c r="H471" s="292">
        <v>1112.900024</v>
      </c>
      <c r="I471" s="292">
        <v>198.15</v>
      </c>
      <c r="J471" s="197">
        <v>1689.9499510000001</v>
      </c>
      <c r="L471" s="297">
        <f t="shared" si="119"/>
        <v>-1.6456223013745708E-2</v>
      </c>
      <c r="M471" s="298">
        <f t="shared" si="120"/>
        <v>4.8273032387882449E-2</v>
      </c>
      <c r="N471" s="298">
        <f t="shared" si="121"/>
        <v>3.0688049616302542E-3</v>
      </c>
      <c r="O471" s="298">
        <f t="shared" si="122"/>
        <v>3.1355791096545509E-3</v>
      </c>
      <c r="P471" s="298">
        <f t="shared" si="123"/>
        <v>1.3188842093881634E-2</v>
      </c>
      <c r="Q471" s="298">
        <f t="shared" si="124"/>
        <v>-2.1775734428796031E-2</v>
      </c>
      <c r="R471" s="298">
        <f t="shared" si="125"/>
        <v>3.1008249861933006E-2</v>
      </c>
      <c r="S471" s="299">
        <f t="shared" si="126"/>
        <v>-2.3936825263065524E-3</v>
      </c>
      <c r="U471" s="303">
        <f t="shared" si="127"/>
        <v>-1.4897517593237179E-2</v>
      </c>
      <c r="V471" s="86">
        <f t="shared" si="128"/>
        <v>4.2175303689421816E-2</v>
      </c>
      <c r="W471" s="86">
        <f t="shared" si="129"/>
        <v>2.2030161656408495E-4</v>
      </c>
      <c r="X471" s="86">
        <f t="shared" si="130"/>
        <v>2.7642515971400415E-3</v>
      </c>
      <c r="Y471" s="86">
        <f t="shared" si="131"/>
        <v>1.2079832102188005E-2</v>
      </c>
      <c r="Z471" s="86">
        <f t="shared" si="132"/>
        <v>-2.3337527027973381E-2</v>
      </c>
      <c r="AA471" s="86">
        <f t="shared" si="133"/>
        <v>3.6720170537476539E-2</v>
      </c>
      <c r="AB471" s="304">
        <f t="shared" si="134"/>
        <v>-3.0060404029561135E-3</v>
      </c>
    </row>
    <row r="472" spans="2:28" x14ac:dyDescent="0.3">
      <c r="B472" s="271">
        <v>43424</v>
      </c>
      <c r="C472" s="292">
        <v>205.25</v>
      </c>
      <c r="D472" s="292">
        <v>41.450001</v>
      </c>
      <c r="E472" s="292">
        <v>2033.5</v>
      </c>
      <c r="F472" s="292">
        <v>1006.219971</v>
      </c>
      <c r="G472" s="292">
        <v>1306.8499999999999</v>
      </c>
      <c r="H472" s="292">
        <v>1137.400024</v>
      </c>
      <c r="I472" s="292">
        <v>192.1</v>
      </c>
      <c r="J472" s="197">
        <v>1694</v>
      </c>
      <c r="L472" s="297">
        <f t="shared" si="119"/>
        <v>-2.9286778680261329E-2</v>
      </c>
      <c r="M472" s="298">
        <f t="shared" si="120"/>
        <v>4.8367929260661295E-3</v>
      </c>
      <c r="N472" s="298">
        <f t="shared" si="121"/>
        <v>-7.6178247412819981E-3</v>
      </c>
      <c r="O472" s="298">
        <f t="shared" si="122"/>
        <v>-7.2526516704054806E-4</v>
      </c>
      <c r="P472" s="298">
        <f t="shared" si="123"/>
        <v>-4.0473518403704089E-3</v>
      </c>
      <c r="Q472" s="298">
        <f t="shared" si="124"/>
        <v>-1.1016965383840577E-2</v>
      </c>
      <c r="R472" s="298">
        <f t="shared" si="125"/>
        <v>-6.4017823390841874E-2</v>
      </c>
      <c r="S472" s="299">
        <f t="shared" si="126"/>
        <v>-4.3588594358144935E-3</v>
      </c>
      <c r="U472" s="303">
        <f t="shared" si="127"/>
        <v>-2.7728073259752798E-2</v>
      </c>
      <c r="V472" s="86">
        <f t="shared" si="128"/>
        <v>-1.2609357723945046E-3</v>
      </c>
      <c r="W472" s="86">
        <f t="shared" si="129"/>
        <v>-1.0466328086348167E-2</v>
      </c>
      <c r="X472" s="86">
        <f t="shared" si="130"/>
        <v>-1.0965926795550574E-3</v>
      </c>
      <c r="Y472" s="86">
        <f t="shared" si="131"/>
        <v>-5.1563618320640374E-3</v>
      </c>
      <c r="Z472" s="86">
        <f t="shared" si="132"/>
        <v>-1.2578757983017929E-2</v>
      </c>
      <c r="AA472" s="86">
        <f t="shared" si="133"/>
        <v>-5.8305902715298341E-2</v>
      </c>
      <c r="AB472" s="304">
        <f t="shared" si="134"/>
        <v>-4.9712173124640546E-3</v>
      </c>
    </row>
    <row r="473" spans="2:28" x14ac:dyDescent="0.3">
      <c r="B473" s="271">
        <v>43423</v>
      </c>
      <c r="C473" s="292">
        <v>211.35</v>
      </c>
      <c r="D473" s="292">
        <v>41.25</v>
      </c>
      <c r="E473" s="292">
        <v>2049.0500000000002</v>
      </c>
      <c r="F473" s="292">
        <v>1006.950012</v>
      </c>
      <c r="G473" s="292">
        <v>1312.15</v>
      </c>
      <c r="H473" s="292">
        <v>1150</v>
      </c>
      <c r="I473" s="292">
        <v>204.8</v>
      </c>
      <c r="J473" s="197">
        <v>1701.400024</v>
      </c>
      <c r="L473" s="297">
        <f t="shared" si="119"/>
        <v>2.1763384378524799E-2</v>
      </c>
      <c r="M473" s="298">
        <f t="shared" si="120"/>
        <v>-2.6317261091870461E-2</v>
      </c>
      <c r="N473" s="298">
        <f t="shared" si="121"/>
        <v>2.7183450372915485E-2</v>
      </c>
      <c r="O473" s="298">
        <f t="shared" si="122"/>
        <v>4.7782559819393158E-3</v>
      </c>
      <c r="P473" s="298">
        <f t="shared" si="123"/>
        <v>-6.9490871829367478E-3</v>
      </c>
      <c r="Q473" s="298">
        <f t="shared" si="124"/>
        <v>1.9847824421902305E-2</v>
      </c>
      <c r="R473" s="298">
        <f t="shared" si="125"/>
        <v>6.9760465118722956E-2</v>
      </c>
      <c r="S473" s="299">
        <f t="shared" si="126"/>
        <v>7.2556271702651333E-3</v>
      </c>
      <c r="U473" s="303">
        <f t="shared" si="127"/>
        <v>2.332208979903333E-2</v>
      </c>
      <c r="V473" s="86">
        <f t="shared" si="128"/>
        <v>-3.2414989790331097E-2</v>
      </c>
      <c r="W473" s="86">
        <f t="shared" si="129"/>
        <v>2.4334947027849316E-2</v>
      </c>
      <c r="X473" s="86">
        <f t="shared" si="130"/>
        <v>4.4069284694248064E-3</v>
      </c>
      <c r="Y473" s="86">
        <f t="shared" si="131"/>
        <v>-8.0580971746303763E-3</v>
      </c>
      <c r="Z473" s="86">
        <f t="shared" si="132"/>
        <v>1.8286031822724955E-2</v>
      </c>
      <c r="AA473" s="86">
        <f t="shared" si="133"/>
        <v>7.5472385794266489E-2</v>
      </c>
      <c r="AB473" s="304">
        <f t="shared" si="134"/>
        <v>6.6432692936155722E-3</v>
      </c>
    </row>
    <row r="474" spans="2:28" x14ac:dyDescent="0.3">
      <c r="B474" s="271">
        <v>43420</v>
      </c>
      <c r="C474" s="292">
        <v>206.8</v>
      </c>
      <c r="D474" s="292">
        <v>42.349997999999999</v>
      </c>
      <c r="E474" s="292">
        <v>1994.1</v>
      </c>
      <c r="F474" s="292">
        <v>1002.150024</v>
      </c>
      <c r="G474" s="292">
        <v>1321.3</v>
      </c>
      <c r="H474" s="292">
        <v>1127.400024</v>
      </c>
      <c r="I474" s="292">
        <v>191</v>
      </c>
      <c r="J474" s="197">
        <v>1689.099976</v>
      </c>
      <c r="L474" s="297">
        <f t="shared" si="119"/>
        <v>-3.6201318647737465E-3</v>
      </c>
      <c r="M474" s="298">
        <f t="shared" si="120"/>
        <v>-2.3338283217887789E-2</v>
      </c>
      <c r="N474" s="298">
        <f t="shared" si="121"/>
        <v>-3.0423601815981381E-2</v>
      </c>
      <c r="O474" s="298">
        <f t="shared" si="122"/>
        <v>1.4650539578772244E-2</v>
      </c>
      <c r="P474" s="298">
        <f t="shared" si="123"/>
        <v>2.2730726562469336E-3</v>
      </c>
      <c r="Q474" s="298">
        <f t="shared" si="124"/>
        <v>2.7471704444537955E-2</v>
      </c>
      <c r="R474" s="298">
        <f t="shared" si="125"/>
        <v>-7.4874320169283831E-2</v>
      </c>
      <c r="S474" s="299">
        <f t="shared" si="126"/>
        <v>-9.9849571894736217E-3</v>
      </c>
      <c r="U474" s="303">
        <f t="shared" si="127"/>
        <v>-2.0614264442652165E-3</v>
      </c>
      <c r="V474" s="86">
        <f t="shared" si="128"/>
        <v>-2.9436011916348422E-2</v>
      </c>
      <c r="W474" s="86">
        <f t="shared" si="129"/>
        <v>-3.3272105161047554E-2</v>
      </c>
      <c r="X474" s="86">
        <f t="shared" si="130"/>
        <v>1.4279212066257735E-2</v>
      </c>
      <c r="Y474" s="86">
        <f t="shared" si="131"/>
        <v>1.1640626645533047E-3</v>
      </c>
      <c r="Z474" s="86">
        <f t="shared" si="132"/>
        <v>2.5909911845360605E-2</v>
      </c>
      <c r="AA474" s="86">
        <f t="shared" si="133"/>
        <v>-6.9162399493740298E-2</v>
      </c>
      <c r="AB474" s="304">
        <f t="shared" si="134"/>
        <v>-1.0597315066123183E-2</v>
      </c>
    </row>
    <row r="475" spans="2:28" x14ac:dyDescent="0.3">
      <c r="B475" s="271">
        <v>43419</v>
      </c>
      <c r="C475" s="292">
        <v>207.55</v>
      </c>
      <c r="D475" s="292">
        <v>43.349997999999999</v>
      </c>
      <c r="E475" s="292">
        <v>2055.6999999999998</v>
      </c>
      <c r="F475" s="292">
        <v>987.57501200000002</v>
      </c>
      <c r="G475" s="292">
        <v>1318.3</v>
      </c>
      <c r="H475" s="292">
        <v>1096.849976</v>
      </c>
      <c r="I475" s="292">
        <v>205.85</v>
      </c>
      <c r="J475" s="197">
        <v>1706.0500489999999</v>
      </c>
      <c r="L475" s="297">
        <f t="shared" si="119"/>
        <v>1.6762204683248693E-2</v>
      </c>
      <c r="M475" s="298">
        <f t="shared" si="120"/>
        <v>1.5107713436665969E-2</v>
      </c>
      <c r="N475" s="298">
        <f t="shared" si="121"/>
        <v>-2.346148667899816E-2</v>
      </c>
      <c r="O475" s="298">
        <f t="shared" si="122"/>
        <v>8.8485023382324224E-3</v>
      </c>
      <c r="P475" s="298">
        <f t="shared" si="123"/>
        <v>-1.705288701708528E-3</v>
      </c>
      <c r="Q475" s="298">
        <f t="shared" si="124"/>
        <v>-1.0023465725177737E-3</v>
      </c>
      <c r="R475" s="298">
        <f t="shared" si="125"/>
        <v>-7.7329814160513682E-2</v>
      </c>
      <c r="S475" s="299">
        <f t="shared" si="126"/>
        <v>-5.5237976314817718E-3</v>
      </c>
      <c r="U475" s="303">
        <f t="shared" si="127"/>
        <v>1.8320910103757224E-2</v>
      </c>
      <c r="V475" s="86">
        <f t="shared" si="128"/>
        <v>9.0099847382053358E-3</v>
      </c>
      <c r="W475" s="86">
        <f t="shared" si="129"/>
        <v>-2.6309990024064329E-2</v>
      </c>
      <c r="X475" s="86">
        <f t="shared" si="130"/>
        <v>8.477174825717913E-3</v>
      </c>
      <c r="Y475" s="86">
        <f t="shared" si="131"/>
        <v>-2.8142986934021567E-3</v>
      </c>
      <c r="Z475" s="86">
        <f t="shared" si="132"/>
        <v>-2.5641391716951243E-3</v>
      </c>
      <c r="AA475" s="86">
        <f t="shared" si="133"/>
        <v>-7.1617893484970149E-2</v>
      </c>
      <c r="AB475" s="304">
        <f t="shared" si="134"/>
        <v>-6.1361555081313329E-3</v>
      </c>
    </row>
    <row r="476" spans="2:28" x14ac:dyDescent="0.3">
      <c r="B476" s="271">
        <v>43418</v>
      </c>
      <c r="C476" s="292">
        <v>204.1</v>
      </c>
      <c r="D476" s="292">
        <v>42.700001</v>
      </c>
      <c r="E476" s="292">
        <v>2104.5</v>
      </c>
      <c r="F476" s="292">
        <v>978.875</v>
      </c>
      <c r="G476" s="292">
        <v>1320.55</v>
      </c>
      <c r="H476" s="292">
        <v>1097.9499510000001</v>
      </c>
      <c r="I476" s="292">
        <v>222.4</v>
      </c>
      <c r="J476" s="197">
        <v>1715.5</v>
      </c>
      <c r="L476" s="297">
        <f t="shared" si="119"/>
        <v>-7.3224637652109072E-3</v>
      </c>
      <c r="M476" s="298">
        <f t="shared" si="120"/>
        <v>1.4151250471385967E-2</v>
      </c>
      <c r="N476" s="298">
        <f t="shared" si="121"/>
        <v>-5.6149975166510033E-3</v>
      </c>
      <c r="O476" s="298">
        <f t="shared" si="122"/>
        <v>1.5442334917977052E-2</v>
      </c>
      <c r="P476" s="298">
        <f t="shared" si="123"/>
        <v>2.7367422176197614E-2</v>
      </c>
      <c r="Q476" s="298">
        <f t="shared" si="124"/>
        <v>-1.3652501136668621E-3</v>
      </c>
      <c r="R476" s="298">
        <f t="shared" si="125"/>
        <v>-1.3620842490665827E-2</v>
      </c>
      <c r="S476" s="299">
        <f t="shared" si="126"/>
        <v>2.6222505450965196E-2</v>
      </c>
      <c r="U476" s="303">
        <f t="shared" si="127"/>
        <v>-5.7637583447023768E-3</v>
      </c>
      <c r="V476" s="86">
        <f t="shared" si="128"/>
        <v>8.0535217729253324E-3</v>
      </c>
      <c r="W476" s="86">
        <f t="shared" si="129"/>
        <v>-8.4635008617171721E-3</v>
      </c>
      <c r="X476" s="86">
        <f t="shared" si="130"/>
        <v>1.5071007405462543E-2</v>
      </c>
      <c r="Y476" s="86">
        <f t="shared" si="131"/>
        <v>2.6258412184503987E-2</v>
      </c>
      <c r="Z476" s="86">
        <f t="shared" si="132"/>
        <v>-2.9270427128442128E-3</v>
      </c>
      <c r="AA476" s="86">
        <f t="shared" si="133"/>
        <v>-7.9089218151222919E-3</v>
      </c>
      <c r="AB476" s="304">
        <f t="shared" si="134"/>
        <v>2.5610147574315636E-2</v>
      </c>
    </row>
    <row r="477" spans="2:28" x14ac:dyDescent="0.3">
      <c r="B477" s="271">
        <v>43417</v>
      </c>
      <c r="C477" s="292">
        <v>205.6</v>
      </c>
      <c r="D477" s="292">
        <v>42.099997999999999</v>
      </c>
      <c r="E477" s="292">
        <v>2116.35</v>
      </c>
      <c r="F477" s="292">
        <v>963.875</v>
      </c>
      <c r="G477" s="292">
        <v>1284.9000000000001</v>
      </c>
      <c r="H477" s="292">
        <v>1099.4499510000001</v>
      </c>
      <c r="I477" s="292">
        <v>225.45</v>
      </c>
      <c r="J477" s="197">
        <v>1671.099976</v>
      </c>
      <c r="L477" s="297">
        <f t="shared" si="119"/>
        <v>1.1987911147274214E-2</v>
      </c>
      <c r="M477" s="298">
        <f t="shared" si="120"/>
        <v>-2.3475257523592412E-2</v>
      </c>
      <c r="N477" s="298">
        <f t="shared" si="121"/>
        <v>-1.2140431603252842E-2</v>
      </c>
      <c r="O477" s="298">
        <f t="shared" si="122"/>
        <v>3.4815831865442587E-3</v>
      </c>
      <c r="P477" s="298">
        <f t="shared" si="123"/>
        <v>4.7587561037487555E-3</v>
      </c>
      <c r="Q477" s="298">
        <f t="shared" si="124"/>
        <v>1.7848969058774925E-2</v>
      </c>
      <c r="R477" s="298">
        <f t="shared" si="125"/>
        <v>1.070244329281933E-2</v>
      </c>
      <c r="S477" s="299">
        <f t="shared" si="126"/>
        <v>1.0104089614790597E-2</v>
      </c>
      <c r="U477" s="303">
        <f t="shared" si="127"/>
        <v>1.3546616567782744E-2</v>
      </c>
      <c r="V477" s="86">
        <f t="shared" si="128"/>
        <v>-2.9572986222053045E-2</v>
      </c>
      <c r="W477" s="86">
        <f t="shared" si="129"/>
        <v>-1.4988934948319011E-2</v>
      </c>
      <c r="X477" s="86">
        <f t="shared" si="130"/>
        <v>3.1102556740297493E-3</v>
      </c>
      <c r="Y477" s="86">
        <f t="shared" si="131"/>
        <v>3.6497461120551266E-3</v>
      </c>
      <c r="Z477" s="86">
        <f t="shared" si="132"/>
        <v>1.6287176459597576E-2</v>
      </c>
      <c r="AA477" s="86">
        <f t="shared" si="133"/>
        <v>1.6414363968362867E-2</v>
      </c>
      <c r="AB477" s="304">
        <f t="shared" si="134"/>
        <v>9.4917317381410359E-3</v>
      </c>
    </row>
    <row r="478" spans="2:28" x14ac:dyDescent="0.3">
      <c r="B478" s="271">
        <v>43416</v>
      </c>
      <c r="C478" s="292">
        <v>203.15</v>
      </c>
      <c r="D478" s="292">
        <v>43.099997999999999</v>
      </c>
      <c r="E478" s="292">
        <v>2142.1999999999998</v>
      </c>
      <c r="F478" s="292">
        <v>960.52502400000003</v>
      </c>
      <c r="G478" s="292">
        <v>1278.8</v>
      </c>
      <c r="H478" s="292">
        <v>1080</v>
      </c>
      <c r="I478" s="292">
        <v>223.05</v>
      </c>
      <c r="J478" s="197">
        <v>1654.3000489999999</v>
      </c>
      <c r="L478" s="297">
        <f t="shared" si="119"/>
        <v>-2.8628835368838309E-2</v>
      </c>
      <c r="M478" s="298">
        <f t="shared" si="120"/>
        <v>-4.8679719439946416E-2</v>
      </c>
      <c r="N478" s="298">
        <f t="shared" si="121"/>
        <v>7.4717478025396905E-4</v>
      </c>
      <c r="O478" s="298">
        <f t="shared" si="122"/>
        <v>-1.2595687245608618E-2</v>
      </c>
      <c r="P478" s="298">
        <f t="shared" si="123"/>
        <v>-1.3051770111487769E-2</v>
      </c>
      <c r="Q478" s="298">
        <f t="shared" si="124"/>
        <v>-1.2376749403774426E-2</v>
      </c>
      <c r="R478" s="298">
        <f t="shared" si="125"/>
        <v>-2.1510974677364788E-2</v>
      </c>
      <c r="S478" s="299">
        <f t="shared" si="126"/>
        <v>-1.1001299365758875E-2</v>
      </c>
      <c r="U478" s="303">
        <f t="shared" si="127"/>
        <v>-2.7070129948329778E-2</v>
      </c>
      <c r="V478" s="86">
        <f t="shared" si="128"/>
        <v>-5.4777448138407049E-2</v>
      </c>
      <c r="W478" s="86">
        <f t="shared" si="129"/>
        <v>-2.1013285648122E-3</v>
      </c>
      <c r="X478" s="86">
        <f t="shared" si="130"/>
        <v>-1.2967014758123127E-2</v>
      </c>
      <c r="Y478" s="86">
        <f t="shared" si="131"/>
        <v>-1.4160780103181399E-2</v>
      </c>
      <c r="Z478" s="86">
        <f t="shared" si="132"/>
        <v>-1.3938542002951778E-2</v>
      </c>
      <c r="AA478" s="86">
        <f t="shared" si="133"/>
        <v>-1.5799054001821251E-2</v>
      </c>
      <c r="AB478" s="304">
        <f t="shared" si="134"/>
        <v>-1.1613657242408437E-2</v>
      </c>
    </row>
    <row r="479" spans="2:28" x14ac:dyDescent="0.3">
      <c r="B479" s="271">
        <v>43413</v>
      </c>
      <c r="C479" s="292">
        <v>209.05</v>
      </c>
      <c r="D479" s="292">
        <v>45.25</v>
      </c>
      <c r="E479" s="292">
        <v>2140.6</v>
      </c>
      <c r="F479" s="292">
        <v>972.70001200000002</v>
      </c>
      <c r="G479" s="292">
        <v>1295.5999999999999</v>
      </c>
      <c r="H479" s="292">
        <v>1093.4499510000001</v>
      </c>
      <c r="I479" s="292">
        <v>227.9</v>
      </c>
      <c r="J479" s="197">
        <v>1672.599976</v>
      </c>
      <c r="L479" s="297">
        <f t="shared" si="119"/>
        <v>-3.3428875447415363E-3</v>
      </c>
      <c r="M479" s="298">
        <f t="shared" si="120"/>
        <v>4.4297082891466538E-3</v>
      </c>
      <c r="N479" s="298">
        <f t="shared" si="121"/>
        <v>2.0342081204746212E-3</v>
      </c>
      <c r="O479" s="298">
        <f t="shared" si="122"/>
        <v>-6.4303592153366583E-3</v>
      </c>
      <c r="P479" s="298">
        <f t="shared" si="123"/>
        <v>3.5070645654585404E-2</v>
      </c>
      <c r="Q479" s="298">
        <f t="shared" si="124"/>
        <v>-1.5652612534710581E-2</v>
      </c>
      <c r="R479" s="298">
        <f t="shared" si="125"/>
        <v>5.3860036844928502E-2</v>
      </c>
      <c r="S479" s="299">
        <f t="shared" si="126"/>
        <v>1.7338250620868949E-2</v>
      </c>
      <c r="U479" s="303">
        <f t="shared" si="127"/>
        <v>-1.7841821242330061E-3</v>
      </c>
      <c r="V479" s="86">
        <f t="shared" si="128"/>
        <v>-1.6680204093139804E-3</v>
      </c>
      <c r="W479" s="86">
        <f t="shared" si="129"/>
        <v>-8.1429522459154809E-4</v>
      </c>
      <c r="X479" s="86">
        <f t="shared" si="130"/>
        <v>-6.8016867278511677E-3</v>
      </c>
      <c r="Y479" s="86">
        <f t="shared" si="131"/>
        <v>3.3961635662891773E-2</v>
      </c>
      <c r="Z479" s="86">
        <f t="shared" si="132"/>
        <v>-1.7214405133887931E-2</v>
      </c>
      <c r="AA479" s="86">
        <f t="shared" si="133"/>
        <v>5.9571957520472035E-2</v>
      </c>
      <c r="AB479" s="304">
        <f t="shared" si="134"/>
        <v>1.672589274421939E-2</v>
      </c>
    </row>
    <row r="480" spans="2:28" x14ac:dyDescent="0.3">
      <c r="B480" s="271">
        <v>43411</v>
      </c>
      <c r="C480" s="292">
        <v>209.75</v>
      </c>
      <c r="D480" s="292">
        <v>45.049999</v>
      </c>
      <c r="E480" s="292">
        <v>2136.25</v>
      </c>
      <c r="F480" s="292">
        <v>978.97497599999997</v>
      </c>
      <c r="G480" s="292">
        <v>1250.95</v>
      </c>
      <c r="H480" s="292">
        <v>1110.6999510000001</v>
      </c>
      <c r="I480" s="292">
        <v>215.95</v>
      </c>
      <c r="J480" s="197">
        <v>1643.849976</v>
      </c>
      <c r="L480" s="297">
        <f t="shared" si="119"/>
        <v>1.1267049551888633E-2</v>
      </c>
      <c r="M480" s="298">
        <f t="shared" si="120"/>
        <v>4.425001115079967E-2</v>
      </c>
      <c r="N480" s="298">
        <f t="shared" si="121"/>
        <v>5.5390101012855178E-3</v>
      </c>
      <c r="O480" s="298">
        <f t="shared" si="122"/>
        <v>5.8393834771100555E-3</v>
      </c>
      <c r="P480" s="298">
        <f t="shared" si="123"/>
        <v>1.0002292713174548E-2</v>
      </c>
      <c r="Q480" s="298">
        <f t="shared" si="124"/>
        <v>5.9599013488208317E-3</v>
      </c>
      <c r="R480" s="298">
        <f t="shared" si="125"/>
        <v>6.9702884438205695E-3</v>
      </c>
      <c r="S480" s="299">
        <f t="shared" si="126"/>
        <v>7.2654482032485689E-3</v>
      </c>
      <c r="U480" s="303">
        <f t="shared" si="127"/>
        <v>1.2825754972397163E-2</v>
      </c>
      <c r="V480" s="86">
        <f t="shared" si="128"/>
        <v>3.8152282452339037E-2</v>
      </c>
      <c r="W480" s="86">
        <f t="shared" si="129"/>
        <v>2.6905067562193485E-3</v>
      </c>
      <c r="X480" s="86">
        <f t="shared" si="130"/>
        <v>5.4680559645955461E-3</v>
      </c>
      <c r="Y480" s="86">
        <f t="shared" si="131"/>
        <v>8.893282721480919E-3</v>
      </c>
      <c r="Z480" s="86">
        <f t="shared" si="132"/>
        <v>4.3981087496434814E-3</v>
      </c>
      <c r="AA480" s="86">
        <f t="shared" si="133"/>
        <v>1.2682209119364105E-2</v>
      </c>
      <c r="AB480" s="304">
        <f t="shared" si="134"/>
        <v>6.6530903265990078E-3</v>
      </c>
    </row>
    <row r="481" spans="2:28" x14ac:dyDescent="0.3">
      <c r="B481" s="271">
        <v>43410</v>
      </c>
      <c r="C481" s="292">
        <v>207.4</v>
      </c>
      <c r="D481" s="292">
        <v>43.099997999999999</v>
      </c>
      <c r="E481" s="292">
        <v>2124.4499999999998</v>
      </c>
      <c r="F481" s="292">
        <v>973.27502400000003</v>
      </c>
      <c r="G481" s="292">
        <v>1238.5</v>
      </c>
      <c r="H481" s="292">
        <v>1104.099976</v>
      </c>
      <c r="I481" s="292">
        <v>214.45</v>
      </c>
      <c r="J481" s="197">
        <v>1631.9499510000001</v>
      </c>
      <c r="L481" s="297">
        <f t="shared" si="119"/>
        <v>-7.0053061456623739E-2</v>
      </c>
      <c r="M481" s="298">
        <f t="shared" si="120"/>
        <v>-5.7837063844595107E-3</v>
      </c>
      <c r="N481" s="298">
        <f t="shared" si="121"/>
        <v>-1.1861869210448182E-2</v>
      </c>
      <c r="O481" s="298">
        <f t="shared" si="122"/>
        <v>-4.8429720844015761E-3</v>
      </c>
      <c r="P481" s="298">
        <f t="shared" si="123"/>
        <v>-4.4712164880414277E-3</v>
      </c>
      <c r="Q481" s="298">
        <f t="shared" si="124"/>
        <v>1.257756905383537E-2</v>
      </c>
      <c r="R481" s="298">
        <f t="shared" si="125"/>
        <v>2.0493003111934686E-2</v>
      </c>
      <c r="S481" s="299">
        <f t="shared" si="126"/>
        <v>-4.9511702611259728E-3</v>
      </c>
      <c r="U481" s="303">
        <f t="shared" si="127"/>
        <v>-6.8494356036115214E-2</v>
      </c>
      <c r="V481" s="86">
        <f t="shared" si="128"/>
        <v>-1.1881435082920146E-2</v>
      </c>
      <c r="W481" s="86">
        <f t="shared" si="129"/>
        <v>-1.4710372555514351E-2</v>
      </c>
      <c r="X481" s="86">
        <f t="shared" si="130"/>
        <v>-5.2142995969160855E-3</v>
      </c>
      <c r="Y481" s="86">
        <f t="shared" si="131"/>
        <v>-5.5802264797350561E-3</v>
      </c>
      <c r="Z481" s="86">
        <f t="shared" si="132"/>
        <v>1.1015776454658019E-2</v>
      </c>
      <c r="AA481" s="86">
        <f t="shared" si="133"/>
        <v>2.6204923787478223E-2</v>
      </c>
      <c r="AB481" s="304">
        <f t="shared" si="134"/>
        <v>-5.5635281377755339E-3</v>
      </c>
    </row>
    <row r="482" spans="2:28" x14ac:dyDescent="0.3">
      <c r="B482" s="271">
        <v>43409</v>
      </c>
      <c r="C482" s="292">
        <v>222.45</v>
      </c>
      <c r="D482" s="292">
        <v>43.349997999999999</v>
      </c>
      <c r="E482" s="292">
        <v>2149.8000000000002</v>
      </c>
      <c r="F482" s="292">
        <v>978</v>
      </c>
      <c r="G482" s="292">
        <v>1244.05</v>
      </c>
      <c r="H482" s="292">
        <v>1090.3000489999999</v>
      </c>
      <c r="I482" s="292">
        <v>210.1</v>
      </c>
      <c r="J482" s="197">
        <v>1640.0500489999999</v>
      </c>
      <c r="L482" s="297">
        <f t="shared" si="119"/>
        <v>-1.5390066221906891E-2</v>
      </c>
      <c r="M482" s="298">
        <f t="shared" si="120"/>
        <v>4.8444181336536676E-2</v>
      </c>
      <c r="N482" s="298">
        <f t="shared" si="121"/>
        <v>4.4288084324456169E-3</v>
      </c>
      <c r="O482" s="298">
        <f t="shared" si="122"/>
        <v>3.3543147252949588E-3</v>
      </c>
      <c r="P482" s="298">
        <f t="shared" si="123"/>
        <v>-2.3684802625806942E-3</v>
      </c>
      <c r="Q482" s="298">
        <f t="shared" si="124"/>
        <v>1.4225276347418105E-2</v>
      </c>
      <c r="R482" s="298">
        <f t="shared" si="125"/>
        <v>4.7710014163669327E-3</v>
      </c>
      <c r="S482" s="299">
        <f t="shared" si="126"/>
        <v>9.7611598416832035E-4</v>
      </c>
      <c r="U482" s="303">
        <f t="shared" si="127"/>
        <v>-1.3831360801398362E-2</v>
      </c>
      <c r="V482" s="86">
        <f t="shared" si="128"/>
        <v>4.2346452638076043E-2</v>
      </c>
      <c r="W482" s="86">
        <f t="shared" si="129"/>
        <v>1.5803050873794476E-3</v>
      </c>
      <c r="X482" s="86">
        <f t="shared" si="130"/>
        <v>2.9829872127804494E-3</v>
      </c>
      <c r="Y482" s="86">
        <f t="shared" si="131"/>
        <v>-3.4774902542743231E-3</v>
      </c>
      <c r="Z482" s="86">
        <f t="shared" si="132"/>
        <v>1.2663483748240754E-2</v>
      </c>
      <c r="AA482" s="86">
        <f t="shared" si="133"/>
        <v>1.0482922091910468E-2</v>
      </c>
      <c r="AB482" s="304">
        <f t="shared" si="134"/>
        <v>3.6375810751875946E-4</v>
      </c>
    </row>
    <row r="483" spans="2:28" x14ac:dyDescent="0.3">
      <c r="B483" s="271">
        <v>43406</v>
      </c>
      <c r="C483" s="292">
        <v>225.9</v>
      </c>
      <c r="D483" s="292">
        <v>41.299999</v>
      </c>
      <c r="E483" s="292">
        <v>2140.3000000000002</v>
      </c>
      <c r="F483" s="292">
        <v>974.72497599999997</v>
      </c>
      <c r="G483" s="292">
        <v>1247</v>
      </c>
      <c r="H483" s="292">
        <v>1074.900024</v>
      </c>
      <c r="I483" s="292">
        <v>209.1</v>
      </c>
      <c r="J483" s="197">
        <v>1638.4499510000001</v>
      </c>
      <c r="L483" s="297">
        <f t="shared" si="119"/>
        <v>5.9739666006468184E-2</v>
      </c>
      <c r="M483" s="298">
        <f t="shared" si="120"/>
        <v>6.0716642160108187E-3</v>
      </c>
      <c r="N483" s="298">
        <f t="shared" si="121"/>
        <v>1.955643044069684E-2</v>
      </c>
      <c r="O483" s="298">
        <f t="shared" si="122"/>
        <v>1.9292870320099069E-2</v>
      </c>
      <c r="P483" s="298">
        <f t="shared" si="123"/>
        <v>2.3694714505562813E-2</v>
      </c>
      <c r="Q483" s="298">
        <f t="shared" si="124"/>
        <v>1.7502756635292303E-2</v>
      </c>
      <c r="R483" s="298">
        <f t="shared" si="125"/>
        <v>2.4447544582773081E-2</v>
      </c>
      <c r="S483" s="299">
        <f t="shared" si="126"/>
        <v>1.8977142767099654E-2</v>
      </c>
      <c r="U483" s="303">
        <f t="shared" si="127"/>
        <v>6.1298371426976715E-2</v>
      </c>
      <c r="V483" s="86">
        <f t="shared" si="128"/>
        <v>-2.6064482449815463E-5</v>
      </c>
      <c r="W483" s="86">
        <f t="shared" si="129"/>
        <v>1.6707927095630671E-2</v>
      </c>
      <c r="X483" s="86">
        <f t="shared" si="130"/>
        <v>1.8921542807584561E-2</v>
      </c>
      <c r="Y483" s="86">
        <f t="shared" si="131"/>
        <v>2.2585704513869185E-2</v>
      </c>
      <c r="Z483" s="86">
        <f t="shared" si="132"/>
        <v>1.5940964036114953E-2</v>
      </c>
      <c r="AA483" s="86">
        <f t="shared" si="133"/>
        <v>3.0159465258316618E-2</v>
      </c>
      <c r="AB483" s="304">
        <f t="shared" si="134"/>
        <v>1.8364784890450094E-2</v>
      </c>
    </row>
    <row r="484" spans="2:28" x14ac:dyDescent="0.3">
      <c r="B484" s="271">
        <v>43405</v>
      </c>
      <c r="C484" s="292">
        <v>212.8</v>
      </c>
      <c r="D484" s="292">
        <v>41.049999</v>
      </c>
      <c r="E484" s="292">
        <v>2098.85</v>
      </c>
      <c r="F484" s="292">
        <v>956.09997599999997</v>
      </c>
      <c r="G484" s="292">
        <v>1217.8</v>
      </c>
      <c r="H484" s="292">
        <v>1056.25</v>
      </c>
      <c r="I484" s="292">
        <v>204.05</v>
      </c>
      <c r="J484" s="197">
        <v>1607.650024</v>
      </c>
      <c r="L484" s="297">
        <f t="shared" si="119"/>
        <v>7.7839760875366591E-3</v>
      </c>
      <c r="M484" s="298">
        <f t="shared" si="120"/>
        <v>3.4699813015683291E-2</v>
      </c>
      <c r="N484" s="298">
        <f t="shared" si="121"/>
        <v>2.1224595101854773E-3</v>
      </c>
      <c r="O484" s="298">
        <f t="shared" si="122"/>
        <v>2.3533362503417202E-4</v>
      </c>
      <c r="P484" s="298">
        <f t="shared" si="123"/>
        <v>-1.0293367576905972E-2</v>
      </c>
      <c r="Q484" s="298">
        <f t="shared" si="124"/>
        <v>-4.7225589541735032E-3</v>
      </c>
      <c r="R484" s="298">
        <f t="shared" si="125"/>
        <v>8.1391325544830168E-2</v>
      </c>
      <c r="S484" s="299">
        <f t="shared" si="126"/>
        <v>-8.7014512258740667E-3</v>
      </c>
      <c r="U484" s="303">
        <f t="shared" si="127"/>
        <v>9.3426815080451895E-3</v>
      </c>
      <c r="V484" s="86">
        <f t="shared" si="128"/>
        <v>2.8602084317222658E-2</v>
      </c>
      <c r="W484" s="86">
        <f t="shared" si="129"/>
        <v>-7.2604383488069192E-4</v>
      </c>
      <c r="X484" s="86">
        <f t="shared" si="130"/>
        <v>-1.3599388748033729E-4</v>
      </c>
      <c r="Y484" s="86">
        <f t="shared" si="131"/>
        <v>-1.1402377568599601E-2</v>
      </c>
      <c r="Z484" s="86">
        <f t="shared" si="132"/>
        <v>-6.2843515533508535E-3</v>
      </c>
      <c r="AA484" s="86">
        <f t="shared" si="133"/>
        <v>8.7103246220373701E-2</v>
      </c>
      <c r="AB484" s="304">
        <f t="shared" si="134"/>
        <v>-9.3138091025236278E-3</v>
      </c>
    </row>
    <row r="485" spans="2:28" x14ac:dyDescent="0.3">
      <c r="B485" s="271">
        <v>43404</v>
      </c>
      <c r="C485" s="292">
        <v>211.15</v>
      </c>
      <c r="D485" s="292">
        <v>39.650002000000001</v>
      </c>
      <c r="E485" s="292">
        <v>2094.4</v>
      </c>
      <c r="F485" s="292">
        <v>955.875</v>
      </c>
      <c r="G485" s="292">
        <v>1230.4000000000001</v>
      </c>
      <c r="H485" s="292">
        <v>1061.25</v>
      </c>
      <c r="I485" s="292">
        <v>188.1</v>
      </c>
      <c r="J485" s="197">
        <v>1621.6999510000001</v>
      </c>
      <c r="L485" s="297">
        <f t="shared" si="119"/>
        <v>-2.3677045215372242E-4</v>
      </c>
      <c r="M485" s="298">
        <f t="shared" si="120"/>
        <v>8.8665050922949844E-3</v>
      </c>
      <c r="N485" s="298">
        <f t="shared" si="121"/>
        <v>6.8751842876524734E-3</v>
      </c>
      <c r="O485" s="298">
        <f t="shared" si="122"/>
        <v>-5.2294418762668135E-4</v>
      </c>
      <c r="P485" s="298">
        <f t="shared" si="123"/>
        <v>2.8105859574521216E-2</v>
      </c>
      <c r="Q485" s="298">
        <f t="shared" si="124"/>
        <v>4.0127517553195449E-3</v>
      </c>
      <c r="R485" s="298">
        <f t="shared" si="125"/>
        <v>3.2692361685542091E-2</v>
      </c>
      <c r="S485" s="299">
        <f t="shared" si="126"/>
        <v>1.7824503014515096E-2</v>
      </c>
      <c r="U485" s="303">
        <f t="shared" si="127"/>
        <v>1.3219349683548077E-3</v>
      </c>
      <c r="V485" s="86">
        <f t="shared" si="128"/>
        <v>2.7687763938343503E-3</v>
      </c>
      <c r="W485" s="86">
        <f t="shared" si="129"/>
        <v>4.0266809425863036E-3</v>
      </c>
      <c r="X485" s="86">
        <f t="shared" si="130"/>
        <v>-8.9427170014119066E-4</v>
      </c>
      <c r="Y485" s="86">
        <f t="shared" si="131"/>
        <v>2.6996849582827588E-2</v>
      </c>
      <c r="Z485" s="86">
        <f t="shared" si="132"/>
        <v>2.4509591561421946E-3</v>
      </c>
      <c r="AA485" s="86">
        <f t="shared" si="133"/>
        <v>3.8404282361085625E-2</v>
      </c>
      <c r="AB485" s="304">
        <f t="shared" si="134"/>
        <v>1.7212145137865537E-2</v>
      </c>
    </row>
    <row r="486" spans="2:28" x14ac:dyDescent="0.3">
      <c r="B486" s="271">
        <v>43403</v>
      </c>
      <c r="C486" s="292">
        <v>211.2</v>
      </c>
      <c r="D486" s="292">
        <v>39.299999</v>
      </c>
      <c r="E486" s="292">
        <v>2080.0500000000002</v>
      </c>
      <c r="F486" s="292">
        <v>956.375</v>
      </c>
      <c r="G486" s="292">
        <v>1196.3</v>
      </c>
      <c r="H486" s="292">
        <v>1057</v>
      </c>
      <c r="I486" s="292">
        <v>182.05</v>
      </c>
      <c r="J486" s="197">
        <v>1593.0500489999999</v>
      </c>
      <c r="L486" s="297">
        <f t="shared" si="119"/>
        <v>-9.4652160403093559E-4</v>
      </c>
      <c r="M486" s="298">
        <f t="shared" si="120"/>
        <v>3.3638333703536763E-2</v>
      </c>
      <c r="N486" s="298">
        <f t="shared" si="121"/>
        <v>-1.0592483521270941E-2</v>
      </c>
      <c r="O486" s="298">
        <f t="shared" si="122"/>
        <v>-7.0590922743878496E-3</v>
      </c>
      <c r="P486" s="298">
        <f t="shared" si="123"/>
        <v>2.0899952006188019E-4</v>
      </c>
      <c r="Q486" s="298">
        <f t="shared" si="124"/>
        <v>-2.8722646163666713E-2</v>
      </c>
      <c r="R486" s="298">
        <f t="shared" si="125"/>
        <v>4.1282568606370888E-3</v>
      </c>
      <c r="S486" s="299">
        <f t="shared" si="126"/>
        <v>2.552628246550832E-2</v>
      </c>
      <c r="U486" s="303">
        <f t="shared" si="127"/>
        <v>6.121838164775946E-4</v>
      </c>
      <c r="V486" s="86">
        <f t="shared" si="128"/>
        <v>2.754060500507613E-2</v>
      </c>
      <c r="W486" s="86">
        <f t="shared" si="129"/>
        <v>-1.344098686633711E-2</v>
      </c>
      <c r="X486" s="86">
        <f t="shared" si="130"/>
        <v>-7.430419786902359E-3</v>
      </c>
      <c r="Y486" s="86">
        <f t="shared" si="131"/>
        <v>-9.0001047163174876E-4</v>
      </c>
      <c r="Z486" s="86">
        <f t="shared" si="132"/>
        <v>-3.0284438762844063E-2</v>
      </c>
      <c r="AA486" s="86">
        <f t="shared" si="133"/>
        <v>9.8401775361806245E-3</v>
      </c>
      <c r="AB486" s="304">
        <f t="shared" si="134"/>
        <v>2.4913924588858761E-2</v>
      </c>
    </row>
    <row r="487" spans="2:28" x14ac:dyDescent="0.3">
      <c r="B487" s="271">
        <v>43402</v>
      </c>
      <c r="C487" s="292">
        <v>211.4</v>
      </c>
      <c r="D487" s="292">
        <v>38</v>
      </c>
      <c r="E487" s="292">
        <v>2102.1999999999998</v>
      </c>
      <c r="F487" s="292">
        <v>963.15002400000003</v>
      </c>
      <c r="G487" s="292">
        <v>1196.05</v>
      </c>
      <c r="H487" s="292">
        <v>1087.8000489999999</v>
      </c>
      <c r="I487" s="292">
        <v>181.3</v>
      </c>
      <c r="J487" s="197">
        <v>1552.900024</v>
      </c>
      <c r="L487" s="297">
        <f t="shared" si="119"/>
        <v>3.7349239341715725E-2</v>
      </c>
      <c r="M487" s="298">
        <f t="shared" si="120"/>
        <v>4.852701327035143E-2</v>
      </c>
      <c r="N487" s="298">
        <f t="shared" si="121"/>
        <v>8.5753370985311161E-3</v>
      </c>
      <c r="O487" s="298">
        <f t="shared" si="122"/>
        <v>-1.7955416915917437E-2</v>
      </c>
      <c r="P487" s="298">
        <f t="shared" si="123"/>
        <v>4.8190844829625636E-3</v>
      </c>
      <c r="Q487" s="298">
        <f t="shared" si="124"/>
        <v>4.0236143025134195E-2</v>
      </c>
      <c r="R487" s="298">
        <f t="shared" si="125"/>
        <v>3.3149201626226769E-3</v>
      </c>
      <c r="S487" s="299">
        <f t="shared" si="126"/>
        <v>-3.4392306588614183E-3</v>
      </c>
      <c r="U487" s="303">
        <f t="shared" si="127"/>
        <v>3.8907944762224256E-2</v>
      </c>
      <c r="V487" s="86">
        <f t="shared" si="128"/>
        <v>4.2429284571890796E-2</v>
      </c>
      <c r="W487" s="86">
        <f t="shared" si="129"/>
        <v>5.7268337534649473E-3</v>
      </c>
      <c r="X487" s="86">
        <f t="shared" si="130"/>
        <v>-1.8326744428431945E-2</v>
      </c>
      <c r="Y487" s="86">
        <f t="shared" si="131"/>
        <v>3.7100744912689347E-3</v>
      </c>
      <c r="Z487" s="86">
        <f t="shared" si="132"/>
        <v>3.8674350425956842E-2</v>
      </c>
      <c r="AA487" s="86">
        <f t="shared" si="133"/>
        <v>9.026840838166213E-3</v>
      </c>
      <c r="AB487" s="304">
        <f t="shared" si="134"/>
        <v>-4.0515885355109794E-3</v>
      </c>
    </row>
    <row r="488" spans="2:28" x14ac:dyDescent="0.3">
      <c r="B488" s="271">
        <v>43399</v>
      </c>
      <c r="C488" s="292">
        <v>203.65</v>
      </c>
      <c r="D488" s="292">
        <v>36.200001</v>
      </c>
      <c r="E488" s="292">
        <v>2084.25</v>
      </c>
      <c r="F488" s="292">
        <v>980.59997599999997</v>
      </c>
      <c r="G488" s="292">
        <v>1190.3</v>
      </c>
      <c r="H488" s="292">
        <v>1044.900024</v>
      </c>
      <c r="I488" s="292">
        <v>180.7</v>
      </c>
      <c r="J488" s="197">
        <v>1558.25</v>
      </c>
      <c r="L488" s="297">
        <f t="shared" si="119"/>
        <v>-4.6540194231045164E-3</v>
      </c>
      <c r="M488" s="298">
        <f t="shared" si="120"/>
        <v>0</v>
      </c>
      <c r="N488" s="298">
        <f t="shared" si="121"/>
        <v>-1.0048896485787001E-2</v>
      </c>
      <c r="O488" s="298">
        <f t="shared" si="122"/>
        <v>-3.8677381549125527E-3</v>
      </c>
      <c r="P488" s="298">
        <f t="shared" si="123"/>
        <v>-8.1578464008927858E-3</v>
      </c>
      <c r="Q488" s="298">
        <f t="shared" si="124"/>
        <v>1.3585962694666847E-2</v>
      </c>
      <c r="R488" s="298">
        <f t="shared" si="125"/>
        <v>-9.3194949362156346E-2</v>
      </c>
      <c r="S488" s="299">
        <f t="shared" si="126"/>
        <v>-8.4990279575319749E-3</v>
      </c>
      <c r="U488" s="303">
        <f t="shared" si="127"/>
        <v>-3.095314002595986E-3</v>
      </c>
      <c r="V488" s="86">
        <f t="shared" si="128"/>
        <v>-6.0977286984606341E-3</v>
      </c>
      <c r="W488" s="86">
        <f t="shared" si="129"/>
        <v>-1.289739983085317E-2</v>
      </c>
      <c r="X488" s="86">
        <f t="shared" si="130"/>
        <v>-4.2390656674270617E-3</v>
      </c>
      <c r="Y488" s="86">
        <f t="shared" si="131"/>
        <v>-9.2668563925864152E-3</v>
      </c>
      <c r="Z488" s="86">
        <f t="shared" si="132"/>
        <v>1.2024170095489495E-2</v>
      </c>
      <c r="AA488" s="86">
        <f t="shared" si="133"/>
        <v>-8.7483028686612813E-2</v>
      </c>
      <c r="AB488" s="304">
        <f t="shared" si="134"/>
        <v>-9.111385834181536E-3</v>
      </c>
    </row>
    <row r="489" spans="2:28" x14ac:dyDescent="0.3">
      <c r="B489" s="271">
        <v>43398</v>
      </c>
      <c r="C489" s="292">
        <v>204.6</v>
      </c>
      <c r="D489" s="292">
        <v>36.200001</v>
      </c>
      <c r="E489" s="292">
        <v>2105.3000000000002</v>
      </c>
      <c r="F489" s="292">
        <v>984.40002400000003</v>
      </c>
      <c r="G489" s="292">
        <v>1200.05</v>
      </c>
      <c r="H489" s="292">
        <v>1030.8000489999999</v>
      </c>
      <c r="I489" s="292">
        <v>198.35</v>
      </c>
      <c r="J489" s="197">
        <v>1571.5500489999999</v>
      </c>
      <c r="L489" s="297">
        <f t="shared" si="119"/>
        <v>-3.5057611756727371E-2</v>
      </c>
      <c r="M489" s="298">
        <f t="shared" si="120"/>
        <v>-2.1858766188190028E-2</v>
      </c>
      <c r="N489" s="298">
        <f t="shared" si="121"/>
        <v>-3.0614755164244774E-2</v>
      </c>
      <c r="O489" s="298">
        <f t="shared" si="122"/>
        <v>-1.1840408820678494E-2</v>
      </c>
      <c r="P489" s="298">
        <f t="shared" si="123"/>
        <v>1.1018356512267289E-2</v>
      </c>
      <c r="Q489" s="298">
        <f t="shared" si="124"/>
        <v>-1.4399084008204556E-2</v>
      </c>
      <c r="R489" s="298">
        <f t="shared" si="125"/>
        <v>-2.8086846883877258E-2</v>
      </c>
      <c r="S489" s="299">
        <f t="shared" si="126"/>
        <v>-9.1211413038446206E-3</v>
      </c>
      <c r="U489" s="303">
        <f t="shared" si="127"/>
        <v>-3.3498906336218839E-2</v>
      </c>
      <c r="V489" s="86">
        <f t="shared" si="128"/>
        <v>-2.7956494886650661E-2</v>
      </c>
      <c r="W489" s="86">
        <f t="shared" si="129"/>
        <v>-3.3463258509310943E-2</v>
      </c>
      <c r="X489" s="86">
        <f t="shared" si="130"/>
        <v>-1.2211736333193004E-2</v>
      </c>
      <c r="Y489" s="86">
        <f t="shared" si="131"/>
        <v>9.90934652057366E-3</v>
      </c>
      <c r="Z489" s="86">
        <f t="shared" si="132"/>
        <v>-1.5960876607381907E-2</v>
      </c>
      <c r="AA489" s="86">
        <f t="shared" si="133"/>
        <v>-2.2374926208333722E-2</v>
      </c>
      <c r="AB489" s="304">
        <f t="shared" si="134"/>
        <v>-9.7334991804941817E-3</v>
      </c>
    </row>
    <row r="490" spans="2:28" x14ac:dyDescent="0.3">
      <c r="B490" s="271">
        <v>43397</v>
      </c>
      <c r="C490" s="292">
        <v>211.9</v>
      </c>
      <c r="D490" s="292">
        <v>37</v>
      </c>
      <c r="E490" s="292">
        <v>2170.75</v>
      </c>
      <c r="F490" s="292">
        <v>996.125</v>
      </c>
      <c r="G490" s="292">
        <v>1186.9000000000001</v>
      </c>
      <c r="H490" s="292">
        <v>1045.75</v>
      </c>
      <c r="I490" s="292">
        <v>204</v>
      </c>
      <c r="J490" s="197">
        <v>1585.9499510000001</v>
      </c>
      <c r="L490" s="297">
        <f t="shared" si="119"/>
        <v>7.3416552377235204E-3</v>
      </c>
      <c r="M490" s="298">
        <f t="shared" si="120"/>
        <v>4.8452383385946748E-2</v>
      </c>
      <c r="N490" s="298">
        <f t="shared" si="121"/>
        <v>-1.2679836642321625E-2</v>
      </c>
      <c r="O490" s="298">
        <f t="shared" si="122"/>
        <v>3.7213208541010696E-3</v>
      </c>
      <c r="P490" s="298">
        <f t="shared" si="123"/>
        <v>4.1677177958285731E-2</v>
      </c>
      <c r="Q490" s="298">
        <f t="shared" si="124"/>
        <v>-8.5219885015510623E-3</v>
      </c>
      <c r="R490" s="298">
        <f t="shared" si="125"/>
        <v>-4.4110698447473076E-2</v>
      </c>
      <c r="S490" s="299">
        <f t="shared" si="126"/>
        <v>2.1606896660119966E-2</v>
      </c>
      <c r="U490" s="303">
        <f t="shared" si="127"/>
        <v>8.90036065823205E-3</v>
      </c>
      <c r="V490" s="86">
        <f t="shared" si="128"/>
        <v>4.2354654687486115E-2</v>
      </c>
      <c r="W490" s="86">
        <f t="shared" si="129"/>
        <v>-1.5528339987387793E-2</v>
      </c>
      <c r="X490" s="86">
        <f t="shared" si="130"/>
        <v>3.3499933415865601E-3</v>
      </c>
      <c r="Y490" s="86">
        <f t="shared" si="131"/>
        <v>4.05681679665921E-2</v>
      </c>
      <c r="Z490" s="86">
        <f t="shared" si="132"/>
        <v>-1.0083781100728413E-2</v>
      </c>
      <c r="AA490" s="86">
        <f t="shared" si="133"/>
        <v>-3.8398777771929543E-2</v>
      </c>
      <c r="AB490" s="304">
        <f t="shared" si="134"/>
        <v>2.0994538783470407E-2</v>
      </c>
    </row>
    <row r="491" spans="2:28" ht="15" thickBot="1" x14ac:dyDescent="0.35">
      <c r="B491" s="271">
        <v>43396</v>
      </c>
      <c r="C491" s="292">
        <v>210.35</v>
      </c>
      <c r="D491" s="292">
        <v>35.25</v>
      </c>
      <c r="E491" s="292">
        <v>2198.4499999999998</v>
      </c>
      <c r="F491" s="292">
        <v>992.42498799999998</v>
      </c>
      <c r="G491" s="292">
        <v>1138.45</v>
      </c>
      <c r="H491" s="292">
        <v>1054.6999510000001</v>
      </c>
      <c r="I491" s="292">
        <v>213.2</v>
      </c>
      <c r="J491" s="197">
        <v>1552.0500489999999</v>
      </c>
      <c r="L491" s="300">
        <f t="shared" si="119"/>
        <v>-1.5098187250945701E-2</v>
      </c>
      <c r="M491" s="301">
        <f t="shared" si="120"/>
        <v>-1.4084739881738972E-2</v>
      </c>
      <c r="N491" s="301">
        <f t="shared" si="121"/>
        <v>-1.8790261309716019E-2</v>
      </c>
      <c r="O491" s="301">
        <f t="shared" si="122"/>
        <v>-7.0537088194483049E-3</v>
      </c>
      <c r="P491" s="301">
        <f t="shared" si="123"/>
        <v>-5.2987146462038351E-2</v>
      </c>
      <c r="Q491" s="301">
        <f t="shared" si="124"/>
        <v>-7.509491065887778E-3</v>
      </c>
      <c r="R491" s="301">
        <f t="shared" si="125"/>
        <v>8.0056938053567166E-3</v>
      </c>
      <c r="S491" s="302">
        <f t="shared" si="126"/>
        <v>-2.0944659691074407E-2</v>
      </c>
      <c r="U491" s="305">
        <f t="shared" ref="U491" si="135">L491-L$494</f>
        <v>-1.3539481830437171E-2</v>
      </c>
      <c r="V491" s="306">
        <f t="shared" ref="V491" si="136">M491-M$494</f>
        <v>-2.0182468580199606E-2</v>
      </c>
      <c r="W491" s="306">
        <f t="shared" ref="W491" si="137">N491-N$494</f>
        <v>-2.1638764654782188E-2</v>
      </c>
      <c r="X491" s="306">
        <f t="shared" ref="X491" si="138">O491-O$494</f>
        <v>-7.4250363319628143E-3</v>
      </c>
      <c r="Y491" s="306">
        <f t="shared" ref="Y491" si="139">P491-P$494</f>
        <v>-5.4096156453731982E-2</v>
      </c>
      <c r="Z491" s="306">
        <f t="shared" ref="Z491" si="140">Q491-Q$494</f>
        <v>-9.0712836650651291E-3</v>
      </c>
      <c r="AA491" s="306">
        <f t="shared" ref="AA491" si="141">R491-R$494</f>
        <v>1.3717614480900253E-2</v>
      </c>
      <c r="AB491" s="307">
        <f t="shared" ref="AB491" si="142">S491-S$494</f>
        <v>-2.1557017567723966E-2</v>
      </c>
    </row>
    <row r="492" spans="2:28" ht="15" thickBot="1" x14ac:dyDescent="0.35">
      <c r="B492" s="272">
        <v>43395</v>
      </c>
      <c r="C492" s="293">
        <v>213.55</v>
      </c>
      <c r="D492" s="293">
        <v>35.75</v>
      </c>
      <c r="E492" s="293">
        <v>2240.15</v>
      </c>
      <c r="F492" s="293">
        <v>999.45001200000002</v>
      </c>
      <c r="G492" s="293">
        <v>1200.4000000000001</v>
      </c>
      <c r="H492" s="293">
        <v>1062.650024</v>
      </c>
      <c r="I492" s="293">
        <v>211.5</v>
      </c>
      <c r="J492" s="233">
        <v>1584.900024</v>
      </c>
    </row>
    <row r="494" spans="2:28" x14ac:dyDescent="0.3">
      <c r="K494" s="42" t="s">
        <v>357</v>
      </c>
      <c r="L494" s="87">
        <f>AVERAGE(L3:L491)</f>
        <v>-1.5587054205085302E-3</v>
      </c>
      <c r="M494" s="87">
        <f t="shared" ref="M494:S494" si="143">AVERAGE(M3:M491)</f>
        <v>6.0977286984606341E-3</v>
      </c>
      <c r="N494" s="87">
        <f t="shared" si="143"/>
        <v>2.8485033450661693E-3</v>
      </c>
      <c r="O494" s="87">
        <f t="shared" si="143"/>
        <v>3.7132751251450931E-4</v>
      </c>
      <c r="P494" s="87">
        <f t="shared" si="143"/>
        <v>1.1090099916936289E-3</v>
      </c>
      <c r="Q494" s="87">
        <f t="shared" si="143"/>
        <v>1.5617925991773505E-3</v>
      </c>
      <c r="R494" s="87">
        <f t="shared" si="143"/>
        <v>-5.7119206755435357E-3</v>
      </c>
      <c r="S494" s="87">
        <f t="shared" si="143"/>
        <v>6.1235787664956089E-4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829C-BE62-47B3-82FF-A64BD44B0C31}">
  <dimension ref="C4:K28"/>
  <sheetViews>
    <sheetView topLeftCell="A17" zoomScale="173" zoomScaleNormal="173" workbookViewId="0">
      <selection activeCell="I13" sqref="I13"/>
    </sheetView>
  </sheetViews>
  <sheetFormatPr defaultRowHeight="14.4" x14ac:dyDescent="0.3"/>
  <cols>
    <col min="4" max="4" width="3.44140625" bestFit="1" customWidth="1"/>
    <col min="5" max="5" width="3.109375" bestFit="1" customWidth="1"/>
    <col min="6" max="6" width="2" bestFit="1" customWidth="1"/>
    <col min="7" max="7" width="22.77734375" bestFit="1" customWidth="1"/>
    <col min="8" max="8" width="2" bestFit="1" customWidth="1"/>
    <col min="9" max="9" width="11.6640625" bestFit="1" customWidth="1"/>
    <col min="10" max="10" width="2" bestFit="1" customWidth="1"/>
    <col min="11" max="11" width="2.88671875" bestFit="1" customWidth="1"/>
  </cols>
  <sheetData>
    <row r="4" spans="3:10" x14ac:dyDescent="0.3">
      <c r="C4" s="20"/>
      <c r="D4" s="20"/>
      <c r="E4" s="20"/>
      <c r="F4" s="20"/>
      <c r="G4" s="20"/>
      <c r="H4" s="20"/>
      <c r="I4" s="20"/>
      <c r="J4" s="20"/>
    </row>
    <row r="5" spans="3:10" x14ac:dyDescent="0.3">
      <c r="C5" s="20"/>
      <c r="D5" s="20"/>
      <c r="E5" s="20"/>
      <c r="F5" s="20"/>
      <c r="G5" s="20"/>
      <c r="H5" s="20"/>
      <c r="I5" s="20"/>
      <c r="J5" s="20"/>
    </row>
    <row r="6" spans="3:10" ht="15" thickBot="1" x14ac:dyDescent="0.35">
      <c r="C6" s="20"/>
      <c r="D6" s="20"/>
      <c r="E6" s="20"/>
      <c r="F6" s="20"/>
      <c r="G6" s="210" t="s">
        <v>365</v>
      </c>
      <c r="H6" s="20" t="s">
        <v>366</v>
      </c>
      <c r="I6" s="147" t="s">
        <v>367</v>
      </c>
      <c r="J6" s="20"/>
    </row>
    <row r="7" spans="3:10" ht="15" thickBot="1" x14ac:dyDescent="0.35">
      <c r="C7" s="20"/>
      <c r="D7" s="20"/>
      <c r="E7" s="321" t="s">
        <v>368</v>
      </c>
      <c r="F7" s="322" t="s">
        <v>8</v>
      </c>
      <c r="G7" s="322" t="s">
        <v>369</v>
      </c>
      <c r="H7" s="322" t="s">
        <v>366</v>
      </c>
      <c r="I7" s="251" t="s">
        <v>370</v>
      </c>
      <c r="J7" s="20"/>
    </row>
    <row r="8" spans="3:10" x14ac:dyDescent="0.3">
      <c r="C8" s="20"/>
      <c r="D8" s="20"/>
      <c r="E8" s="20"/>
      <c r="F8" s="20"/>
      <c r="G8" s="20"/>
      <c r="H8" s="20"/>
      <c r="I8" s="20"/>
      <c r="J8" s="20"/>
    </row>
    <row r="9" spans="3:10" x14ac:dyDescent="0.3">
      <c r="C9" s="20"/>
      <c r="D9" s="20"/>
      <c r="E9" s="20" t="s">
        <v>371</v>
      </c>
      <c r="F9" s="20" t="s">
        <v>8</v>
      </c>
      <c r="G9" s="52" t="s">
        <v>372</v>
      </c>
      <c r="H9" s="20"/>
      <c r="I9" s="20"/>
      <c r="J9" s="20"/>
    </row>
    <row r="10" spans="3:10" x14ac:dyDescent="0.3">
      <c r="C10" s="20"/>
      <c r="D10" s="20"/>
      <c r="E10" s="20"/>
      <c r="F10" s="20"/>
      <c r="G10" s="20" t="s">
        <v>373</v>
      </c>
      <c r="H10" s="20"/>
      <c r="I10" s="20"/>
      <c r="J10" s="20"/>
    </row>
    <row r="11" spans="3:10" x14ac:dyDescent="0.3">
      <c r="C11" s="20"/>
      <c r="D11" s="20"/>
      <c r="E11" s="20"/>
      <c r="F11" s="20"/>
      <c r="G11" s="20"/>
      <c r="H11" s="20"/>
      <c r="I11" s="20"/>
      <c r="J11" s="20"/>
    </row>
    <row r="12" spans="3:10" x14ac:dyDescent="0.3">
      <c r="C12" s="20"/>
      <c r="D12" s="20"/>
      <c r="E12" s="20" t="s">
        <v>374</v>
      </c>
      <c r="F12" s="20" t="s">
        <v>8</v>
      </c>
      <c r="G12" s="52" t="s">
        <v>375</v>
      </c>
      <c r="H12" s="20"/>
      <c r="I12" s="20"/>
      <c r="J12" s="20"/>
    </row>
    <row r="13" spans="3:10" x14ac:dyDescent="0.3">
      <c r="C13" s="20"/>
      <c r="D13" s="20"/>
      <c r="E13" s="20"/>
      <c r="F13" s="20"/>
      <c r="G13" s="20" t="s">
        <v>373</v>
      </c>
      <c r="H13" s="20"/>
      <c r="I13" s="20"/>
      <c r="J13" s="20"/>
    </row>
    <row r="14" spans="3:10" x14ac:dyDescent="0.3">
      <c r="C14" s="20"/>
      <c r="D14" s="20"/>
      <c r="E14" s="20"/>
      <c r="F14" s="20"/>
      <c r="G14" s="20"/>
      <c r="H14" s="20"/>
      <c r="I14" s="20"/>
      <c r="J14" s="20"/>
    </row>
    <row r="15" spans="3:10" x14ac:dyDescent="0.3">
      <c r="C15" s="20"/>
      <c r="D15" s="20" t="s">
        <v>25</v>
      </c>
      <c r="E15" s="323" t="s">
        <v>374</v>
      </c>
      <c r="F15" s="323" t="s">
        <v>8</v>
      </c>
      <c r="G15" s="323" t="s">
        <v>376</v>
      </c>
      <c r="H15" s="20"/>
      <c r="I15" s="20"/>
      <c r="J15" s="20"/>
    </row>
    <row r="16" spans="3:10" x14ac:dyDescent="0.3">
      <c r="C16" s="20"/>
      <c r="D16" s="20"/>
      <c r="E16" s="20"/>
      <c r="F16" s="20"/>
      <c r="G16" s="20"/>
      <c r="H16" s="20"/>
      <c r="I16" s="20"/>
      <c r="J16" s="20"/>
    </row>
    <row r="17" spans="3:11" ht="15" thickBot="1" x14ac:dyDescent="0.35">
      <c r="C17" s="20"/>
      <c r="D17" s="20"/>
      <c r="E17" s="20"/>
      <c r="F17" s="20"/>
      <c r="G17" s="20"/>
      <c r="H17" s="20"/>
      <c r="I17" s="20"/>
      <c r="J17" s="20"/>
    </row>
    <row r="18" spans="3:11" x14ac:dyDescent="0.3">
      <c r="C18" s="20"/>
      <c r="D18" s="20"/>
      <c r="E18" s="283" t="s">
        <v>368</v>
      </c>
      <c r="F18" s="324" t="s">
        <v>377</v>
      </c>
      <c r="G18" s="325" t="s">
        <v>29</v>
      </c>
      <c r="H18" s="324" t="s">
        <v>8</v>
      </c>
      <c r="I18" s="324" t="s">
        <v>378</v>
      </c>
      <c r="J18" s="324" t="s">
        <v>377</v>
      </c>
      <c r="K18" s="326" t="s">
        <v>379</v>
      </c>
    </row>
    <row r="19" spans="3:11" ht="15" thickBot="1" x14ac:dyDescent="0.35">
      <c r="C19" s="20"/>
      <c r="D19" s="20"/>
      <c r="E19" s="38"/>
      <c r="F19" s="327"/>
      <c r="G19" s="327" t="s">
        <v>380</v>
      </c>
      <c r="H19" s="327"/>
      <c r="I19" s="327"/>
      <c r="J19" s="327"/>
      <c r="K19" s="40"/>
    </row>
    <row r="20" spans="3:11" ht="15" thickBot="1" x14ac:dyDescent="0.35">
      <c r="C20" s="20"/>
      <c r="D20" s="20"/>
      <c r="E20" s="20"/>
      <c r="F20" s="20"/>
      <c r="G20" s="20"/>
      <c r="H20" s="20"/>
      <c r="I20" s="20"/>
      <c r="J20" s="20"/>
    </row>
    <row r="21" spans="3:11" x14ac:dyDescent="0.3">
      <c r="C21" s="20"/>
      <c r="D21" s="20"/>
      <c r="E21" s="283" t="s">
        <v>368</v>
      </c>
      <c r="F21" s="324" t="s">
        <v>377</v>
      </c>
      <c r="G21" s="324" t="s">
        <v>381</v>
      </c>
      <c r="H21" s="324" t="s">
        <v>8</v>
      </c>
      <c r="I21" s="324" t="s">
        <v>378</v>
      </c>
      <c r="J21" s="324" t="s">
        <v>377</v>
      </c>
      <c r="K21" s="326" t="s">
        <v>379</v>
      </c>
    </row>
    <row r="22" spans="3:11" ht="15" thickBot="1" x14ac:dyDescent="0.35">
      <c r="C22" s="20"/>
      <c r="D22" s="20"/>
      <c r="E22" s="38"/>
      <c r="F22" s="327"/>
      <c r="G22" s="327"/>
      <c r="H22" s="327"/>
      <c r="I22" s="327"/>
      <c r="J22" s="327"/>
      <c r="K22" s="40"/>
    </row>
    <row r="23" spans="3:11" x14ac:dyDescent="0.3">
      <c r="C23" s="20"/>
      <c r="D23" s="20"/>
      <c r="E23" s="20"/>
      <c r="F23" s="20"/>
      <c r="G23" s="20"/>
      <c r="H23" s="20"/>
      <c r="I23" s="20"/>
      <c r="J23" s="20"/>
    </row>
    <row r="24" spans="3:11" x14ac:dyDescent="0.3">
      <c r="C24" s="20"/>
      <c r="D24" s="20"/>
      <c r="E24" s="20"/>
      <c r="F24" s="20"/>
      <c r="G24" s="20"/>
      <c r="H24" s="20"/>
      <c r="I24" s="20"/>
      <c r="J24" s="20"/>
    </row>
    <row r="25" spans="3:11" x14ac:dyDescent="0.3">
      <c r="C25" s="20"/>
      <c r="D25" s="20"/>
      <c r="E25" s="20"/>
      <c r="F25" s="20"/>
      <c r="G25" s="20"/>
      <c r="H25" s="20"/>
      <c r="I25" s="20"/>
      <c r="J25" s="20"/>
    </row>
    <row r="26" spans="3:11" x14ac:dyDescent="0.3">
      <c r="C26" s="20"/>
      <c r="D26" s="20"/>
      <c r="E26" s="20"/>
      <c r="F26" s="20"/>
      <c r="G26" s="20"/>
      <c r="H26" s="20"/>
      <c r="I26" s="20"/>
      <c r="J26" s="20"/>
    </row>
    <row r="27" spans="3:11" x14ac:dyDescent="0.3">
      <c r="C27" s="20"/>
      <c r="D27" s="20"/>
      <c r="E27" s="20"/>
      <c r="F27" s="20"/>
      <c r="G27" s="20"/>
      <c r="H27" s="20"/>
      <c r="I27" s="20"/>
      <c r="J27" s="20"/>
    </row>
    <row r="28" spans="3:11" x14ac:dyDescent="0.3">
      <c r="C28" s="20"/>
      <c r="D28" s="20"/>
      <c r="E28" s="20"/>
      <c r="F28" s="20"/>
      <c r="G28" s="20"/>
      <c r="H28" s="20"/>
      <c r="I28" s="20"/>
      <c r="J28" s="20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0592-0107-44F6-887B-82DE84ADFB1A}">
  <dimension ref="A3:P115"/>
  <sheetViews>
    <sheetView zoomScale="137" zoomScaleNormal="137" workbookViewId="0">
      <selection activeCell="L16" sqref="L16"/>
    </sheetView>
  </sheetViews>
  <sheetFormatPr defaultRowHeight="18" x14ac:dyDescent="0.35"/>
  <cols>
    <col min="1" max="1" width="4.109375" style="5" bestFit="1" customWidth="1"/>
    <col min="2" max="2" width="24.33203125" customWidth="1"/>
    <col min="3" max="3" width="10.5546875" bestFit="1" customWidth="1"/>
  </cols>
  <sheetData>
    <row r="3" spans="1:12" x14ac:dyDescent="0.35">
      <c r="C3" s="20" t="s">
        <v>359</v>
      </c>
    </row>
    <row r="5" spans="1:12" ht="27" x14ac:dyDescent="0.6">
      <c r="A5" s="337" t="s">
        <v>191</v>
      </c>
      <c r="B5" s="318" t="s">
        <v>360</v>
      </c>
      <c r="C5" s="319">
        <v>125</v>
      </c>
    </row>
    <row r="6" spans="1:12" ht="23.4" x14ac:dyDescent="0.45">
      <c r="B6" s="318" t="s">
        <v>29</v>
      </c>
      <c r="C6" s="319">
        <v>112</v>
      </c>
    </row>
    <row r="7" spans="1:12" ht="23.4" x14ac:dyDescent="0.45">
      <c r="B7" s="318" t="s">
        <v>361</v>
      </c>
      <c r="C7" s="319">
        <v>30</v>
      </c>
      <c r="D7" t="s">
        <v>362</v>
      </c>
    </row>
    <row r="8" spans="1:12" ht="27" x14ac:dyDescent="0.6">
      <c r="B8" s="318" t="s">
        <v>363</v>
      </c>
      <c r="C8" s="320">
        <v>0.06</v>
      </c>
    </row>
    <row r="9" spans="1:12" ht="23.4" x14ac:dyDescent="0.45">
      <c r="B9" s="318" t="s">
        <v>364</v>
      </c>
      <c r="C9" s="320">
        <v>0.18</v>
      </c>
    </row>
    <row r="12" spans="1:12" ht="23.4" x14ac:dyDescent="0.45">
      <c r="B12" s="318" t="s">
        <v>382</v>
      </c>
    </row>
    <row r="15" spans="1:12" x14ac:dyDescent="0.35">
      <c r="E15" t="s">
        <v>383</v>
      </c>
      <c r="F15">
        <f>LN(C5/C6)</f>
        <v>0.10981486600720661</v>
      </c>
    </row>
    <row r="16" spans="1:12" x14ac:dyDescent="0.35">
      <c r="H16" t="s">
        <v>386</v>
      </c>
      <c r="I16">
        <f>(F15+F17)/F19</f>
        <v>2.2493796738170881</v>
      </c>
      <c r="K16" t="s">
        <v>388</v>
      </c>
      <c r="L16">
        <f>_xlfn.NORM.S.DIST(I16,TRUE)</f>
        <v>0.98775582466249578</v>
      </c>
    </row>
    <row r="17" spans="1:12" x14ac:dyDescent="0.35">
      <c r="E17" t="s">
        <v>384</v>
      </c>
      <c r="F17">
        <f>(C8+1/2*C9^2)*C7/365</f>
        <v>6.2630136986301359E-3</v>
      </c>
    </row>
    <row r="18" spans="1:12" x14ac:dyDescent="0.35">
      <c r="H18" t="s">
        <v>387</v>
      </c>
      <c r="I18" s="328">
        <f>I16-F19</f>
        <v>2.1977752776997983</v>
      </c>
      <c r="K18" t="s">
        <v>389</v>
      </c>
      <c r="L18">
        <f>_xlfn.NORM.S.DIST(I18,TRUE)</f>
        <v>0.98601743798324026</v>
      </c>
    </row>
    <row r="19" spans="1:12" x14ac:dyDescent="0.35">
      <c r="E19" t="s">
        <v>385</v>
      </c>
      <c r="F19" s="328">
        <f>C9*SQRT(C7/365)</f>
        <v>5.1604396117289626E-2</v>
      </c>
    </row>
    <row r="20" spans="1:12" x14ac:dyDescent="0.35">
      <c r="K20" t="s">
        <v>390</v>
      </c>
      <c r="L20">
        <f>C6*EXP(-C8*C7/365)</f>
        <v>111.44903090343267</v>
      </c>
    </row>
    <row r="24" spans="1:12" ht="18.600000000000001" thickBot="1" x14ac:dyDescent="0.4">
      <c r="H24" t="s">
        <v>368</v>
      </c>
      <c r="I24" t="s">
        <v>8</v>
      </c>
      <c r="J24">
        <f>C5*L16-L20*L18</f>
        <v>13.578790165694329</v>
      </c>
    </row>
    <row r="25" spans="1:12" x14ac:dyDescent="0.35">
      <c r="C25" s="447" t="s">
        <v>393</v>
      </c>
      <c r="D25" s="448"/>
      <c r="E25" s="449"/>
    </row>
    <row r="26" spans="1:12" ht="18.600000000000001" thickBot="1" x14ac:dyDescent="0.4">
      <c r="C26" s="85"/>
      <c r="E26" s="37"/>
      <c r="H26" t="s">
        <v>378</v>
      </c>
      <c r="I26" t="s">
        <v>8</v>
      </c>
      <c r="J26" s="329">
        <f>J24+L20-C5</f>
        <v>2.7821069127000442E-2</v>
      </c>
    </row>
    <row r="27" spans="1:12" ht="18.600000000000001" thickBot="1" x14ac:dyDescent="0.4">
      <c r="C27" s="330" t="s">
        <v>391</v>
      </c>
      <c r="D27" s="331" t="s">
        <v>8</v>
      </c>
      <c r="E27" s="332" t="s">
        <v>392</v>
      </c>
    </row>
    <row r="30" spans="1:12" ht="21" x14ac:dyDescent="0.4">
      <c r="A30" s="337" t="s">
        <v>211</v>
      </c>
      <c r="B30" s="333" t="s">
        <v>394</v>
      </c>
      <c r="C30" s="333"/>
      <c r="D30" s="333"/>
    </row>
    <row r="31" spans="1:12" ht="21" x14ac:dyDescent="0.4">
      <c r="B31" s="333" t="s">
        <v>395</v>
      </c>
      <c r="C31" s="333">
        <v>100</v>
      </c>
      <c r="D31" s="333"/>
    </row>
    <row r="32" spans="1:12" ht="21" x14ac:dyDescent="0.4">
      <c r="B32" s="333" t="s">
        <v>396</v>
      </c>
      <c r="C32" s="333">
        <v>30</v>
      </c>
      <c r="D32" s="333" t="s">
        <v>362</v>
      </c>
    </row>
    <row r="33" spans="2:11" ht="21" x14ac:dyDescent="0.4">
      <c r="B33" s="333" t="s">
        <v>397</v>
      </c>
      <c r="C33" s="334">
        <v>0.05</v>
      </c>
      <c r="D33" s="333" t="s">
        <v>398</v>
      </c>
    </row>
    <row r="34" spans="2:11" ht="21" x14ac:dyDescent="0.4">
      <c r="B34" s="333" t="s">
        <v>399</v>
      </c>
      <c r="C34" s="334">
        <v>0.25</v>
      </c>
      <c r="D34" s="333" t="s">
        <v>398</v>
      </c>
    </row>
    <row r="35" spans="2:11" ht="21" x14ac:dyDescent="0.4">
      <c r="B35" s="333" t="s">
        <v>400</v>
      </c>
      <c r="C35" s="333">
        <v>0</v>
      </c>
      <c r="D35" s="333"/>
    </row>
    <row r="36" spans="2:11" ht="21" x14ac:dyDescent="0.4">
      <c r="B36" s="333"/>
      <c r="C36" s="333"/>
      <c r="D36" s="333"/>
    </row>
    <row r="37" spans="2:11" ht="21" x14ac:dyDescent="0.4">
      <c r="B37" s="333" t="s">
        <v>401</v>
      </c>
      <c r="C37" s="333"/>
      <c r="D37" s="333"/>
    </row>
    <row r="39" spans="2:11" x14ac:dyDescent="0.35">
      <c r="C39" t="s">
        <v>402</v>
      </c>
      <c r="D39">
        <v>100</v>
      </c>
    </row>
    <row r="40" spans="2:11" x14ac:dyDescent="0.35">
      <c r="F40" t="s">
        <v>383</v>
      </c>
      <c r="G40" s="92">
        <f>LN(C31/D39)</f>
        <v>0</v>
      </c>
    </row>
    <row r="41" spans="2:11" x14ac:dyDescent="0.35">
      <c r="G41" s="92"/>
      <c r="H41" t="s">
        <v>386</v>
      </c>
      <c r="I41" s="92">
        <f>(G40+G42)/G44</f>
        <v>9.3174604100661834E-2</v>
      </c>
      <c r="J41" t="s">
        <v>388</v>
      </c>
      <c r="K41">
        <f>_xlfn.NORM.S.DIST(I41,TRUE)</f>
        <v>0.53711757520169834</v>
      </c>
    </row>
    <row r="42" spans="2:11" x14ac:dyDescent="0.35">
      <c r="F42" t="s">
        <v>384</v>
      </c>
      <c r="G42" s="92">
        <f>(C33+1/2*C34^2)*C32/365</f>
        <v>6.6780821917808222E-3</v>
      </c>
      <c r="I42" s="92"/>
    </row>
    <row r="43" spans="2:11" x14ac:dyDescent="0.35">
      <c r="G43" s="92"/>
      <c r="H43" t="s">
        <v>387</v>
      </c>
      <c r="I43" s="92">
        <f>I41-G44</f>
        <v>2.1501831715537351E-2</v>
      </c>
      <c r="J43" t="s">
        <v>389</v>
      </c>
      <c r="K43">
        <f>_xlfn.NORM.S.DIST(I43,TRUE)</f>
        <v>0.50857732884800022</v>
      </c>
    </row>
    <row r="44" spans="2:11" x14ac:dyDescent="0.35">
      <c r="F44" t="s">
        <v>385</v>
      </c>
      <c r="G44" s="92">
        <f>C34*SQRT(C32/365)</f>
        <v>7.1672772385124484E-2</v>
      </c>
    </row>
    <row r="45" spans="2:11" x14ac:dyDescent="0.35">
      <c r="G45" s="335"/>
      <c r="J45" t="s">
        <v>390</v>
      </c>
      <c r="K45">
        <f>D39*EXP(-C33*C32/365)</f>
        <v>99.589884376420429</v>
      </c>
    </row>
    <row r="46" spans="2:11" x14ac:dyDescent="0.35">
      <c r="G46" s="335"/>
    </row>
    <row r="48" spans="2:11" x14ac:dyDescent="0.35">
      <c r="H48" t="s">
        <v>403</v>
      </c>
      <c r="I48" t="s">
        <v>8</v>
      </c>
      <c r="J48" s="22">
        <f>C31*K41-K45*K43</f>
        <v>3.0626001437287442</v>
      </c>
    </row>
    <row r="49" spans="1:11" x14ac:dyDescent="0.35">
      <c r="J49" s="22"/>
    </row>
    <row r="50" spans="1:11" x14ac:dyDescent="0.35">
      <c r="H50" t="s">
        <v>404</v>
      </c>
      <c r="I50" t="s">
        <v>8</v>
      </c>
      <c r="J50" s="22">
        <f>J48+K45-C31</f>
        <v>2.6524845201491729</v>
      </c>
    </row>
    <row r="52" spans="1:11" ht="21" x14ac:dyDescent="0.4">
      <c r="A52" s="337" t="s">
        <v>230</v>
      </c>
      <c r="B52" s="333" t="s">
        <v>394</v>
      </c>
      <c r="C52" s="333"/>
      <c r="D52" s="333"/>
    </row>
    <row r="53" spans="1:11" ht="21" x14ac:dyDescent="0.4">
      <c r="B53" s="333" t="s">
        <v>395</v>
      </c>
      <c r="C53" s="333">
        <v>100</v>
      </c>
      <c r="D53" s="333"/>
    </row>
    <row r="54" spans="1:11" ht="21" x14ac:dyDescent="0.4">
      <c r="B54" s="333" t="s">
        <v>396</v>
      </c>
      <c r="C54" s="333">
        <v>30</v>
      </c>
      <c r="D54" s="333" t="s">
        <v>362</v>
      </c>
    </row>
    <row r="55" spans="1:11" ht="21" x14ac:dyDescent="0.4">
      <c r="B55" s="333" t="s">
        <v>397</v>
      </c>
      <c r="C55" s="334">
        <v>0.05</v>
      </c>
      <c r="D55" s="333" t="s">
        <v>398</v>
      </c>
    </row>
    <row r="56" spans="1:11" ht="21" x14ac:dyDescent="0.4">
      <c r="B56" s="333" t="s">
        <v>399</v>
      </c>
      <c r="C56" s="336" t="s">
        <v>405</v>
      </c>
      <c r="D56" s="333" t="s">
        <v>398</v>
      </c>
    </row>
    <row r="57" spans="1:11" ht="21" x14ac:dyDescent="0.4">
      <c r="B57" s="333" t="s">
        <v>400</v>
      </c>
      <c r="C57" s="333">
        <v>0</v>
      </c>
      <c r="D57" s="333"/>
    </row>
    <row r="59" spans="1:11" ht="21" x14ac:dyDescent="0.4">
      <c r="B59" s="333" t="s">
        <v>406</v>
      </c>
    </row>
    <row r="62" spans="1:11" x14ac:dyDescent="0.35">
      <c r="C62" t="s">
        <v>407</v>
      </c>
      <c r="D62">
        <v>100</v>
      </c>
      <c r="F62" t="s">
        <v>383</v>
      </c>
      <c r="G62" s="92">
        <f>LN(D62/D63)</f>
        <v>0</v>
      </c>
    </row>
    <row r="63" spans="1:11" x14ac:dyDescent="0.35">
      <c r="C63" t="s">
        <v>29</v>
      </c>
      <c r="D63">
        <v>100</v>
      </c>
      <c r="G63" s="92"/>
      <c r="H63" t="s">
        <v>386</v>
      </c>
      <c r="I63" s="92">
        <f>(G62+G64)/G66</f>
        <v>0.10335067027574149</v>
      </c>
      <c r="J63" t="s">
        <v>388</v>
      </c>
      <c r="K63">
        <f>_xlfn.NORM.S.DIST(I63,TRUE)</f>
        <v>0.54115766908635865</v>
      </c>
    </row>
    <row r="64" spans="1:11" x14ac:dyDescent="0.35">
      <c r="C64" t="s">
        <v>408</v>
      </c>
      <c r="D64" s="44">
        <v>0.05</v>
      </c>
      <c r="F64" t="s">
        <v>384</v>
      </c>
      <c r="G64" s="92">
        <f>(D64+1/2*D66^2)*D65/365</f>
        <v>5.5530606258772947E-3</v>
      </c>
      <c r="I64" s="92"/>
    </row>
    <row r="65" spans="1:11" x14ac:dyDescent="0.35">
      <c r="C65" t="s">
        <v>409</v>
      </c>
      <c r="D65">
        <v>30</v>
      </c>
      <c r="G65" s="92"/>
      <c r="H65" t="s">
        <v>387</v>
      </c>
      <c r="I65" s="92">
        <f>I63-G66</f>
        <v>4.9620388594339454E-2</v>
      </c>
      <c r="J65" t="s">
        <v>389</v>
      </c>
      <c r="K65">
        <f>_xlfn.NORM.S.DIST(I65,TRUE)</f>
        <v>0.51978755055224757</v>
      </c>
    </row>
    <row r="66" spans="1:11" x14ac:dyDescent="0.35">
      <c r="C66" s="48" t="s">
        <v>410</v>
      </c>
      <c r="D66" s="338">
        <v>0.18741524812480126</v>
      </c>
      <c r="F66" t="s">
        <v>385</v>
      </c>
      <c r="G66" s="92">
        <f>D66*SQRT(D65/365)</f>
        <v>5.3730281681402037E-2</v>
      </c>
    </row>
    <row r="67" spans="1:11" x14ac:dyDescent="0.35">
      <c r="G67" s="335"/>
      <c r="J67" t="s">
        <v>390</v>
      </c>
      <c r="K67">
        <f>D63*EXP(-D64*D65/365)</f>
        <v>99.589884376420429</v>
      </c>
    </row>
    <row r="68" spans="1:11" x14ac:dyDescent="0.35">
      <c r="G68" s="335"/>
    </row>
    <row r="70" spans="1:11" x14ac:dyDescent="0.35">
      <c r="H70" t="s">
        <v>403</v>
      </c>
      <c r="I70" t="s">
        <v>8</v>
      </c>
      <c r="J70" s="22">
        <f>C53*K63-K67*K65</f>
        <v>2.3501848488347363</v>
      </c>
    </row>
    <row r="72" spans="1:11" ht="21" x14ac:dyDescent="0.4">
      <c r="A72" s="337" t="s">
        <v>414</v>
      </c>
      <c r="B72" s="333" t="s">
        <v>394</v>
      </c>
      <c r="C72" s="333"/>
      <c r="D72" s="333"/>
    </row>
    <row r="73" spans="1:11" ht="21" x14ac:dyDescent="0.4">
      <c r="B73" s="333" t="s">
        <v>395</v>
      </c>
      <c r="C73" s="333">
        <v>100</v>
      </c>
      <c r="D73" s="333"/>
    </row>
    <row r="74" spans="1:11" ht="21" x14ac:dyDescent="0.4">
      <c r="B74" s="333" t="s">
        <v>396</v>
      </c>
      <c r="C74" s="333">
        <v>25</v>
      </c>
      <c r="D74" s="333" t="s">
        <v>362</v>
      </c>
    </row>
    <row r="75" spans="1:11" ht="21" x14ac:dyDescent="0.4">
      <c r="B75" s="333" t="s">
        <v>397</v>
      </c>
      <c r="C75" s="334">
        <v>0.05</v>
      </c>
      <c r="D75" s="333" t="s">
        <v>398</v>
      </c>
    </row>
    <row r="76" spans="1:11" ht="21" x14ac:dyDescent="0.4">
      <c r="B76" s="333" t="s">
        <v>399</v>
      </c>
      <c r="C76" s="336">
        <v>0.3</v>
      </c>
      <c r="D76" s="333" t="s">
        <v>398</v>
      </c>
    </row>
    <row r="77" spans="1:11" ht="21" x14ac:dyDescent="0.4">
      <c r="B77" s="333" t="s">
        <v>400</v>
      </c>
      <c r="C77" s="333">
        <v>0</v>
      </c>
      <c r="D77" s="333"/>
    </row>
    <row r="79" spans="1:11" ht="21" x14ac:dyDescent="0.4">
      <c r="B79" s="333" t="s">
        <v>411</v>
      </c>
    </row>
    <row r="80" spans="1:11" ht="21" x14ac:dyDescent="0.4">
      <c r="B80" s="333" t="s">
        <v>412</v>
      </c>
    </row>
    <row r="81" spans="2:16" ht="21" x14ac:dyDescent="0.4">
      <c r="B81" s="333" t="s">
        <v>413</v>
      </c>
    </row>
    <row r="82" spans="2:16" ht="21.6" thickBot="1" x14ac:dyDescent="0.45">
      <c r="B82" s="333"/>
    </row>
    <row r="83" spans="2:16" ht="18.600000000000001" thickBot="1" x14ac:dyDescent="0.4">
      <c r="F83" s="437" t="s">
        <v>422</v>
      </c>
      <c r="G83" s="438"/>
      <c r="H83" s="438"/>
      <c r="I83" s="438"/>
      <c r="J83" s="439"/>
      <c r="L83" s="437" t="s">
        <v>423</v>
      </c>
      <c r="M83" s="438"/>
      <c r="N83" s="438"/>
      <c r="O83" s="438"/>
      <c r="P83" s="439"/>
    </row>
    <row r="84" spans="2:16" ht="18.600000000000001" thickBot="1" x14ac:dyDescent="0.4"/>
    <row r="85" spans="2:16" ht="18.600000000000001" thickBot="1" x14ac:dyDescent="0.4">
      <c r="F85" s="450" t="s">
        <v>415</v>
      </c>
      <c r="G85" s="451"/>
      <c r="I85" s="450" t="s">
        <v>421</v>
      </c>
      <c r="J85" s="451"/>
      <c r="L85" s="450" t="s">
        <v>415</v>
      </c>
      <c r="M85" s="451"/>
      <c r="O85" s="450" t="s">
        <v>421</v>
      </c>
      <c r="P85" s="451"/>
    </row>
    <row r="87" spans="2:16" x14ac:dyDescent="0.35">
      <c r="F87" t="s">
        <v>379</v>
      </c>
      <c r="G87">
        <v>100</v>
      </c>
      <c r="I87" t="s">
        <v>379</v>
      </c>
      <c r="J87">
        <v>100</v>
      </c>
      <c r="L87" t="s">
        <v>379</v>
      </c>
      <c r="M87">
        <v>103</v>
      </c>
      <c r="O87" t="s">
        <v>379</v>
      </c>
      <c r="P87">
        <v>103</v>
      </c>
    </row>
    <row r="88" spans="2:16" x14ac:dyDescent="0.35">
      <c r="F88" t="s">
        <v>29</v>
      </c>
      <c r="G88">
        <v>95</v>
      </c>
      <c r="I88" t="s">
        <v>29</v>
      </c>
      <c r="J88">
        <v>105</v>
      </c>
      <c r="L88" t="s">
        <v>29</v>
      </c>
      <c r="M88">
        <v>95</v>
      </c>
      <c r="O88" t="s">
        <v>29</v>
      </c>
      <c r="P88">
        <v>105</v>
      </c>
    </row>
    <row r="89" spans="2:16" x14ac:dyDescent="0.35">
      <c r="F89" t="s">
        <v>408</v>
      </c>
      <c r="G89" s="44">
        <v>0.05</v>
      </c>
      <c r="I89" t="s">
        <v>408</v>
      </c>
      <c r="J89" s="44">
        <v>0.05</v>
      </c>
      <c r="L89" t="s">
        <v>408</v>
      </c>
      <c r="M89" s="44">
        <v>0.05</v>
      </c>
      <c r="O89" t="s">
        <v>408</v>
      </c>
      <c r="P89" s="44">
        <v>0.05</v>
      </c>
    </row>
    <row r="90" spans="2:16" x14ac:dyDescent="0.35">
      <c r="F90" t="s">
        <v>409</v>
      </c>
      <c r="G90">
        <v>25</v>
      </c>
      <c r="I90" t="s">
        <v>409</v>
      </c>
      <c r="J90">
        <v>25</v>
      </c>
      <c r="L90" t="s">
        <v>409</v>
      </c>
      <c r="M90">
        <v>24</v>
      </c>
      <c r="O90" t="s">
        <v>409</v>
      </c>
      <c r="P90">
        <v>24</v>
      </c>
    </row>
    <row r="91" spans="2:16" x14ac:dyDescent="0.35">
      <c r="F91" t="s">
        <v>416</v>
      </c>
      <c r="G91" s="44">
        <v>0.3</v>
      </c>
      <c r="I91" t="s">
        <v>416</v>
      </c>
      <c r="J91" s="44">
        <v>0.3</v>
      </c>
      <c r="L91" t="s">
        <v>416</v>
      </c>
      <c r="M91" s="44">
        <v>0.25</v>
      </c>
      <c r="O91" t="s">
        <v>416</v>
      </c>
      <c r="P91" s="44">
        <v>0.25</v>
      </c>
    </row>
    <row r="93" spans="2:16" x14ac:dyDescent="0.35">
      <c r="F93" t="s">
        <v>383</v>
      </c>
      <c r="G93">
        <f>LN(G87/G88)</f>
        <v>5.1293294387550481E-2</v>
      </c>
      <c r="I93" t="s">
        <v>383</v>
      </c>
      <c r="J93">
        <f>LN(J87/J88)</f>
        <v>-4.8790164169432056E-2</v>
      </c>
      <c r="L93" t="s">
        <v>383</v>
      </c>
      <c r="M93">
        <f>LN(M87/M88)</f>
        <v>8.0852096629094969E-2</v>
      </c>
      <c r="O93" t="s">
        <v>383</v>
      </c>
      <c r="P93">
        <f>LN(P87/P88)</f>
        <v>-1.9231361927887644E-2</v>
      </c>
    </row>
    <row r="94" spans="2:16" x14ac:dyDescent="0.35">
      <c r="F94" t="s">
        <v>384</v>
      </c>
      <c r="G94">
        <f>(G89+1/2*G91^2)*G90/365</f>
        <v>6.5068493150684933E-3</v>
      </c>
      <c r="I94" t="s">
        <v>384</v>
      </c>
      <c r="J94">
        <f>(J89+1/2*J91^2)*J90/365</f>
        <v>6.5068493150684933E-3</v>
      </c>
      <c r="L94" t="s">
        <v>384</v>
      </c>
      <c r="M94">
        <f>(M89+1/2*M91^2)*M90/365</f>
        <v>5.342465753424658E-3</v>
      </c>
      <c r="O94" t="s">
        <v>384</v>
      </c>
      <c r="P94">
        <f>(P89+1/2*P91^2)*P90/365</f>
        <v>5.342465753424658E-3</v>
      </c>
    </row>
    <row r="95" spans="2:16" x14ac:dyDescent="0.35">
      <c r="F95" t="s">
        <v>385</v>
      </c>
      <c r="G95">
        <f>G91*SQRT(G90/365)</f>
        <v>7.8513588388532049E-2</v>
      </c>
      <c r="I95" t="s">
        <v>385</v>
      </c>
      <c r="J95">
        <f>J91*SQRT(J90/365)</f>
        <v>7.8513588388532049E-2</v>
      </c>
      <c r="L95" t="s">
        <v>385</v>
      </c>
      <c r="M95">
        <f>M91*SQRT(M90/365)</f>
        <v>6.4106076475603235E-2</v>
      </c>
      <c r="O95" t="s">
        <v>385</v>
      </c>
      <c r="P95">
        <f>P91*SQRT(P90/365)</f>
        <v>6.4106076475603235E-2</v>
      </c>
    </row>
    <row r="97" spans="6:16" x14ac:dyDescent="0.35">
      <c r="F97" t="s">
        <v>386</v>
      </c>
      <c r="G97">
        <f>(G93+G94)/G95</f>
        <v>0.73618012994883641</v>
      </c>
      <c r="I97" t="s">
        <v>386</v>
      </c>
      <c r="J97">
        <f>(J93+J94)/J95</f>
        <v>-0.53854773068224204</v>
      </c>
      <c r="L97" t="s">
        <v>386</v>
      </c>
      <c r="M97">
        <f>(M93+M94)/M95</f>
        <v>1.3445615005829061</v>
      </c>
      <c r="O97" t="s">
        <v>386</v>
      </c>
      <c r="P97">
        <f>(P93+P94)/P95</f>
        <v>-0.21665490914498045</v>
      </c>
    </row>
    <row r="98" spans="6:16" x14ac:dyDescent="0.35">
      <c r="F98" t="s">
        <v>387</v>
      </c>
      <c r="G98">
        <f>G97-G95</f>
        <v>0.65766654156030435</v>
      </c>
      <c r="I98" t="s">
        <v>387</v>
      </c>
      <c r="J98">
        <f>J97-J95</f>
        <v>-0.61706131907077411</v>
      </c>
      <c r="L98" t="s">
        <v>387</v>
      </c>
      <c r="M98">
        <f>M97-M95</f>
        <v>1.280455424107303</v>
      </c>
      <c r="O98" t="s">
        <v>387</v>
      </c>
      <c r="P98">
        <f>P97-P95</f>
        <v>-0.28076098562058371</v>
      </c>
    </row>
    <row r="100" spans="6:16" x14ac:dyDescent="0.35">
      <c r="F100" t="s">
        <v>417</v>
      </c>
      <c r="G100">
        <f>_xlfn.NORM.S.DIST(G97,TRUE)</f>
        <v>0.76918945853191478</v>
      </c>
      <c r="I100" t="s">
        <v>417</v>
      </c>
      <c r="J100">
        <f>_xlfn.NORM.S.DIST(J97,TRUE)</f>
        <v>0.29509948105234496</v>
      </c>
      <c r="L100" t="s">
        <v>417</v>
      </c>
      <c r="M100">
        <f>_xlfn.NORM.S.DIST(M97,TRUE)</f>
        <v>0.91061655840430011</v>
      </c>
      <c r="O100" t="s">
        <v>417</v>
      </c>
      <c r="P100">
        <f>_xlfn.NORM.S.DIST(P97,TRUE)</f>
        <v>0.41423864529273757</v>
      </c>
    </row>
    <row r="101" spans="6:16" x14ac:dyDescent="0.35">
      <c r="F101" t="s">
        <v>418</v>
      </c>
      <c r="G101">
        <f>_xlfn.NORM.S.DIST(G98,TRUE)</f>
        <v>0.74462378681480301</v>
      </c>
      <c r="I101" t="s">
        <v>418</v>
      </c>
      <c r="J101">
        <f>_xlfn.NORM.S.DIST(J98,TRUE)</f>
        <v>0.26859714050030215</v>
      </c>
      <c r="L101" t="s">
        <v>418</v>
      </c>
      <c r="M101">
        <f>_xlfn.NORM.S.DIST(M98,TRUE)</f>
        <v>0.89980749386375503</v>
      </c>
      <c r="O101" t="s">
        <v>418</v>
      </c>
      <c r="P101">
        <f>_xlfn.NORM.S.DIST(P98,TRUE)</f>
        <v>0.38944686469831918</v>
      </c>
    </row>
    <row r="103" spans="6:16" x14ac:dyDescent="0.35">
      <c r="F103" t="s">
        <v>419</v>
      </c>
      <c r="G103">
        <f>G88*EXP(-G89*G90/365)</f>
        <v>94.675213992102741</v>
      </c>
      <c r="I103" t="s">
        <v>419</v>
      </c>
      <c r="J103">
        <f>J88*EXP(-J89*J90/365)</f>
        <v>104.64102599127145</v>
      </c>
      <c r="L103" t="s">
        <v>419</v>
      </c>
      <c r="M103">
        <f>M88*EXP(-M89*M90/365)</f>
        <v>94.688184087841364</v>
      </c>
      <c r="O103" t="s">
        <v>419</v>
      </c>
      <c r="P103">
        <f>P88*EXP(-P89*P90/365)</f>
        <v>104.65536136024572</v>
      </c>
    </row>
    <row r="105" spans="6:16" x14ac:dyDescent="0.35">
      <c r="F105" t="s">
        <v>420</v>
      </c>
      <c r="G105">
        <f>G87*G100-G103*G101</f>
        <v>6.4215294928901017</v>
      </c>
      <c r="I105" t="s">
        <v>420</v>
      </c>
      <c r="J105">
        <f>J87*J100-J103*J101</f>
        <v>1.4036677449611901</v>
      </c>
      <c r="L105" t="s">
        <v>420</v>
      </c>
      <c r="M105">
        <f>M87*M100-M103*M101</f>
        <v>8.5923678930524829</v>
      </c>
      <c r="O105" t="s">
        <v>420</v>
      </c>
      <c r="P105">
        <f>P87*P100-P103*P101</f>
        <v>1.9088781095346476</v>
      </c>
    </row>
    <row r="108" spans="6:16" x14ac:dyDescent="0.35">
      <c r="G108" t="s">
        <v>424</v>
      </c>
      <c r="I108">
        <f>M105-G105</f>
        <v>2.1708384001623813</v>
      </c>
    </row>
    <row r="109" spans="6:16" x14ac:dyDescent="0.35">
      <c r="G109" t="s">
        <v>425</v>
      </c>
      <c r="I109" s="47">
        <f>J105-P105</f>
        <v>-0.50521036457345758</v>
      </c>
    </row>
    <row r="111" spans="6:16" x14ac:dyDescent="0.35">
      <c r="G111" t="s">
        <v>426</v>
      </c>
      <c r="I111">
        <f>I108+I109</f>
        <v>1.6656280355889237</v>
      </c>
    </row>
    <row r="113" spans="7:9" x14ac:dyDescent="0.35">
      <c r="G113" t="s">
        <v>427</v>
      </c>
      <c r="I113">
        <f>105*20%+G105-J105</f>
        <v>26.017861747928912</v>
      </c>
    </row>
    <row r="115" spans="7:9" x14ac:dyDescent="0.35">
      <c r="G115" s="48" t="s">
        <v>428</v>
      </c>
      <c r="H115" s="48"/>
      <c r="I115" s="339">
        <f>I111/I113</f>
        <v>6.4018636570759388E-2</v>
      </c>
    </row>
  </sheetData>
  <mergeCells count="7">
    <mergeCell ref="C25:E25"/>
    <mergeCell ref="F85:G85"/>
    <mergeCell ref="I85:J85"/>
    <mergeCell ref="F83:J83"/>
    <mergeCell ref="L83:P83"/>
    <mergeCell ref="L85:M85"/>
    <mergeCell ref="O85:P8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322E-20B1-4E91-9860-E0F6EBC5430F}">
  <dimension ref="B3:N24"/>
  <sheetViews>
    <sheetView topLeftCell="A29" zoomScale="137" zoomScaleNormal="137" workbookViewId="0">
      <selection activeCell="G27" sqref="G27"/>
    </sheetView>
  </sheetViews>
  <sheetFormatPr defaultRowHeight="14.4" x14ac:dyDescent="0.3"/>
  <sheetData>
    <row r="3" spans="2:13" x14ac:dyDescent="0.3">
      <c r="C3" t="s">
        <v>429</v>
      </c>
    </row>
    <row r="5" spans="2:13" x14ac:dyDescent="0.3">
      <c r="B5" s="42" t="s">
        <v>431</v>
      </c>
      <c r="C5" t="s">
        <v>430</v>
      </c>
    </row>
    <row r="7" spans="2:13" x14ac:dyDescent="0.3">
      <c r="B7" s="340" t="s">
        <v>432</v>
      </c>
      <c r="C7" s="19" t="s">
        <v>433</v>
      </c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2:13" x14ac:dyDescent="0.3">
      <c r="B8" s="19"/>
      <c r="C8" s="19" t="s">
        <v>434</v>
      </c>
      <c r="D8" s="19"/>
      <c r="E8" s="19"/>
      <c r="F8" s="19"/>
      <c r="G8" s="19"/>
      <c r="H8" s="19"/>
      <c r="I8" s="19"/>
      <c r="J8" s="19"/>
      <c r="K8" s="19"/>
      <c r="L8" s="19"/>
      <c r="M8" s="19"/>
    </row>
    <row r="11" spans="2:13" x14ac:dyDescent="0.3">
      <c r="D11" s="48"/>
      <c r="E11" s="48" t="s">
        <v>435</v>
      </c>
      <c r="F11" s="48" t="s">
        <v>436</v>
      </c>
      <c r="G11" s="48"/>
      <c r="H11" s="48"/>
    </row>
    <row r="14" spans="2:13" s="20" customFormat="1" x14ac:dyDescent="0.3">
      <c r="E14" s="20" t="s">
        <v>437</v>
      </c>
      <c r="F14" s="20" t="s">
        <v>438</v>
      </c>
      <c r="G14" s="52" t="s">
        <v>439</v>
      </c>
    </row>
    <row r="15" spans="2:13" s="20" customFormat="1" x14ac:dyDescent="0.3">
      <c r="G15" s="342" t="s">
        <v>222</v>
      </c>
    </row>
    <row r="17" spans="5:14" x14ac:dyDescent="0.3">
      <c r="E17" s="20" t="s">
        <v>82</v>
      </c>
      <c r="F17" s="20" t="s">
        <v>440</v>
      </c>
      <c r="G17" s="20" t="s">
        <v>8</v>
      </c>
      <c r="H17" s="20" t="s">
        <v>439</v>
      </c>
    </row>
    <row r="19" spans="5:14" ht="15" thickBot="1" x14ac:dyDescent="0.35"/>
    <row r="20" spans="5:14" x14ac:dyDescent="0.3">
      <c r="E20" s="238"/>
      <c r="F20" s="239"/>
      <c r="G20" s="239"/>
      <c r="H20" s="239"/>
      <c r="I20" s="239"/>
      <c r="J20" s="239"/>
      <c r="K20" s="239"/>
      <c r="L20" s="239"/>
      <c r="M20" s="239"/>
      <c r="N20" s="240"/>
    </row>
    <row r="21" spans="5:14" x14ac:dyDescent="0.3">
      <c r="E21" s="241"/>
      <c r="F21" s="184" t="s">
        <v>441</v>
      </c>
      <c r="G21" s="184"/>
      <c r="H21" s="184" t="s">
        <v>442</v>
      </c>
      <c r="I21" s="184"/>
      <c r="J21" s="184"/>
      <c r="K21" s="184"/>
      <c r="L21" s="184"/>
      <c r="M21" s="184"/>
      <c r="N21" s="246"/>
    </row>
    <row r="22" spans="5:14" x14ac:dyDescent="0.3">
      <c r="E22" s="241"/>
      <c r="F22" s="184"/>
      <c r="G22" s="184"/>
      <c r="H22" s="184"/>
      <c r="I22" s="184"/>
      <c r="J22" s="184"/>
      <c r="K22" s="184"/>
      <c r="L22" s="184"/>
      <c r="M22" s="184"/>
      <c r="N22" s="246"/>
    </row>
    <row r="23" spans="5:14" x14ac:dyDescent="0.3">
      <c r="E23" s="241"/>
      <c r="F23" s="184" t="s">
        <v>443</v>
      </c>
      <c r="G23" s="184"/>
      <c r="H23" s="184" t="s">
        <v>444</v>
      </c>
      <c r="I23" s="184"/>
      <c r="J23" s="184"/>
      <c r="K23" s="184"/>
      <c r="L23" s="184"/>
      <c r="M23" s="184"/>
      <c r="N23" s="246"/>
    </row>
    <row r="24" spans="5:14" ht="15" thickBot="1" x14ac:dyDescent="0.35">
      <c r="E24" s="247"/>
      <c r="F24" s="343"/>
      <c r="G24" s="343"/>
      <c r="H24" s="343"/>
      <c r="I24" s="343"/>
      <c r="J24" s="343"/>
      <c r="K24" s="343"/>
      <c r="L24" s="343"/>
      <c r="M24" s="343"/>
      <c r="N24" s="34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B8A2-E9A8-4215-9817-1008687A85FC}">
  <dimension ref="B3:R60"/>
  <sheetViews>
    <sheetView topLeftCell="C40" zoomScale="137" zoomScaleNormal="137" workbookViewId="0">
      <selection activeCell="L66" sqref="L66"/>
    </sheetView>
  </sheetViews>
  <sheetFormatPr defaultRowHeight="14.4" x14ac:dyDescent="0.3"/>
  <cols>
    <col min="2" max="2" width="3.33203125" bestFit="1" customWidth="1"/>
    <col min="14" max="14" width="9.33203125" bestFit="1" customWidth="1"/>
    <col min="15" max="18" width="9" bestFit="1" customWidth="1"/>
  </cols>
  <sheetData>
    <row r="3" spans="2:12" x14ac:dyDescent="0.3">
      <c r="B3" s="42" t="s">
        <v>191</v>
      </c>
      <c r="C3" t="s">
        <v>445</v>
      </c>
    </row>
    <row r="4" spans="2:12" x14ac:dyDescent="0.3">
      <c r="B4" s="42"/>
    </row>
    <row r="5" spans="2:12" x14ac:dyDescent="0.3">
      <c r="B5" s="42"/>
      <c r="E5" t="s">
        <v>446</v>
      </c>
      <c r="F5" s="22">
        <f>_xlfn.NORM.S.INV(99.75%)</f>
        <v>2.8070337683438114</v>
      </c>
      <c r="I5" t="s">
        <v>447</v>
      </c>
      <c r="L5" s="84">
        <f>F5*F6</f>
        <v>0.70175844208595284</v>
      </c>
    </row>
    <row r="6" spans="2:12" x14ac:dyDescent="0.3">
      <c r="B6" s="42"/>
      <c r="E6" s="341" t="s">
        <v>222</v>
      </c>
      <c r="F6" s="44">
        <v>0.25</v>
      </c>
      <c r="I6" t="s">
        <v>448</v>
      </c>
      <c r="L6" s="84">
        <f>L5*SQRT(10/252)</f>
        <v>0.139793627803844</v>
      </c>
    </row>
    <row r="7" spans="2:12" x14ac:dyDescent="0.3">
      <c r="B7" s="42"/>
      <c r="I7" s="48" t="s">
        <v>449</v>
      </c>
      <c r="J7" s="48"/>
      <c r="K7" s="48"/>
      <c r="L7" s="345">
        <f>100*L6</f>
        <v>13.979362780384399</v>
      </c>
    </row>
    <row r="8" spans="2:12" x14ac:dyDescent="0.3">
      <c r="B8" s="42"/>
    </row>
    <row r="9" spans="2:12" x14ac:dyDescent="0.3">
      <c r="B9" s="42" t="s">
        <v>211</v>
      </c>
      <c r="C9" t="s">
        <v>450</v>
      </c>
    </row>
    <row r="10" spans="2:12" x14ac:dyDescent="0.3">
      <c r="B10" s="42"/>
    </row>
    <row r="11" spans="2:12" x14ac:dyDescent="0.3">
      <c r="I11" t="s">
        <v>447</v>
      </c>
      <c r="L11" s="84">
        <f>F12*F13</f>
        <v>0.31749015732775077</v>
      </c>
    </row>
    <row r="12" spans="2:12" x14ac:dyDescent="0.3">
      <c r="E12" t="s">
        <v>446</v>
      </c>
      <c r="F12" s="22">
        <f>_xlfn.NORM.S.INV(95%)</f>
        <v>1.6448536269514715</v>
      </c>
      <c r="I12" t="s">
        <v>451</v>
      </c>
      <c r="L12" s="84">
        <f>L11*SQRT(1/252)</f>
        <v>1.9999999999999993E-2</v>
      </c>
    </row>
    <row r="13" spans="2:12" x14ac:dyDescent="0.3">
      <c r="E13" s="90" t="s">
        <v>222</v>
      </c>
      <c r="F13" s="346">
        <v>0.1930203102121486</v>
      </c>
      <c r="I13" s="48" t="s">
        <v>452</v>
      </c>
      <c r="J13" s="48"/>
      <c r="K13" s="48"/>
      <c r="L13" s="345">
        <f>100*L12</f>
        <v>1.9999999999999993</v>
      </c>
    </row>
    <row r="17" spans="2:16" x14ac:dyDescent="0.3">
      <c r="B17" s="42" t="s">
        <v>230</v>
      </c>
      <c r="C17" t="s">
        <v>453</v>
      </c>
    </row>
    <row r="18" spans="2:16" x14ac:dyDescent="0.3">
      <c r="D18" t="s">
        <v>454</v>
      </c>
      <c r="E18" s="25" t="s">
        <v>60</v>
      </c>
      <c r="F18" s="25" t="s">
        <v>131</v>
      </c>
      <c r="G18" s="25" t="s">
        <v>455</v>
      </c>
      <c r="H18" s="25" t="s">
        <v>456</v>
      </c>
      <c r="I18" s="25" t="s">
        <v>457</v>
      </c>
      <c r="J18" s="25"/>
    </row>
    <row r="19" spans="2:16" ht="15" thickBot="1" x14ac:dyDescent="0.35">
      <c r="C19" t="s">
        <v>458</v>
      </c>
    </row>
    <row r="20" spans="2:16" x14ac:dyDescent="0.3">
      <c r="C20" t="s">
        <v>84</v>
      </c>
      <c r="D20" s="25">
        <v>0</v>
      </c>
      <c r="E20" s="347">
        <v>100</v>
      </c>
      <c r="F20" s="348">
        <v>100</v>
      </c>
      <c r="G20" s="348">
        <v>100</v>
      </c>
      <c r="H20" s="348">
        <v>100</v>
      </c>
      <c r="I20" s="349">
        <v>100</v>
      </c>
      <c r="J20" s="292"/>
    </row>
    <row r="21" spans="2:16" x14ac:dyDescent="0.3">
      <c r="D21" s="25">
        <v>1</v>
      </c>
      <c r="E21" s="350">
        <f>E20*1.12</f>
        <v>112.00000000000001</v>
      </c>
      <c r="F21" s="351">
        <f>1.21*F20</f>
        <v>121</v>
      </c>
      <c r="G21" s="351">
        <f>1.125*G20</f>
        <v>112.5</v>
      </c>
      <c r="H21" s="351">
        <f>1.31*H20</f>
        <v>131</v>
      </c>
      <c r="I21" s="352">
        <f>1.12*I20</f>
        <v>112.00000000000001</v>
      </c>
      <c r="J21" s="292"/>
    </row>
    <row r="22" spans="2:16" x14ac:dyDescent="0.3">
      <c r="D22" s="25">
        <v>2</v>
      </c>
      <c r="E22" s="350">
        <f>E21*1.08</f>
        <v>120.96000000000002</v>
      </c>
      <c r="F22" s="351">
        <f>1.15*F21</f>
        <v>139.14999999999998</v>
      </c>
      <c r="G22" s="351">
        <f>1.25*G21</f>
        <v>140.625</v>
      </c>
      <c r="H22" s="351">
        <f>1.25*H21</f>
        <v>163.75</v>
      </c>
      <c r="I22" s="352">
        <f>1.13*I21</f>
        <v>126.56</v>
      </c>
      <c r="J22" s="292"/>
    </row>
    <row r="23" spans="2:16" x14ac:dyDescent="0.3">
      <c r="D23" s="25">
        <v>3</v>
      </c>
      <c r="E23" s="350">
        <f>E22*1.76</f>
        <v>212.88960000000003</v>
      </c>
      <c r="F23" s="351">
        <f>F22*1.16</f>
        <v>161.41399999999996</v>
      </c>
      <c r="G23" s="351">
        <f>0.95*G22</f>
        <v>133.59375</v>
      </c>
      <c r="H23" s="351">
        <f>0.81*H22</f>
        <v>132.63750000000002</v>
      </c>
      <c r="I23" s="352">
        <f>I22*1.11</f>
        <v>140.48160000000001</v>
      </c>
      <c r="J23" s="292"/>
    </row>
    <row r="24" spans="2:16" x14ac:dyDescent="0.3">
      <c r="D24" s="25">
        <v>4</v>
      </c>
      <c r="E24" s="350">
        <f>E23*1.09</f>
        <v>232.04966400000004</v>
      </c>
      <c r="F24" s="351">
        <f>1.29*F23</f>
        <v>208.22405999999995</v>
      </c>
      <c r="G24" s="351">
        <f>1.32*G23</f>
        <v>176.34375</v>
      </c>
      <c r="H24" s="351">
        <f>1.01*H23</f>
        <v>133.96387500000003</v>
      </c>
      <c r="I24" s="352">
        <f>1.15*I23</f>
        <v>161.55384000000001</v>
      </c>
      <c r="J24" s="292"/>
    </row>
    <row r="25" spans="2:16" ht="15" thickBot="1" x14ac:dyDescent="0.35">
      <c r="C25" t="s">
        <v>459</v>
      </c>
      <c r="D25" s="25">
        <v>5</v>
      </c>
      <c r="E25" s="353">
        <f>E24*1.101</f>
        <v>255.48668006400004</v>
      </c>
      <c r="F25" s="354">
        <f>1.09*F24</f>
        <v>226.96422539999998</v>
      </c>
      <c r="G25" s="354">
        <f>1.07*G24</f>
        <v>188.68781250000001</v>
      </c>
      <c r="H25" s="354">
        <f>1.07*H24</f>
        <v>143.34134625000004</v>
      </c>
      <c r="I25" s="355">
        <f>1.14*I24</f>
        <v>184.1713776</v>
      </c>
      <c r="J25" s="292"/>
    </row>
    <row r="27" spans="2:16" x14ac:dyDescent="0.3">
      <c r="C27" s="19" t="s">
        <v>460</v>
      </c>
      <c r="D27" s="19"/>
      <c r="E27" s="19"/>
      <c r="F27" s="19"/>
    </row>
    <row r="29" spans="2:16" x14ac:dyDescent="0.3">
      <c r="D29" t="s">
        <v>454</v>
      </c>
      <c r="E29" s="25" t="s">
        <v>60</v>
      </c>
      <c r="F29" s="25" t="s">
        <v>131</v>
      </c>
      <c r="G29" s="25" t="s">
        <v>455</v>
      </c>
      <c r="H29" s="25" t="s">
        <v>456</v>
      </c>
      <c r="I29" s="25" t="s">
        <v>457</v>
      </c>
      <c r="J29" s="25"/>
    </row>
    <row r="30" spans="2:16" ht="15" thickBot="1" x14ac:dyDescent="0.35"/>
    <row r="31" spans="2:16" x14ac:dyDescent="0.3">
      <c r="D31" s="25">
        <v>0</v>
      </c>
      <c r="E31" s="347">
        <v>100</v>
      </c>
      <c r="F31" s="348">
        <v>100</v>
      </c>
      <c r="G31" s="348">
        <v>100</v>
      </c>
      <c r="H31" s="348">
        <v>100</v>
      </c>
      <c r="I31" s="349">
        <v>100</v>
      </c>
      <c r="J31" s="292"/>
      <c r="K31" s="25"/>
      <c r="L31" s="25" t="s">
        <v>60</v>
      </c>
      <c r="M31" s="25" t="s">
        <v>131</v>
      </c>
      <c r="N31" s="25" t="s">
        <v>455</v>
      </c>
      <c r="O31" s="25" t="s">
        <v>456</v>
      </c>
      <c r="P31" s="25" t="s">
        <v>457</v>
      </c>
    </row>
    <row r="32" spans="2:16" x14ac:dyDescent="0.3">
      <c r="D32" s="25">
        <v>1</v>
      </c>
      <c r="E32" s="350">
        <f>E31*1.12</f>
        <v>112.00000000000001</v>
      </c>
      <c r="F32" s="351">
        <f>1.21*F31</f>
        <v>121</v>
      </c>
      <c r="G32" s="351">
        <f>1.125*G31</f>
        <v>112.5</v>
      </c>
      <c r="H32" s="351">
        <f>1.31*H31</f>
        <v>131</v>
      </c>
      <c r="I32" s="352">
        <f>1.12*I31</f>
        <v>112.00000000000001</v>
      </c>
      <c r="J32" s="292"/>
      <c r="K32" s="25">
        <v>1</v>
      </c>
      <c r="L32" s="84">
        <f>LN(E32/E31)</f>
        <v>0.11332868530700327</v>
      </c>
      <c r="M32" s="84">
        <f t="shared" ref="M32:P32" si="0">LN(F32/F31)</f>
        <v>0.1906203596086497</v>
      </c>
      <c r="N32" s="84">
        <f t="shared" si="0"/>
        <v>0.11778303565638346</v>
      </c>
      <c r="O32" s="84">
        <f t="shared" si="0"/>
        <v>0.27002713721306021</v>
      </c>
      <c r="P32" s="84">
        <f t="shared" si="0"/>
        <v>0.11332868530700327</v>
      </c>
    </row>
    <row r="33" spans="4:18" x14ac:dyDescent="0.3">
      <c r="D33" s="25">
        <v>2</v>
      </c>
      <c r="E33" s="350">
        <f>E32*1.08</f>
        <v>120.96000000000002</v>
      </c>
      <c r="F33" s="351">
        <f>1.15*F32</f>
        <v>139.14999999999998</v>
      </c>
      <c r="G33" s="351">
        <f>1.25*G32</f>
        <v>140.625</v>
      </c>
      <c r="H33" s="351">
        <f>1.25*H32</f>
        <v>163.75</v>
      </c>
      <c r="I33" s="352">
        <f>1.13*I32</f>
        <v>126.56</v>
      </c>
      <c r="J33" s="292"/>
      <c r="K33" s="25">
        <v>2</v>
      </c>
      <c r="L33" s="84">
        <f t="shared" ref="L33:L36" si="1">LN(E33/E32)</f>
        <v>7.6961041136128394E-2</v>
      </c>
      <c r="M33" s="84">
        <f t="shared" ref="M33:M36" si="2">LN(F33/F32)</f>
        <v>0.13976194237515863</v>
      </c>
      <c r="N33" s="84">
        <f t="shared" ref="N33:N36" si="3">LN(G33/G32)</f>
        <v>0.22314355131420976</v>
      </c>
      <c r="O33" s="84">
        <f t="shared" ref="O33:O36" si="4">LN(H33/H32)</f>
        <v>0.22314355131420976</v>
      </c>
      <c r="P33" s="84">
        <f t="shared" ref="P33:P36" si="5">LN(I33/I32)</f>
        <v>0.12221763272424911</v>
      </c>
    </row>
    <row r="34" spans="4:18" x14ac:dyDescent="0.3">
      <c r="D34" s="25">
        <v>3</v>
      </c>
      <c r="E34" s="350">
        <f>E33*1.76</f>
        <v>212.88960000000003</v>
      </c>
      <c r="F34" s="351">
        <f>F33*1.16</f>
        <v>161.41399999999996</v>
      </c>
      <c r="G34" s="351">
        <f>0.95*G33</f>
        <v>133.59375</v>
      </c>
      <c r="H34" s="351">
        <f>0.81*H33</f>
        <v>132.63750000000002</v>
      </c>
      <c r="I34" s="352">
        <f>I33*1.11</f>
        <v>140.48160000000001</v>
      </c>
      <c r="J34" s="292"/>
      <c r="K34" s="25">
        <v>3</v>
      </c>
      <c r="L34" s="84">
        <f t="shared" si="1"/>
        <v>0.56531380905006046</v>
      </c>
      <c r="M34" s="84">
        <f t="shared" si="2"/>
        <v>0.14842000511827322</v>
      </c>
      <c r="N34" s="84">
        <f t="shared" si="3"/>
        <v>-5.1293294387550578E-2</v>
      </c>
      <c r="O34" s="84">
        <f t="shared" si="4"/>
        <v>-0.21072103131565253</v>
      </c>
      <c r="P34" s="84">
        <f t="shared" si="5"/>
        <v>0.10436001532424286</v>
      </c>
    </row>
    <row r="35" spans="4:18" x14ac:dyDescent="0.3">
      <c r="D35" s="25">
        <v>4</v>
      </c>
      <c r="E35" s="350">
        <f>E34*1.09</f>
        <v>232.04966400000004</v>
      </c>
      <c r="F35" s="351">
        <f>1.29*F34</f>
        <v>208.22405999999995</v>
      </c>
      <c r="G35" s="351">
        <f>1.32*G34</f>
        <v>176.34375</v>
      </c>
      <c r="H35" s="351">
        <f>1.01*H34</f>
        <v>133.96387500000003</v>
      </c>
      <c r="I35" s="352">
        <f>1.15*I34</f>
        <v>161.55384000000001</v>
      </c>
      <c r="J35" s="292"/>
      <c r="K35" s="25">
        <v>4</v>
      </c>
      <c r="L35" s="84">
        <f t="shared" si="1"/>
        <v>8.6177696241052412E-2</v>
      </c>
      <c r="M35" s="84">
        <f t="shared" si="2"/>
        <v>0.25464221837358075</v>
      </c>
      <c r="N35" s="84">
        <f t="shared" si="3"/>
        <v>0.27763173659827955</v>
      </c>
      <c r="O35" s="84">
        <f t="shared" si="4"/>
        <v>9.950330853168092E-3</v>
      </c>
      <c r="P35" s="84">
        <f t="shared" si="5"/>
        <v>0.13976194237515863</v>
      </c>
    </row>
    <row r="36" spans="4:18" ht="15" thickBot="1" x14ac:dyDescent="0.35">
      <c r="D36" s="25">
        <v>5</v>
      </c>
      <c r="E36" s="353">
        <f>E35*1.101</f>
        <v>255.48668006400004</v>
      </c>
      <c r="F36" s="354">
        <f>1.09*F35</f>
        <v>226.96422539999998</v>
      </c>
      <c r="G36" s="354">
        <f>1.07*G35</f>
        <v>188.68781250000001</v>
      </c>
      <c r="H36" s="354">
        <f>1.07*H35</f>
        <v>143.34134625000004</v>
      </c>
      <c r="I36" s="355">
        <f>1.14*I35</f>
        <v>184.1713776</v>
      </c>
      <c r="J36" s="292"/>
      <c r="K36" s="25">
        <v>5</v>
      </c>
      <c r="L36" s="84">
        <f t="shared" si="1"/>
        <v>9.6218857740542896E-2</v>
      </c>
      <c r="M36" s="84">
        <f t="shared" si="2"/>
        <v>8.6177696241052412E-2</v>
      </c>
      <c r="N36" s="84">
        <f t="shared" si="3"/>
        <v>6.7658648473814864E-2</v>
      </c>
      <c r="O36" s="84">
        <f t="shared" si="4"/>
        <v>6.7658648473814864E-2</v>
      </c>
      <c r="P36" s="84">
        <f t="shared" si="5"/>
        <v>0.131028262406404</v>
      </c>
    </row>
    <row r="38" spans="4:18" x14ac:dyDescent="0.3">
      <c r="K38" t="s">
        <v>461</v>
      </c>
      <c r="L38" s="86">
        <f>AVERAGE(L32:L36)</f>
        <v>0.1876000178949575</v>
      </c>
      <c r="M38" s="86">
        <f t="shared" ref="M38:P38" si="6">AVERAGE(M32:M36)</f>
        <v>0.16392444434334294</v>
      </c>
      <c r="N38" s="86">
        <f t="shared" si="6"/>
        <v>0.1269847355310274</v>
      </c>
      <c r="O38" s="86">
        <f t="shared" si="6"/>
        <v>7.2011727307720069E-2</v>
      </c>
      <c r="P38" s="86">
        <f t="shared" si="6"/>
        <v>0.12213930762741157</v>
      </c>
    </row>
    <row r="40" spans="4:18" x14ac:dyDescent="0.3">
      <c r="N40" s="20">
        <v>0.2</v>
      </c>
      <c r="O40" s="20">
        <v>0.2</v>
      </c>
      <c r="P40" s="20">
        <v>0.2</v>
      </c>
      <c r="Q40" s="20">
        <v>0.2</v>
      </c>
      <c r="R40" s="20">
        <v>0.2</v>
      </c>
    </row>
    <row r="41" spans="4:18" x14ac:dyDescent="0.3">
      <c r="E41" s="25"/>
      <c r="F41" s="25" t="s">
        <v>60</v>
      </c>
      <c r="G41" s="25" t="s">
        <v>131</v>
      </c>
      <c r="H41" s="25" t="s">
        <v>455</v>
      </c>
      <c r="I41" s="25" t="s">
        <v>456</v>
      </c>
      <c r="J41" s="25" t="s">
        <v>457</v>
      </c>
      <c r="M41" s="25"/>
      <c r="N41" s="25" t="s">
        <v>60</v>
      </c>
      <c r="O41" s="25" t="s">
        <v>131</v>
      </c>
      <c r="P41" s="25" t="s">
        <v>455</v>
      </c>
      <c r="Q41" s="25" t="s">
        <v>456</v>
      </c>
      <c r="R41" s="25" t="s">
        <v>457</v>
      </c>
    </row>
    <row r="42" spans="4:18" x14ac:dyDescent="0.3">
      <c r="E42" s="25">
        <v>1</v>
      </c>
      <c r="F42" s="84">
        <f>L32-L$38</f>
        <v>-7.4271332587954236E-2</v>
      </c>
      <c r="G42" s="84">
        <f t="shared" ref="G42:J42" si="7">M32-M$38</f>
        <v>2.6695915265306763E-2</v>
      </c>
      <c r="H42" s="84">
        <f t="shared" si="7"/>
        <v>-9.2016998746439482E-3</v>
      </c>
      <c r="I42" s="84">
        <f t="shared" si="7"/>
        <v>0.19801540990534014</v>
      </c>
      <c r="J42" s="84">
        <f t="shared" si="7"/>
        <v>-8.8106223204083012E-3</v>
      </c>
      <c r="L42" s="20">
        <v>0.2</v>
      </c>
      <c r="M42" s="25">
        <v>1</v>
      </c>
      <c r="N42" s="335" cm="1">
        <f t="array" ref="N42:R46">MMULT(TRANSPOSE(F42:J46),F42:J46)/4</f>
        <v>4.4765481453056734E-2</v>
      </c>
      <c r="O42" s="335">
        <v>-1.8154716111880057E-3</v>
      </c>
      <c r="P42" s="335">
        <v>-2.1787810742191487E-2</v>
      </c>
      <c r="Q42" s="335">
        <v>-3.2881950141544443E-2</v>
      </c>
      <c r="R42" s="335">
        <v>-2.1673461444567709E-3</v>
      </c>
    </row>
    <row r="43" spans="4:18" x14ac:dyDescent="0.3">
      <c r="E43" s="25">
        <v>2</v>
      </c>
      <c r="F43" s="84">
        <f t="shared" ref="F43:F46" si="8">L33-L$38</f>
        <v>-0.11063897675882911</v>
      </c>
      <c r="G43" s="84">
        <f t="shared" ref="G43:G46" si="9">M33-M$38</f>
        <v>-2.4162501968184313E-2</v>
      </c>
      <c r="H43" s="84">
        <f t="shared" ref="H43:H46" si="10">N33-N$38</f>
        <v>9.6158815783182361E-2</v>
      </c>
      <c r="I43" s="84">
        <f t="shared" ref="I43:I46" si="11">O33-O$38</f>
        <v>0.1511318240064897</v>
      </c>
      <c r="J43" s="84">
        <f t="shared" ref="J43:J46" si="12">P33-P$38</f>
        <v>7.8325096837542074E-5</v>
      </c>
      <c r="L43" s="20">
        <v>0.2</v>
      </c>
      <c r="M43" s="25">
        <v>2</v>
      </c>
      <c r="N43" s="335">
        <v>-1.8154716111880057E-3</v>
      </c>
      <c r="O43" s="335">
        <v>3.9527893485952845E-3</v>
      </c>
      <c r="P43" s="335">
        <v>4.6184466129379244E-3</v>
      </c>
      <c r="Q43" s="335">
        <v>1.8161461651555841E-4</v>
      </c>
      <c r="R43" s="335">
        <v>2.3653916713526295E-4</v>
      </c>
    </row>
    <row r="44" spans="4:18" x14ac:dyDescent="0.3">
      <c r="E44" s="25">
        <v>3</v>
      </c>
      <c r="F44" s="84">
        <f t="shared" si="8"/>
        <v>0.37771379115510295</v>
      </c>
      <c r="G44" s="84">
        <f t="shared" si="9"/>
        <v>-1.5504439225069722E-2</v>
      </c>
      <c r="H44" s="84">
        <f t="shared" si="10"/>
        <v>-0.178278029918578</v>
      </c>
      <c r="I44" s="84">
        <f t="shared" si="11"/>
        <v>-0.2827327586233726</v>
      </c>
      <c r="J44" s="84">
        <f t="shared" si="12"/>
        <v>-1.7779292303168714E-2</v>
      </c>
      <c r="L44" s="20">
        <v>0.2</v>
      </c>
      <c r="M44" s="25">
        <v>3</v>
      </c>
      <c r="N44" s="335">
        <v>-2.1787810742191487E-2</v>
      </c>
      <c r="O44" s="335">
        <v>4.6184466129379244E-3</v>
      </c>
      <c r="P44" s="335">
        <v>1.6832087155283261E-2</v>
      </c>
      <c r="Q44" s="335">
        <v>1.3506126481968918E-2</v>
      </c>
      <c r="R44" s="335">
        <v>1.3464279316500521E-3</v>
      </c>
    </row>
    <row r="45" spans="4:18" x14ac:dyDescent="0.3">
      <c r="E45" s="25">
        <v>4</v>
      </c>
      <c r="F45" s="84">
        <f t="shared" si="8"/>
        <v>-0.10142232165390509</v>
      </c>
      <c r="G45" s="84">
        <f t="shared" si="9"/>
        <v>9.0717774030237813E-2</v>
      </c>
      <c r="H45" s="84">
        <f t="shared" si="10"/>
        <v>0.15064700106725215</v>
      </c>
      <c r="I45" s="84">
        <f t="shared" si="11"/>
        <v>-6.2061396454551977E-2</v>
      </c>
      <c r="J45" s="84">
        <f t="shared" si="12"/>
        <v>1.7622634747747057E-2</v>
      </c>
      <c r="L45" s="20">
        <v>0.2</v>
      </c>
      <c r="M45" s="25">
        <v>4</v>
      </c>
      <c r="N45" s="335">
        <v>-3.2881950141544443E-2</v>
      </c>
      <c r="O45" s="335">
        <v>1.8161461651555841E-4</v>
      </c>
      <c r="P45" s="335">
        <v>1.3506126481968918E-2</v>
      </c>
      <c r="Q45" s="335">
        <v>3.6464827452878497E-2</v>
      </c>
      <c r="R45" s="335">
        <v>5.4040178528556859E-4</v>
      </c>
    </row>
    <row r="46" spans="4:18" x14ac:dyDescent="0.3">
      <c r="E46" s="25">
        <v>5</v>
      </c>
      <c r="F46" s="84">
        <f t="shared" si="8"/>
        <v>-9.1381160154414609E-2</v>
      </c>
      <c r="G46" s="84">
        <f t="shared" si="9"/>
        <v>-7.7746748102290528E-2</v>
      </c>
      <c r="H46" s="84">
        <f t="shared" si="10"/>
        <v>-5.932608705721254E-2</v>
      </c>
      <c r="I46" s="84">
        <f t="shared" si="11"/>
        <v>-4.3530788339052051E-3</v>
      </c>
      <c r="J46" s="84">
        <f t="shared" si="12"/>
        <v>8.8889547789924306E-3</v>
      </c>
      <c r="L46" s="20">
        <v>0.2</v>
      </c>
      <c r="M46" s="25">
        <v>5</v>
      </c>
      <c r="N46" s="335">
        <v>-2.1673461444567709E-3</v>
      </c>
      <c r="O46" s="335">
        <v>2.3653916713526295E-4</v>
      </c>
      <c r="P46" s="335">
        <v>1.3464279316500521E-3</v>
      </c>
      <c r="Q46" s="335">
        <v>5.4040178528556859E-4</v>
      </c>
      <c r="R46" s="335">
        <v>1.9582680195266505E-4</v>
      </c>
    </row>
    <row r="48" spans="4:18" x14ac:dyDescent="0.3">
      <c r="M48" t="s">
        <v>340</v>
      </c>
      <c r="N48" s="92">
        <f>SUMPRODUCT($L$42:$L$46,N42:N46)</f>
        <v>-2.7774194372647953E-3</v>
      </c>
      <c r="O48" s="92">
        <f t="shared" ref="O48:R48" si="13">SUMPRODUCT($L$42:$L$46,O42:O46)</f>
        <v>1.4347836267992048E-3</v>
      </c>
      <c r="P48" s="92">
        <f t="shared" si="13"/>
        <v>2.9030554879297334E-3</v>
      </c>
      <c r="Q48" s="92">
        <f t="shared" si="13"/>
        <v>3.5622040390208211E-3</v>
      </c>
      <c r="R48" s="92">
        <f t="shared" si="13"/>
        <v>3.0369908313355587E-5</v>
      </c>
    </row>
    <row r="50" spans="15:18" x14ac:dyDescent="0.3">
      <c r="O50" t="s">
        <v>342</v>
      </c>
      <c r="R50">
        <f>SUMPRODUCT(N40:R40,N48:R48)</f>
        <v>1.0305987249596639E-3</v>
      </c>
    </row>
    <row r="52" spans="15:18" ht="19.8" x14ac:dyDescent="0.4">
      <c r="O52" t="s">
        <v>270</v>
      </c>
      <c r="R52" s="84">
        <f>SQRT(R50)</f>
        <v>3.2102939506525936E-2</v>
      </c>
    </row>
    <row r="54" spans="15:18" x14ac:dyDescent="0.3">
      <c r="O54" t="s">
        <v>462</v>
      </c>
      <c r="R54" s="22">
        <f>_xlfn.NORM.S.INV(99.5%)</f>
        <v>2.5758293035488999</v>
      </c>
    </row>
    <row r="56" spans="15:18" x14ac:dyDescent="0.3">
      <c r="O56" t="s">
        <v>463</v>
      </c>
      <c r="R56" s="84">
        <f>R54*R52</f>
        <v>8.2691692310967166E-2</v>
      </c>
    </row>
    <row r="58" spans="15:18" x14ac:dyDescent="0.3">
      <c r="O58" t="s">
        <v>464</v>
      </c>
      <c r="R58" s="70">
        <f>R56*SQRT(1/252)</f>
        <v>5.209086984425979E-3</v>
      </c>
    </row>
    <row r="60" spans="15:18" x14ac:dyDescent="0.3">
      <c r="O60" s="48" t="s">
        <v>465</v>
      </c>
      <c r="P60" s="48"/>
      <c r="Q60" s="48"/>
      <c r="R60" s="356">
        <f>100*R58</f>
        <v>0.52090869844259791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845E-F183-496E-9369-0AA499EF53A8}">
  <dimension ref="B2:O102"/>
  <sheetViews>
    <sheetView topLeftCell="A65" zoomScale="137" zoomScaleNormal="137" workbookViewId="0">
      <selection activeCell="A104" sqref="A104"/>
    </sheetView>
  </sheetViews>
  <sheetFormatPr defaultRowHeight="14.4" x14ac:dyDescent="0.3"/>
  <cols>
    <col min="3" max="3" width="8.88671875" style="20"/>
    <col min="5" max="5" width="12.88671875" bestFit="1" customWidth="1"/>
    <col min="6" max="6" width="10.21875" bestFit="1" customWidth="1"/>
    <col min="10" max="10" width="11.77734375" bestFit="1" customWidth="1"/>
  </cols>
  <sheetData>
    <row r="2" spans="3:15" ht="15" thickBot="1" x14ac:dyDescent="0.35"/>
    <row r="3" spans="3:15" ht="15" thickBot="1" x14ac:dyDescent="0.35">
      <c r="C3" s="437" t="s">
        <v>466</v>
      </c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9"/>
    </row>
    <row r="6" spans="3:15" x14ac:dyDescent="0.3">
      <c r="C6" s="21">
        <v>0.02</v>
      </c>
      <c r="E6" t="s">
        <v>467</v>
      </c>
      <c r="H6" t="s">
        <v>468</v>
      </c>
      <c r="I6" s="19" t="s">
        <v>469</v>
      </c>
    </row>
    <row r="8" spans="3:15" x14ac:dyDescent="0.3">
      <c r="C8" s="21">
        <v>0.6</v>
      </c>
      <c r="E8" t="s">
        <v>470</v>
      </c>
      <c r="H8" t="s">
        <v>471</v>
      </c>
      <c r="I8" s="19" t="s">
        <v>472</v>
      </c>
    </row>
    <row r="10" spans="3:15" x14ac:dyDescent="0.3">
      <c r="C10" s="20">
        <v>100</v>
      </c>
      <c r="E10" t="s">
        <v>473</v>
      </c>
      <c r="H10" t="s">
        <v>474</v>
      </c>
      <c r="I10" s="19" t="s">
        <v>475</v>
      </c>
    </row>
    <row r="14" spans="3:15" x14ac:dyDescent="0.3">
      <c r="C14" s="25">
        <f>C10*C8*C6</f>
        <v>1.2</v>
      </c>
      <c r="E14" t="s">
        <v>477</v>
      </c>
      <c r="H14" t="s">
        <v>476</v>
      </c>
      <c r="I14" s="19" t="s">
        <v>478</v>
      </c>
    </row>
    <row r="16" spans="3:15" x14ac:dyDescent="0.3">
      <c r="H16" t="s">
        <v>479</v>
      </c>
      <c r="I16" t="s">
        <v>8</v>
      </c>
      <c r="J16" t="s">
        <v>480</v>
      </c>
    </row>
    <row r="21" spans="3:15" x14ac:dyDescent="0.3">
      <c r="F21" s="42" t="s">
        <v>481</v>
      </c>
      <c r="G21" s="42"/>
      <c r="H21" s="42"/>
      <c r="I21" s="42" t="s">
        <v>482</v>
      </c>
      <c r="J21" s="42" t="s">
        <v>483</v>
      </c>
      <c r="K21" s="42"/>
    </row>
    <row r="23" spans="3:15" ht="15" thickBot="1" x14ac:dyDescent="0.35"/>
    <row r="24" spans="3:15" ht="15" thickBot="1" x14ac:dyDescent="0.35">
      <c r="C24" s="437" t="s">
        <v>484</v>
      </c>
      <c r="D24" s="438"/>
      <c r="E24" s="438"/>
      <c r="F24" s="438"/>
      <c r="G24" s="438"/>
      <c r="H24" s="438"/>
      <c r="I24" s="438"/>
      <c r="J24" s="438"/>
      <c r="K24" s="438"/>
      <c r="L24" s="438"/>
      <c r="M24" s="438"/>
      <c r="N24" s="438"/>
      <c r="O24" s="439"/>
    </row>
    <row r="27" spans="3:15" ht="15.6" x14ac:dyDescent="0.35">
      <c r="F27" t="s">
        <v>485</v>
      </c>
      <c r="G27" t="s">
        <v>486</v>
      </c>
      <c r="H27" t="s">
        <v>487</v>
      </c>
    </row>
    <row r="29" spans="3:15" x14ac:dyDescent="0.3">
      <c r="E29" s="19" t="s">
        <v>488</v>
      </c>
    </row>
    <row r="31" spans="3:15" ht="15.6" x14ac:dyDescent="0.35">
      <c r="F31" t="s">
        <v>485</v>
      </c>
      <c r="G31" t="s">
        <v>486</v>
      </c>
      <c r="H31" t="s">
        <v>489</v>
      </c>
    </row>
    <row r="33" spans="2:5" x14ac:dyDescent="0.3">
      <c r="E33" s="19" t="s">
        <v>490</v>
      </c>
    </row>
    <row r="37" spans="2:5" x14ac:dyDescent="0.3">
      <c r="B37" s="46" t="s">
        <v>158</v>
      </c>
    </row>
    <row r="40" spans="2:5" x14ac:dyDescent="0.3">
      <c r="B40" s="359" t="s">
        <v>491</v>
      </c>
      <c r="C40" s="359"/>
      <c r="D40" s="358"/>
      <c r="E40" s="358"/>
    </row>
    <row r="41" spans="2:5" x14ac:dyDescent="0.3">
      <c r="B41" s="359" t="s">
        <v>492</v>
      </c>
      <c r="C41" s="359"/>
      <c r="D41" s="358"/>
      <c r="E41" s="358"/>
    </row>
    <row r="42" spans="2:5" x14ac:dyDescent="0.3">
      <c r="B42" s="359" t="s">
        <v>493</v>
      </c>
      <c r="C42" s="360"/>
      <c r="D42" s="358"/>
      <c r="E42" s="360"/>
    </row>
    <row r="43" spans="2:5" x14ac:dyDescent="0.3">
      <c r="B43" s="359" t="s">
        <v>494</v>
      </c>
      <c r="C43" s="360"/>
      <c r="D43" s="358"/>
      <c r="E43" s="360"/>
    </row>
    <row r="44" spans="2:5" x14ac:dyDescent="0.3">
      <c r="B44" s="359"/>
      <c r="C44" s="360"/>
      <c r="D44" s="358"/>
      <c r="E44" s="360"/>
    </row>
    <row r="45" spans="2:5" x14ac:dyDescent="0.3">
      <c r="B45" s="359" t="s">
        <v>495</v>
      </c>
      <c r="C45" s="360"/>
      <c r="D45" s="358"/>
      <c r="E45" s="360"/>
    </row>
    <row r="46" spans="2:5" x14ac:dyDescent="0.3">
      <c r="B46" s="359"/>
      <c r="C46" s="360"/>
      <c r="D46" s="358"/>
      <c r="E46" s="360"/>
    </row>
    <row r="47" spans="2:5" x14ac:dyDescent="0.3">
      <c r="B47" s="361" t="s">
        <v>496</v>
      </c>
      <c r="C47" s="360"/>
      <c r="D47" s="358"/>
      <c r="E47" s="360"/>
    </row>
    <row r="50" spans="2:10" x14ac:dyDescent="0.3">
      <c r="D50" t="s">
        <v>497</v>
      </c>
      <c r="E50" s="23">
        <v>6000000</v>
      </c>
    </row>
    <row r="52" spans="2:10" x14ac:dyDescent="0.3">
      <c r="D52" t="s">
        <v>498</v>
      </c>
      <c r="E52" s="44">
        <v>0.02</v>
      </c>
      <c r="I52" t="s">
        <v>482</v>
      </c>
      <c r="J52" s="23">
        <f>E50*E54*E52</f>
        <v>55200</v>
      </c>
    </row>
    <row r="53" spans="2:10" x14ac:dyDescent="0.3">
      <c r="J53" s="23"/>
    </row>
    <row r="54" spans="2:10" x14ac:dyDescent="0.3">
      <c r="D54" t="s">
        <v>499</v>
      </c>
      <c r="E54" s="44">
        <v>0.46</v>
      </c>
      <c r="I54" t="s">
        <v>485</v>
      </c>
      <c r="J54" s="23">
        <f>E50*SQRT(E56^2*E52+E54^2*E58^2)</f>
        <v>218732.71360269823</v>
      </c>
    </row>
    <row r="56" spans="2:10" ht="23.4" x14ac:dyDescent="0.55000000000000004">
      <c r="D56" s="341" t="s">
        <v>500</v>
      </c>
      <c r="E56" s="44">
        <v>0.2</v>
      </c>
    </row>
    <row r="58" spans="2:10" ht="23.4" x14ac:dyDescent="0.55000000000000004">
      <c r="D58" s="341" t="s">
        <v>501</v>
      </c>
      <c r="E58" s="44">
        <v>0.05</v>
      </c>
    </row>
    <row r="61" spans="2:10" x14ac:dyDescent="0.3">
      <c r="B61" s="46" t="s">
        <v>159</v>
      </c>
    </row>
    <row r="86" spans="5:8" ht="15" thickBot="1" x14ac:dyDescent="0.35"/>
    <row r="87" spans="5:8" ht="15" thickBot="1" x14ac:dyDescent="0.35">
      <c r="E87" s="437" t="s">
        <v>502</v>
      </c>
      <c r="F87" s="439"/>
    </row>
    <row r="89" spans="5:8" x14ac:dyDescent="0.3">
      <c r="E89" t="s">
        <v>503</v>
      </c>
      <c r="F89" s="23">
        <f>50000*80%</f>
        <v>40000</v>
      </c>
    </row>
    <row r="90" spans="5:8" ht="16.2" x14ac:dyDescent="0.45">
      <c r="E90" t="s">
        <v>504</v>
      </c>
      <c r="F90" s="362">
        <f>(50000-F89)*60%</f>
        <v>6000</v>
      </c>
    </row>
    <row r="92" spans="5:8" x14ac:dyDescent="0.3">
      <c r="F92" s="24">
        <f>F89+F90</f>
        <v>46000</v>
      </c>
    </row>
    <row r="94" spans="5:8" x14ac:dyDescent="0.3">
      <c r="G94" t="s">
        <v>505</v>
      </c>
      <c r="H94" s="44">
        <v>0.02</v>
      </c>
    </row>
    <row r="96" spans="5:8" x14ac:dyDescent="0.3">
      <c r="G96" t="s">
        <v>471</v>
      </c>
      <c r="H96" s="44">
        <v>0.5</v>
      </c>
    </row>
    <row r="97" spans="5:11" ht="15" thickBot="1" x14ac:dyDescent="0.35"/>
    <row r="98" spans="5:11" x14ac:dyDescent="0.3">
      <c r="E98" s="363"/>
      <c r="F98" s="364"/>
      <c r="G98" s="364"/>
      <c r="H98" s="364"/>
      <c r="I98" s="365"/>
    </row>
    <row r="99" spans="5:11" x14ac:dyDescent="0.3">
      <c r="E99" s="366"/>
      <c r="F99" s="367" t="s">
        <v>482</v>
      </c>
      <c r="G99" s="368">
        <f>F92*H94*H96</f>
        <v>460</v>
      </c>
      <c r="H99" s="367"/>
      <c r="I99" s="369"/>
    </row>
    <row r="100" spans="5:11" x14ac:dyDescent="0.3">
      <c r="E100" s="366"/>
      <c r="F100" s="367"/>
      <c r="G100" s="367"/>
      <c r="H100" s="367"/>
      <c r="I100" s="369"/>
      <c r="K100" s="19" t="s">
        <v>506</v>
      </c>
    </row>
    <row r="101" spans="5:11" x14ac:dyDescent="0.3">
      <c r="E101" s="366"/>
      <c r="F101" s="367" t="s">
        <v>485</v>
      </c>
      <c r="G101" s="368">
        <f>F92*SQRT(40%^2*H94+H96^2*H94*(1-H94))</f>
        <v>4140</v>
      </c>
      <c r="H101" s="367"/>
      <c r="I101" s="369"/>
    </row>
    <row r="102" spans="5:11" ht="15" thickBot="1" x14ac:dyDescent="0.35">
      <c r="E102" s="370"/>
      <c r="F102" s="371"/>
      <c r="G102" s="371"/>
      <c r="H102" s="371"/>
      <c r="I102" s="372"/>
    </row>
  </sheetData>
  <mergeCells count="3">
    <mergeCell ref="C3:O3"/>
    <mergeCell ref="C24:O24"/>
    <mergeCell ref="E87:F87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5C8B4-2C0C-4545-AD9E-568C390488A0}">
  <dimension ref="A3:O57"/>
  <sheetViews>
    <sheetView topLeftCell="A64" zoomScale="137" zoomScaleNormal="137" workbookViewId="0">
      <selection activeCell="J27" sqref="J27"/>
    </sheetView>
  </sheetViews>
  <sheetFormatPr defaultRowHeight="14.4" x14ac:dyDescent="0.3"/>
  <cols>
    <col min="1" max="1" width="2.77734375" bestFit="1" customWidth="1"/>
    <col min="6" max="6" width="12.88671875" bestFit="1" customWidth="1"/>
    <col min="8" max="9" width="10.21875" bestFit="1" customWidth="1"/>
  </cols>
  <sheetData>
    <row r="3" spans="1:9" x14ac:dyDescent="0.3">
      <c r="A3" s="42" t="s">
        <v>4</v>
      </c>
      <c r="B3" t="s">
        <v>507</v>
      </c>
    </row>
    <row r="4" spans="1:9" x14ac:dyDescent="0.3">
      <c r="B4" t="s">
        <v>508</v>
      </c>
    </row>
    <row r="5" spans="1:9" x14ac:dyDescent="0.3">
      <c r="B5" t="s">
        <v>509</v>
      </c>
    </row>
    <row r="8" spans="1:9" x14ac:dyDescent="0.3">
      <c r="E8" t="s">
        <v>510</v>
      </c>
      <c r="F8" s="24">
        <f>F16/0.3</f>
        <v>1736111.1111111112</v>
      </c>
      <c r="H8" t="s">
        <v>123</v>
      </c>
    </row>
    <row r="10" spans="1:9" ht="16.2" x14ac:dyDescent="0.45">
      <c r="D10" t="s">
        <v>511</v>
      </c>
      <c r="E10" t="s">
        <v>512</v>
      </c>
      <c r="F10" s="373">
        <f>F8*(1-60%)</f>
        <v>694444.4444444445</v>
      </c>
    </row>
    <row r="11" spans="1:9" x14ac:dyDescent="0.3">
      <c r="F11" s="23"/>
    </row>
    <row r="12" spans="1:9" x14ac:dyDescent="0.3">
      <c r="E12" t="s">
        <v>513</v>
      </c>
      <c r="F12" s="23">
        <f>F8-F10</f>
        <v>1041666.6666666667</v>
      </c>
      <c r="H12" t="s">
        <v>524</v>
      </c>
      <c r="I12" s="378">
        <f>F12/F8</f>
        <v>0.6</v>
      </c>
    </row>
    <row r="13" spans="1:9" x14ac:dyDescent="0.3">
      <c r="F13" s="23"/>
    </row>
    <row r="14" spans="1:9" ht="16.2" x14ac:dyDescent="0.45">
      <c r="D14" t="s">
        <v>511</v>
      </c>
      <c r="E14" t="s">
        <v>514</v>
      </c>
      <c r="F14" s="373">
        <f>F8*30%</f>
        <v>520833.33333333337</v>
      </c>
      <c r="H14" t="s">
        <v>523</v>
      </c>
    </row>
    <row r="15" spans="1:9" x14ac:dyDescent="0.3">
      <c r="F15" s="23"/>
    </row>
    <row r="16" spans="1:9" x14ac:dyDescent="0.3">
      <c r="E16" t="s">
        <v>515</v>
      </c>
      <c r="F16" s="376">
        <f>F18*5</f>
        <v>520833.33333333337</v>
      </c>
      <c r="G16" t="s">
        <v>521</v>
      </c>
      <c r="H16" t="s">
        <v>523</v>
      </c>
      <c r="I16" s="377">
        <f>F12-F14</f>
        <v>520833.33333333337</v>
      </c>
    </row>
    <row r="17" spans="1:15" x14ac:dyDescent="0.3">
      <c r="F17" s="23"/>
    </row>
    <row r="18" spans="1:15" ht="16.2" x14ac:dyDescent="0.45">
      <c r="D18" t="s">
        <v>511</v>
      </c>
      <c r="E18" t="s">
        <v>86</v>
      </c>
      <c r="F18" s="373">
        <f>F20/4</f>
        <v>104166.66666666667</v>
      </c>
      <c r="G18" t="s">
        <v>73</v>
      </c>
      <c r="H18" s="368">
        <f>F16-F18</f>
        <v>416666.66666666669</v>
      </c>
    </row>
    <row r="19" spans="1:15" x14ac:dyDescent="0.3">
      <c r="F19" s="23"/>
      <c r="L19" s="189" t="s">
        <v>525</v>
      </c>
      <c r="M19" s="189">
        <f>F16/(250000+F18)</f>
        <v>1.4705882352941178</v>
      </c>
    </row>
    <row r="20" spans="1:15" x14ac:dyDescent="0.3">
      <c r="C20" s="44">
        <v>1</v>
      </c>
      <c r="E20" t="s">
        <v>516</v>
      </c>
      <c r="F20" s="375">
        <f>F24/C24</f>
        <v>416666.66666666669</v>
      </c>
      <c r="G20" t="s">
        <v>522</v>
      </c>
    </row>
    <row r="21" spans="1:15" x14ac:dyDescent="0.3">
      <c r="F21" s="23"/>
    </row>
    <row r="22" spans="1:15" ht="16.2" x14ac:dyDescent="0.45">
      <c r="C22" s="44">
        <v>0.4</v>
      </c>
      <c r="D22" t="s">
        <v>511</v>
      </c>
      <c r="E22" t="s">
        <v>517</v>
      </c>
      <c r="F22" s="373">
        <f>F20*C22</f>
        <v>166666.66666666669</v>
      </c>
      <c r="H22" s="374">
        <f>F20-F22</f>
        <v>250000</v>
      </c>
    </row>
    <row r="23" spans="1:15" x14ac:dyDescent="0.3">
      <c r="F23" s="23"/>
    </row>
    <row r="24" spans="1:15" x14ac:dyDescent="0.3">
      <c r="C24" s="44">
        <f>C20-C22</f>
        <v>0.6</v>
      </c>
      <c r="E24" t="s">
        <v>518</v>
      </c>
      <c r="F24" s="63">
        <f>F28*F26</f>
        <v>250000</v>
      </c>
    </row>
    <row r="26" spans="1:15" x14ac:dyDescent="0.3">
      <c r="E26" t="s">
        <v>519</v>
      </c>
      <c r="F26">
        <v>100000</v>
      </c>
    </row>
    <row r="28" spans="1:15" x14ac:dyDescent="0.3">
      <c r="E28" t="s">
        <v>520</v>
      </c>
      <c r="F28">
        <v>2.5</v>
      </c>
    </row>
    <row r="31" spans="1:15" ht="15.6" x14ac:dyDescent="0.3">
      <c r="A31" s="42" t="s">
        <v>4</v>
      </c>
      <c r="B31" s="357" t="s">
        <v>526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357"/>
      <c r="N31" s="357"/>
      <c r="O31" s="357"/>
    </row>
    <row r="32" spans="1:15" ht="18" x14ac:dyDescent="0.35">
      <c r="A32" s="337"/>
      <c r="B32" s="357" t="s">
        <v>527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357"/>
      <c r="O32" s="357"/>
    </row>
    <row r="33" spans="1:15" ht="18" x14ac:dyDescent="0.35">
      <c r="A33" s="337"/>
      <c r="B33" s="357" t="s">
        <v>528</v>
      </c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</row>
    <row r="37" spans="1:15" x14ac:dyDescent="0.3">
      <c r="E37" t="s">
        <v>510</v>
      </c>
      <c r="F37" s="24">
        <f>F45/0.35</f>
        <v>14285714.285714287</v>
      </c>
      <c r="H37" t="s">
        <v>123</v>
      </c>
    </row>
    <row r="39" spans="1:15" ht="16.2" x14ac:dyDescent="0.45">
      <c r="D39" t="s">
        <v>511</v>
      </c>
      <c r="E39" t="s">
        <v>512</v>
      </c>
      <c r="F39" s="373">
        <f>F37*(1-75%)</f>
        <v>3571428.5714285718</v>
      </c>
    </row>
    <row r="40" spans="1:15" x14ac:dyDescent="0.3">
      <c r="F40" s="23"/>
    </row>
    <row r="41" spans="1:15" x14ac:dyDescent="0.3">
      <c r="E41" t="s">
        <v>513</v>
      </c>
      <c r="F41" s="23">
        <f>F37-F39</f>
        <v>10714285.714285716</v>
      </c>
      <c r="H41" t="s">
        <v>529</v>
      </c>
      <c r="I41" s="378">
        <f>F41/F37</f>
        <v>0.75000000000000011</v>
      </c>
    </row>
    <row r="42" spans="1:15" x14ac:dyDescent="0.3">
      <c r="F42" s="23"/>
    </row>
    <row r="43" spans="1:15" ht="16.2" x14ac:dyDescent="0.45">
      <c r="D43" t="s">
        <v>511</v>
      </c>
      <c r="E43" t="s">
        <v>514</v>
      </c>
      <c r="F43" s="373">
        <f>F37*40%</f>
        <v>5714285.7142857155</v>
      </c>
      <c r="H43" t="s">
        <v>530</v>
      </c>
    </row>
    <row r="44" spans="1:15" x14ac:dyDescent="0.3">
      <c r="F44" s="23"/>
    </row>
    <row r="45" spans="1:15" x14ac:dyDescent="0.3">
      <c r="E45" t="s">
        <v>515</v>
      </c>
      <c r="F45" s="376">
        <f>F47*5</f>
        <v>5000000</v>
      </c>
      <c r="G45" t="s">
        <v>521</v>
      </c>
      <c r="H45" t="s">
        <v>531</v>
      </c>
      <c r="I45" s="377">
        <f>F41-F43</f>
        <v>5000000.0000000009</v>
      </c>
    </row>
    <row r="46" spans="1:15" x14ac:dyDescent="0.3">
      <c r="F46" s="23"/>
    </row>
    <row r="47" spans="1:15" ht="16.2" x14ac:dyDescent="0.45">
      <c r="D47" t="s">
        <v>511</v>
      </c>
      <c r="E47" t="s">
        <v>86</v>
      </c>
      <c r="F47" s="373">
        <f>F49/4</f>
        <v>1000000</v>
      </c>
      <c r="G47" t="s">
        <v>73</v>
      </c>
      <c r="H47" s="368">
        <f>F45-F47</f>
        <v>4000000</v>
      </c>
    </row>
    <row r="48" spans="1:15" x14ac:dyDescent="0.3">
      <c r="F48" s="23"/>
      <c r="L48" s="189" t="s">
        <v>525</v>
      </c>
      <c r="M48" s="189">
        <f>F45/(750000+F47)</f>
        <v>2.8571428571428572</v>
      </c>
    </row>
    <row r="49" spans="3:8" x14ac:dyDescent="0.3">
      <c r="C49" s="44">
        <v>1</v>
      </c>
      <c r="E49" t="s">
        <v>516</v>
      </c>
      <c r="F49" s="375">
        <f>F53/C53</f>
        <v>4000000</v>
      </c>
      <c r="G49" t="s">
        <v>522</v>
      </c>
    </row>
    <row r="50" spans="3:8" x14ac:dyDescent="0.3">
      <c r="F50" s="23"/>
    </row>
    <row r="51" spans="3:8" ht="16.2" x14ac:dyDescent="0.45">
      <c r="C51" s="44">
        <v>0.4</v>
      </c>
      <c r="D51" t="s">
        <v>511</v>
      </c>
      <c r="E51" t="s">
        <v>517</v>
      </c>
      <c r="F51" s="373">
        <f>F49*C51</f>
        <v>1600000</v>
      </c>
      <c r="H51" s="374">
        <f>F49-F51</f>
        <v>2400000</v>
      </c>
    </row>
    <row r="52" spans="3:8" x14ac:dyDescent="0.3">
      <c r="F52" s="23"/>
    </row>
    <row r="53" spans="3:8" x14ac:dyDescent="0.3">
      <c r="C53" s="44">
        <f>C49-C51</f>
        <v>0.6</v>
      </c>
      <c r="E53" t="s">
        <v>518</v>
      </c>
      <c r="F53" s="63">
        <f>F57*F55</f>
        <v>2400000</v>
      </c>
    </row>
    <row r="55" spans="3:8" x14ac:dyDescent="0.3">
      <c r="E55" t="s">
        <v>519</v>
      </c>
      <c r="F55">
        <v>300000</v>
      </c>
    </row>
    <row r="57" spans="3:8" x14ac:dyDescent="0.3">
      <c r="E57" t="s">
        <v>520</v>
      </c>
      <c r="F57">
        <v>8</v>
      </c>
    </row>
  </sheetData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A047-9D98-414E-878B-459BF47756BE}">
  <dimension ref="B5:S121"/>
  <sheetViews>
    <sheetView topLeftCell="D1" zoomScale="137" zoomScaleNormal="137" workbookViewId="0">
      <selection activeCell="R99" sqref="R99"/>
    </sheetView>
  </sheetViews>
  <sheetFormatPr defaultRowHeight="14.4" x14ac:dyDescent="0.3"/>
  <cols>
    <col min="11" max="11" width="8.33203125" customWidth="1"/>
  </cols>
  <sheetData>
    <row r="5" spans="2:19" ht="24.6" x14ac:dyDescent="0.55000000000000004">
      <c r="B5" s="379" t="s">
        <v>534</v>
      </c>
      <c r="C5" s="379" t="s">
        <v>8</v>
      </c>
      <c r="D5" s="379" t="s">
        <v>535</v>
      </c>
      <c r="E5" s="379" t="s">
        <v>377</v>
      </c>
      <c r="F5" s="380" t="s">
        <v>536</v>
      </c>
      <c r="G5" s="14"/>
    </row>
    <row r="7" spans="2:19" x14ac:dyDescent="0.3">
      <c r="B7" s="19" t="s">
        <v>537</v>
      </c>
    </row>
    <row r="10" spans="2:19" s="20" customFormat="1" ht="15.6" x14ac:dyDescent="0.35">
      <c r="D10" s="25" t="s">
        <v>84</v>
      </c>
      <c r="E10" s="25" t="s">
        <v>538</v>
      </c>
      <c r="F10" s="25" t="s">
        <v>539</v>
      </c>
      <c r="G10" s="25" t="s">
        <v>540</v>
      </c>
      <c r="H10" s="25" t="s">
        <v>541</v>
      </c>
    </row>
    <row r="11" spans="2:19" s="20" customFormat="1" x14ac:dyDescent="0.3">
      <c r="D11" s="20">
        <v>1</v>
      </c>
      <c r="E11" s="20">
        <v>13250</v>
      </c>
      <c r="F11" s="20">
        <v>120</v>
      </c>
    </row>
    <row r="12" spans="2:19" s="20" customFormat="1" x14ac:dyDescent="0.3">
      <c r="D12" s="20">
        <v>2</v>
      </c>
      <c r="E12" s="20">
        <v>14100</v>
      </c>
      <c r="F12" s="20">
        <v>150</v>
      </c>
      <c r="G12" s="166">
        <f>(E12-E11)/E11</f>
        <v>6.4150943396226415E-2</v>
      </c>
      <c r="H12" s="166">
        <f>(F12-F11)/F11</f>
        <v>0.25</v>
      </c>
      <c r="K12" s="108" t="s">
        <v>543</v>
      </c>
      <c r="L12" s="108"/>
      <c r="M12" s="108"/>
      <c r="N12" s="108"/>
      <c r="O12" s="108"/>
      <c r="P12" s="108"/>
      <c r="Q12" s="108"/>
      <c r="R12" s="108"/>
      <c r="S12" s="108"/>
    </row>
    <row r="13" spans="2:19" s="20" customFormat="1" ht="15" thickBot="1" x14ac:dyDescent="0.35">
      <c r="D13" s="20">
        <v>3</v>
      </c>
      <c r="E13" s="20">
        <v>14750</v>
      </c>
      <c r="F13" s="20">
        <v>200</v>
      </c>
      <c r="G13" s="166">
        <f t="shared" ref="G13:H17" si="0">(E13-E12)/E12</f>
        <v>4.6099290780141841E-2</v>
      </c>
      <c r="H13" s="166">
        <f t="shared" si="0"/>
        <v>0.33333333333333331</v>
      </c>
      <c r="K13" s="108"/>
      <c r="L13" s="108"/>
      <c r="M13" s="108"/>
      <c r="N13" s="108"/>
      <c r="O13" s="108"/>
      <c r="P13" s="108"/>
      <c r="Q13" s="108"/>
      <c r="R13" s="108"/>
      <c r="S13" s="108"/>
    </row>
    <row r="14" spans="2:19" s="20" customFormat="1" x14ac:dyDescent="0.3">
      <c r="D14" s="20">
        <v>4</v>
      </c>
      <c r="E14" s="20">
        <v>15250</v>
      </c>
      <c r="F14" s="20">
        <v>220</v>
      </c>
      <c r="G14" s="166">
        <f t="shared" si="0"/>
        <v>3.3898305084745763E-2</v>
      </c>
      <c r="H14" s="166">
        <f t="shared" si="0"/>
        <v>0.1</v>
      </c>
      <c r="K14" s="384" t="s">
        <v>544</v>
      </c>
      <c r="L14" s="384"/>
      <c r="M14" s="108"/>
      <c r="N14" s="108"/>
      <c r="O14" s="108"/>
      <c r="P14" s="108"/>
      <c r="Q14" s="108"/>
      <c r="R14" s="108"/>
      <c r="S14" s="108"/>
    </row>
    <row r="15" spans="2:19" s="20" customFormat="1" x14ac:dyDescent="0.3">
      <c r="D15" s="20">
        <v>5</v>
      </c>
      <c r="E15" s="20">
        <v>15960</v>
      </c>
      <c r="F15" s="20">
        <v>300</v>
      </c>
      <c r="G15" s="166">
        <f t="shared" si="0"/>
        <v>4.655737704918033E-2</v>
      </c>
      <c r="H15" s="166">
        <f t="shared" si="0"/>
        <v>0.36363636363636365</v>
      </c>
      <c r="K15" s="108" t="s">
        <v>545</v>
      </c>
      <c r="L15" s="108">
        <v>8.6431340652641978E-2</v>
      </c>
      <c r="M15" s="108"/>
      <c r="N15" s="108"/>
      <c r="O15" s="108"/>
      <c r="P15" s="108"/>
      <c r="Q15" s="108"/>
      <c r="R15" s="108"/>
      <c r="S15" s="108"/>
    </row>
    <row r="16" spans="2:19" s="20" customFormat="1" x14ac:dyDescent="0.3">
      <c r="D16" s="20">
        <v>6</v>
      </c>
      <c r="E16" s="20">
        <v>16800</v>
      </c>
      <c r="F16" s="20">
        <v>375</v>
      </c>
      <c r="G16" s="166">
        <f t="shared" si="0"/>
        <v>5.2631578947368418E-2</v>
      </c>
      <c r="H16" s="166">
        <f t="shared" si="0"/>
        <v>0.25</v>
      </c>
      <c r="K16" s="108" t="s">
        <v>546</v>
      </c>
      <c r="L16" s="108">
        <v>7.4703766470130412E-3</v>
      </c>
      <c r="M16" s="108"/>
      <c r="N16" s="108"/>
      <c r="O16" s="108"/>
      <c r="P16" s="108"/>
      <c r="Q16" s="108"/>
      <c r="R16" s="108"/>
      <c r="S16" s="108"/>
    </row>
    <row r="17" spans="4:19" s="20" customFormat="1" x14ac:dyDescent="0.3">
      <c r="D17" s="20">
        <v>7</v>
      </c>
      <c r="E17" s="20">
        <v>17500</v>
      </c>
      <c r="F17" s="20">
        <v>550</v>
      </c>
      <c r="G17" s="166">
        <f t="shared" si="0"/>
        <v>4.1666666666666664E-2</v>
      </c>
      <c r="H17" s="166">
        <f t="shared" si="0"/>
        <v>0.46666666666666667</v>
      </c>
      <c r="K17" s="108" t="s">
        <v>547</v>
      </c>
      <c r="L17" s="108">
        <v>-0.2406620291912337</v>
      </c>
      <c r="M17" s="108"/>
      <c r="N17" s="108"/>
      <c r="O17" s="108"/>
      <c r="P17" s="108"/>
      <c r="Q17" s="108"/>
      <c r="R17" s="108"/>
      <c r="S17" s="108"/>
    </row>
    <row r="18" spans="4:19" x14ac:dyDescent="0.3">
      <c r="K18" s="108" t="s">
        <v>548</v>
      </c>
      <c r="L18" s="108">
        <v>0.13886819883103133</v>
      </c>
      <c r="M18" s="108"/>
      <c r="N18" s="108"/>
      <c r="O18" s="108"/>
      <c r="P18" s="108"/>
      <c r="Q18" s="108"/>
      <c r="R18" s="108"/>
      <c r="S18" s="108"/>
    </row>
    <row r="19" spans="4:19" ht="15" thickBot="1" x14ac:dyDescent="0.35">
      <c r="G19" s="383" t="s">
        <v>542</v>
      </c>
      <c r="H19" s="382">
        <f>SLOPE(H12:H17,G12:G17)</f>
        <v>1.0511332106989852</v>
      </c>
      <c r="K19" s="110" t="s">
        <v>549</v>
      </c>
      <c r="L19" s="110">
        <v>6</v>
      </c>
      <c r="M19" s="108"/>
      <c r="N19" s="108"/>
      <c r="O19" s="108"/>
      <c r="P19" s="108"/>
      <c r="Q19" s="108"/>
      <c r="R19" s="108"/>
      <c r="S19" s="108"/>
    </row>
    <row r="20" spans="4:19" x14ac:dyDescent="0.3">
      <c r="K20" s="108"/>
      <c r="L20" s="108"/>
      <c r="M20" s="108"/>
      <c r="N20" s="108"/>
      <c r="O20" s="108"/>
      <c r="P20" s="108"/>
      <c r="Q20" s="108"/>
      <c r="R20" s="108"/>
      <c r="S20" s="108"/>
    </row>
    <row r="21" spans="4:19" ht="15" thickBot="1" x14ac:dyDescent="0.35">
      <c r="D21" s="19" t="s">
        <v>568</v>
      </c>
      <c r="K21" s="108" t="s">
        <v>550</v>
      </c>
      <c r="L21" s="108"/>
      <c r="M21" s="108"/>
      <c r="N21" s="108"/>
      <c r="O21" s="108"/>
      <c r="P21" s="108"/>
      <c r="Q21" s="108"/>
      <c r="R21" s="108"/>
      <c r="S21" s="108"/>
    </row>
    <row r="22" spans="4:19" x14ac:dyDescent="0.3">
      <c r="D22" s="19" t="s">
        <v>569</v>
      </c>
      <c r="K22" s="385"/>
      <c r="L22" s="385" t="s">
        <v>555</v>
      </c>
      <c r="M22" s="385" t="s">
        <v>556</v>
      </c>
      <c r="N22" s="385" t="s">
        <v>557</v>
      </c>
      <c r="O22" s="385" t="s">
        <v>558</v>
      </c>
      <c r="P22" s="385" t="s">
        <v>559</v>
      </c>
      <c r="Q22" s="108"/>
      <c r="R22" s="108"/>
      <c r="S22" s="108"/>
    </row>
    <row r="23" spans="4:19" x14ac:dyDescent="0.3">
      <c r="K23" s="108" t="s">
        <v>551</v>
      </c>
      <c r="L23" s="108">
        <v>1</v>
      </c>
      <c r="M23" s="108">
        <v>5.8058340451785928E-4</v>
      </c>
      <c r="N23" s="108">
        <v>5.8058340451785928E-4</v>
      </c>
      <c r="O23" s="108">
        <v>3.0106412831393137E-2</v>
      </c>
      <c r="P23" s="108">
        <v>0.87067582635542784</v>
      </c>
      <c r="Q23" s="108"/>
      <c r="R23" s="108"/>
      <c r="S23" s="108"/>
    </row>
    <row r="24" spans="4:19" x14ac:dyDescent="0.3">
      <c r="K24" s="108" t="s">
        <v>552</v>
      </c>
      <c r="L24" s="108">
        <v>4</v>
      </c>
      <c r="M24" s="108">
        <v>7.7137506586299406E-2</v>
      </c>
      <c r="N24" s="108">
        <v>1.9284376646574852E-2</v>
      </c>
      <c r="O24" s="108"/>
      <c r="P24" s="108"/>
      <c r="Q24" s="108"/>
      <c r="R24" s="108"/>
      <c r="S24" s="108"/>
    </row>
    <row r="25" spans="4:19" ht="15" thickBot="1" x14ac:dyDescent="0.35">
      <c r="K25" s="110" t="s">
        <v>553</v>
      </c>
      <c r="L25" s="110">
        <v>5</v>
      </c>
      <c r="M25" s="110">
        <v>7.7718089990817266E-2</v>
      </c>
      <c r="N25" s="110"/>
      <c r="O25" s="110"/>
      <c r="P25" s="110"/>
      <c r="Q25" s="108"/>
      <c r="R25" s="108"/>
      <c r="S25" s="108"/>
    </row>
    <row r="26" spans="4:19" ht="15" thickBot="1" x14ac:dyDescent="0.35">
      <c r="K26" s="108"/>
      <c r="L26" s="108"/>
      <c r="M26" s="108"/>
      <c r="N26" s="108"/>
      <c r="O26" s="108"/>
      <c r="P26" s="108"/>
      <c r="Q26" s="108"/>
      <c r="R26" s="108"/>
      <c r="S26" s="108"/>
    </row>
    <row r="27" spans="4:19" x14ac:dyDescent="0.3">
      <c r="D27" t="s">
        <v>408</v>
      </c>
      <c r="E27" s="44">
        <v>0.06</v>
      </c>
      <c r="K27" s="385"/>
      <c r="L27" s="385" t="s">
        <v>560</v>
      </c>
      <c r="M27" s="385" t="s">
        <v>548</v>
      </c>
      <c r="N27" s="385" t="s">
        <v>561</v>
      </c>
      <c r="O27" s="385" t="s">
        <v>562</v>
      </c>
      <c r="P27" s="385" t="s">
        <v>563</v>
      </c>
      <c r="Q27" s="385" t="s">
        <v>564</v>
      </c>
      <c r="R27" s="385" t="s">
        <v>565</v>
      </c>
      <c r="S27" s="385" t="s">
        <v>566</v>
      </c>
    </row>
    <row r="28" spans="4:19" x14ac:dyDescent="0.3">
      <c r="D28" t="s">
        <v>570</v>
      </c>
      <c r="E28" s="86">
        <f>AVERAGE(G12:G17)</f>
        <v>4.7500693654054904E-2</v>
      </c>
      <c r="K28" s="108" t="s">
        <v>554</v>
      </c>
      <c r="L28" s="386">
        <v>0.2440098373083783</v>
      </c>
      <c r="M28" s="108">
        <v>0.29329001558422624</v>
      </c>
      <c r="N28" s="108">
        <v>0.83197457923113038</v>
      </c>
      <c r="O28" s="108">
        <v>0.45220817261354607</v>
      </c>
      <c r="P28" s="108">
        <v>-0.57029379086383114</v>
      </c>
      <c r="Q28" s="108">
        <v>1.0583134654805877</v>
      </c>
      <c r="R28" s="108">
        <v>-0.57029379086383114</v>
      </c>
      <c r="S28" s="108">
        <v>1.0583134654805877</v>
      </c>
    </row>
    <row r="29" spans="4:19" ht="15" thickBot="1" x14ac:dyDescent="0.35">
      <c r="K29" s="110" t="s">
        <v>567</v>
      </c>
      <c r="L29" s="387">
        <v>1.051133210698985</v>
      </c>
      <c r="M29" s="110">
        <v>6.0579858085499563</v>
      </c>
      <c r="N29" s="110">
        <v>0.17351199621753241</v>
      </c>
      <c r="O29" s="110">
        <v>0.87067582635542817</v>
      </c>
      <c r="P29" s="110">
        <v>-15.768531834807238</v>
      </c>
      <c r="Q29" s="110">
        <v>17.870798256205209</v>
      </c>
      <c r="R29" s="110">
        <v>-15.768531834807238</v>
      </c>
      <c r="S29" s="110">
        <v>17.870798256205209</v>
      </c>
    </row>
    <row r="30" spans="4:19" ht="15.6" x14ac:dyDescent="0.35">
      <c r="D30" s="189" t="s">
        <v>533</v>
      </c>
      <c r="E30" s="388">
        <f>E27+H19*(E28-E27)</f>
        <v>4.6861563989076531E-2</v>
      </c>
      <c r="K30" s="108"/>
      <c r="L30" s="108"/>
      <c r="M30" s="108"/>
      <c r="N30" s="108"/>
      <c r="O30" s="108"/>
      <c r="P30" s="108"/>
      <c r="Q30" s="108"/>
      <c r="R30" s="108"/>
      <c r="S30" s="108"/>
    </row>
    <row r="31" spans="4:19" x14ac:dyDescent="0.3">
      <c r="K31" s="108"/>
      <c r="L31" s="108"/>
      <c r="M31" s="108"/>
      <c r="N31" s="108"/>
      <c r="O31" s="108"/>
      <c r="P31" s="108"/>
      <c r="Q31" s="108"/>
      <c r="R31" s="108"/>
      <c r="S31" s="108"/>
    </row>
    <row r="32" spans="4:19" x14ac:dyDescent="0.3">
      <c r="K32" s="108"/>
      <c r="L32" s="108"/>
      <c r="M32" s="108"/>
      <c r="N32" s="108"/>
      <c r="O32" s="108"/>
      <c r="P32" s="108"/>
      <c r="Q32" s="108"/>
      <c r="R32" s="108"/>
      <c r="S32" s="108"/>
    </row>
    <row r="34" spans="2:13" x14ac:dyDescent="0.3">
      <c r="B34" s="46" t="s">
        <v>158</v>
      </c>
    </row>
    <row r="36" spans="2:13" x14ac:dyDescent="0.3">
      <c r="B36" t="s">
        <v>571</v>
      </c>
    </row>
    <row r="39" spans="2:13" x14ac:dyDescent="0.3">
      <c r="B39" s="25"/>
      <c r="C39" s="25" t="s">
        <v>84</v>
      </c>
      <c r="D39" s="25" t="s">
        <v>538</v>
      </c>
      <c r="E39" s="25" t="s">
        <v>539</v>
      </c>
      <c r="F39" s="25"/>
      <c r="G39" s="25"/>
      <c r="H39" s="25"/>
      <c r="I39" s="25"/>
      <c r="J39" s="25"/>
      <c r="K39" s="25"/>
      <c r="L39" s="25"/>
      <c r="M39" s="25"/>
    </row>
    <row r="40" spans="2:13" x14ac:dyDescent="0.3">
      <c r="B40" s="20"/>
      <c r="C40" s="20">
        <v>1</v>
      </c>
      <c r="D40" s="21">
        <v>0.22</v>
      </c>
      <c r="E40" s="21">
        <v>0.21</v>
      </c>
      <c r="F40" s="20"/>
      <c r="G40" s="20"/>
      <c r="H40" s="20"/>
      <c r="I40" s="20"/>
      <c r="J40" s="20"/>
      <c r="K40" s="20"/>
      <c r="L40" s="20"/>
      <c r="M40" s="20"/>
    </row>
    <row r="41" spans="2:13" x14ac:dyDescent="0.3">
      <c r="B41" s="20"/>
      <c r="C41" s="20">
        <v>2</v>
      </c>
      <c r="D41" s="21">
        <v>0.18</v>
      </c>
      <c r="E41" s="21">
        <v>0.16</v>
      </c>
      <c r="F41" s="20"/>
      <c r="G41" s="20"/>
      <c r="H41" s="20"/>
      <c r="I41" s="20"/>
      <c r="J41" s="20"/>
      <c r="K41" s="20"/>
      <c r="L41" s="20"/>
      <c r="M41" s="20"/>
    </row>
    <row r="42" spans="2:13" x14ac:dyDescent="0.3">
      <c r="B42" s="20"/>
      <c r="C42" s="20">
        <v>3</v>
      </c>
      <c r="D42" s="21">
        <v>0.24</v>
      </c>
      <c r="E42" s="21">
        <v>0.2</v>
      </c>
      <c r="F42" s="20"/>
      <c r="G42" s="20"/>
      <c r="H42" s="20"/>
      <c r="I42" s="20"/>
      <c r="J42" s="20"/>
      <c r="K42" s="20"/>
      <c r="L42" s="20"/>
      <c r="M42" s="20"/>
    </row>
    <row r="43" spans="2:13" x14ac:dyDescent="0.3">
      <c r="B43" s="20"/>
      <c r="C43" s="20">
        <v>4</v>
      </c>
      <c r="D43" s="21">
        <v>0.15</v>
      </c>
      <c r="E43" s="21">
        <v>0.17</v>
      </c>
      <c r="F43" s="20"/>
      <c r="G43" s="20"/>
      <c r="H43" s="20"/>
      <c r="I43" s="20"/>
      <c r="J43" s="20"/>
      <c r="K43" s="20"/>
      <c r="L43" s="20"/>
      <c r="M43" s="20"/>
    </row>
    <row r="44" spans="2:13" x14ac:dyDescent="0.3">
      <c r="B44" s="20"/>
      <c r="C44" s="20">
        <v>5</v>
      </c>
      <c r="D44" s="21">
        <v>0.16</v>
      </c>
      <c r="E44" s="21">
        <v>0.21</v>
      </c>
      <c r="F44" s="20"/>
      <c r="G44" s="20"/>
      <c r="H44" s="20"/>
      <c r="I44" s="20"/>
      <c r="J44" s="20"/>
      <c r="K44" s="20"/>
      <c r="L44" s="20"/>
      <c r="M44" s="20"/>
    </row>
    <row r="45" spans="2:13" x14ac:dyDescent="0.3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spans="2:13" x14ac:dyDescent="0.3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spans="2:13" x14ac:dyDescent="0.3">
      <c r="B47" s="142" t="s">
        <v>572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50" spans="2:8" x14ac:dyDescent="0.3">
      <c r="D50" t="s">
        <v>573</v>
      </c>
      <c r="E50" s="22">
        <f>SLOPE(E40:E44,D40:D44)</f>
        <v>0.26666666666666666</v>
      </c>
      <c r="G50" t="s">
        <v>574</v>
      </c>
      <c r="H50" s="86">
        <f>AVERAGE(D40:D44)</f>
        <v>0.19</v>
      </c>
    </row>
    <row r="52" spans="2:8" ht="15.6" x14ac:dyDescent="0.35">
      <c r="D52" s="48" t="s">
        <v>575</v>
      </c>
      <c r="E52" s="29">
        <f>6%+E50*(H50-6%)</f>
        <v>9.4666666666666663E-2</v>
      </c>
    </row>
    <row r="53" spans="2:8" ht="15" thickBot="1" x14ac:dyDescent="0.35"/>
    <row r="54" spans="2:8" ht="15.6" x14ac:dyDescent="0.35">
      <c r="D54" s="238" t="s">
        <v>237</v>
      </c>
      <c r="E54" s="239" t="s">
        <v>8</v>
      </c>
      <c r="F54" s="239" t="s">
        <v>576</v>
      </c>
      <c r="G54" s="239" t="s">
        <v>377</v>
      </c>
      <c r="H54" s="389" t="s">
        <v>577</v>
      </c>
    </row>
    <row r="55" spans="2:8" ht="15" thickBot="1" x14ac:dyDescent="0.35">
      <c r="D55" s="390" t="s">
        <v>578</v>
      </c>
      <c r="E55" s="343"/>
      <c r="F55" s="391" t="s">
        <v>579</v>
      </c>
      <c r="G55" s="343"/>
      <c r="H55" s="392" t="s">
        <v>580</v>
      </c>
    </row>
    <row r="58" spans="2:8" s="20" customFormat="1" x14ac:dyDescent="0.3">
      <c r="E58" s="20" t="s">
        <v>542</v>
      </c>
      <c r="F58" s="20" t="s">
        <v>532</v>
      </c>
    </row>
    <row r="59" spans="2:8" s="20" customFormat="1" x14ac:dyDescent="0.3">
      <c r="E59" s="394">
        <f>E50</f>
        <v>0.26666666666666666</v>
      </c>
      <c r="F59" s="182">
        <f>E52</f>
        <v>9.4666666666666663E-2</v>
      </c>
    </row>
    <row r="60" spans="2:8" s="20" customFormat="1" x14ac:dyDescent="0.3">
      <c r="E60" s="67">
        <v>0</v>
      </c>
      <c r="F60" s="395">
        <f t="dataTable" ref="F60:F75" dt2D="0" dtr="0" r1="E50"/>
        <v>0.06</v>
      </c>
    </row>
    <row r="61" spans="2:8" s="20" customFormat="1" x14ac:dyDescent="0.3">
      <c r="E61" s="67">
        <v>0.1</v>
      </c>
      <c r="F61" s="395">
        <v>7.2999999999999995E-2</v>
      </c>
    </row>
    <row r="62" spans="2:8" s="20" customFormat="1" x14ac:dyDescent="0.3">
      <c r="E62" s="67">
        <v>0.2</v>
      </c>
      <c r="F62" s="395">
        <v>8.5999999999999993E-2</v>
      </c>
    </row>
    <row r="63" spans="2:8" ht="15" thickBot="1" x14ac:dyDescent="0.35">
      <c r="E63" s="67">
        <v>0.3</v>
      </c>
      <c r="F63" s="395">
        <v>9.9000000000000005E-2</v>
      </c>
    </row>
    <row r="64" spans="2:8" ht="15.6" thickBot="1" x14ac:dyDescent="0.4">
      <c r="B64" s="396" t="s">
        <v>581</v>
      </c>
      <c r="C64" s="397"/>
      <c r="D64" s="398">
        <f>SLOPE(F60:F75,E60:E75)</f>
        <v>0.12999999999999998</v>
      </c>
      <c r="E64" s="67">
        <v>0.4</v>
      </c>
      <c r="F64" s="395">
        <v>0.112</v>
      </c>
    </row>
    <row r="65" spans="2:6" ht="15" thickBot="1" x14ac:dyDescent="0.35">
      <c r="E65" s="67">
        <v>0.5</v>
      </c>
      <c r="F65" s="395">
        <v>0.125</v>
      </c>
    </row>
    <row r="66" spans="2:6" ht="15.6" thickBot="1" x14ac:dyDescent="0.4">
      <c r="B66" s="396" t="s">
        <v>582</v>
      </c>
      <c r="C66" s="397"/>
      <c r="D66" s="398">
        <f>INTERCEPT(F60:F75,E60:E75)</f>
        <v>6.0000000000000026E-2</v>
      </c>
      <c r="E66" s="67">
        <v>0.6</v>
      </c>
      <c r="F66" s="395">
        <v>0.13800000000000001</v>
      </c>
    </row>
    <row r="67" spans="2:6" x14ac:dyDescent="0.3">
      <c r="E67" s="67">
        <v>0.7</v>
      </c>
      <c r="F67" s="395">
        <v>0.151</v>
      </c>
    </row>
    <row r="68" spans="2:6" x14ac:dyDescent="0.3">
      <c r="E68" s="67">
        <v>0.8</v>
      </c>
      <c r="F68" s="395">
        <v>0.16400000000000001</v>
      </c>
    </row>
    <row r="69" spans="2:6" x14ac:dyDescent="0.3">
      <c r="E69" s="67">
        <v>0.9</v>
      </c>
      <c r="F69" s="395">
        <v>0.17699999999999999</v>
      </c>
    </row>
    <row r="70" spans="2:6" x14ac:dyDescent="0.3">
      <c r="E70" s="67">
        <v>1</v>
      </c>
      <c r="F70" s="395">
        <v>0.19</v>
      </c>
    </row>
    <row r="71" spans="2:6" x14ac:dyDescent="0.3">
      <c r="E71" s="67">
        <v>1.1000000000000001</v>
      </c>
      <c r="F71" s="395">
        <v>0.20300000000000001</v>
      </c>
    </row>
    <row r="72" spans="2:6" x14ac:dyDescent="0.3">
      <c r="E72" s="67">
        <v>1.2</v>
      </c>
      <c r="F72" s="395">
        <v>0.216</v>
      </c>
    </row>
    <row r="73" spans="2:6" x14ac:dyDescent="0.3">
      <c r="E73" s="67">
        <v>1.3</v>
      </c>
      <c r="F73" s="395">
        <v>0.22900000000000001</v>
      </c>
    </row>
    <row r="74" spans="2:6" x14ac:dyDescent="0.3">
      <c r="E74" s="67">
        <v>1.4</v>
      </c>
      <c r="F74" s="395">
        <v>0.24199999999999999</v>
      </c>
    </row>
    <row r="75" spans="2:6" x14ac:dyDescent="0.3">
      <c r="E75" s="67">
        <v>1.5</v>
      </c>
      <c r="F75" s="395">
        <v>0.255</v>
      </c>
    </row>
    <row r="78" spans="2:6" x14ac:dyDescent="0.3">
      <c r="B78" s="46" t="s">
        <v>159</v>
      </c>
    </row>
    <row r="80" spans="2:6" x14ac:dyDescent="0.3">
      <c r="C80" t="s">
        <v>583</v>
      </c>
      <c r="E80">
        <v>10000</v>
      </c>
      <c r="F80" t="s">
        <v>592</v>
      </c>
    </row>
    <row r="82" spans="3:11" x14ac:dyDescent="0.3">
      <c r="C82" t="s">
        <v>584</v>
      </c>
      <c r="E82" s="44">
        <v>0.6</v>
      </c>
    </row>
    <row r="84" spans="3:11" x14ac:dyDescent="0.3">
      <c r="C84" t="s">
        <v>514</v>
      </c>
      <c r="E84" s="44">
        <v>0.25</v>
      </c>
      <c r="F84" t="s">
        <v>585</v>
      </c>
    </row>
    <row r="85" spans="3:11" x14ac:dyDescent="0.3">
      <c r="H85" t="s">
        <v>589</v>
      </c>
    </row>
    <row r="86" spans="3:11" x14ac:dyDescent="0.3">
      <c r="C86" t="s">
        <v>586</v>
      </c>
      <c r="E86">
        <v>5</v>
      </c>
    </row>
    <row r="87" spans="3:11" x14ac:dyDescent="0.3">
      <c r="H87" t="s">
        <v>590</v>
      </c>
    </row>
    <row r="88" spans="3:11" x14ac:dyDescent="0.3">
      <c r="C88" t="s">
        <v>517</v>
      </c>
      <c r="E88" s="44">
        <v>0.4</v>
      </c>
    </row>
    <row r="89" spans="3:11" x14ac:dyDescent="0.3">
      <c r="H89" t="s">
        <v>591</v>
      </c>
    </row>
    <row r="90" spans="3:11" x14ac:dyDescent="0.3">
      <c r="C90" t="s">
        <v>519</v>
      </c>
      <c r="E90">
        <v>36</v>
      </c>
      <c r="F90" t="s">
        <v>587</v>
      </c>
    </row>
    <row r="92" spans="3:11" x14ac:dyDescent="0.3">
      <c r="C92" t="s">
        <v>588</v>
      </c>
      <c r="E92" s="44">
        <v>0.6</v>
      </c>
    </row>
    <row r="94" spans="3:11" ht="15.6" x14ac:dyDescent="0.35">
      <c r="K94" s="20" t="s">
        <v>533</v>
      </c>
    </row>
    <row r="95" spans="3:11" ht="15.6" x14ac:dyDescent="0.35">
      <c r="I95" s="20" t="s">
        <v>597</v>
      </c>
      <c r="J95" s="21">
        <v>0.08</v>
      </c>
      <c r="K95" s="393">
        <f>4%+1.25*(12%-4%)</f>
        <v>0.13999999999999999</v>
      </c>
    </row>
    <row r="97" spans="4:17" x14ac:dyDescent="0.3">
      <c r="D97" t="s">
        <v>510</v>
      </c>
      <c r="E97" s="24">
        <v>10000</v>
      </c>
      <c r="I97" s="25" t="s">
        <v>594</v>
      </c>
      <c r="J97" s="25" t="s">
        <v>595</v>
      </c>
      <c r="K97" s="25" t="s">
        <v>598</v>
      </c>
      <c r="L97" s="25" t="s">
        <v>599</v>
      </c>
      <c r="M97" s="20"/>
      <c r="N97" s="20"/>
      <c r="O97" s="20"/>
    </row>
    <row r="98" spans="4:17" x14ac:dyDescent="0.3">
      <c r="I98" s="20">
        <v>1</v>
      </c>
      <c r="J98" s="402">
        <f>E121*(1+J95)</f>
        <v>25.92</v>
      </c>
      <c r="K98" s="67">
        <f>1/(1+$K$95)^I98</f>
        <v>0.87719298245614041</v>
      </c>
      <c r="L98" s="43">
        <f>J98*K98</f>
        <v>22.736842105263161</v>
      </c>
      <c r="M98" s="20"/>
      <c r="N98" s="20"/>
      <c r="O98" s="20"/>
    </row>
    <row r="99" spans="4:17" ht="16.2" x14ac:dyDescent="0.45">
      <c r="D99" t="s">
        <v>512</v>
      </c>
      <c r="E99" s="399">
        <f>E97*(1-E82)</f>
        <v>4000</v>
      </c>
      <c r="I99" s="20">
        <v>2</v>
      </c>
      <c r="J99" s="402">
        <f>J98*(1+$J$95)</f>
        <v>27.993600000000004</v>
      </c>
      <c r="K99" s="67">
        <f t="shared" ref="K99:K102" si="1">1/(1+$K$95)^I99</f>
        <v>0.76946752847029865</v>
      </c>
      <c r="L99" s="43">
        <f t="shared" ref="L99:L102" si="2">J99*K99</f>
        <v>21.540166204986157</v>
      </c>
      <c r="M99" s="20"/>
      <c r="N99" s="20"/>
      <c r="O99" s="20"/>
    </row>
    <row r="100" spans="4:17" x14ac:dyDescent="0.3">
      <c r="E100" s="400"/>
      <c r="I100" s="20">
        <v>3</v>
      </c>
      <c r="J100" s="402">
        <f t="shared" ref="J100:J102" si="3">J99*(1+$J$95)</f>
        <v>30.233088000000006</v>
      </c>
      <c r="K100" s="67">
        <f t="shared" si="1"/>
        <v>0.67497151620201634</v>
      </c>
      <c r="L100" s="43">
        <f t="shared" si="2"/>
        <v>20.406473246828991</v>
      </c>
      <c r="M100" s="20"/>
      <c r="N100" s="20"/>
      <c r="O100" s="20"/>
    </row>
    <row r="101" spans="4:17" x14ac:dyDescent="0.3">
      <c r="D101" t="s">
        <v>513</v>
      </c>
      <c r="E101" s="400">
        <f>E97-E99</f>
        <v>6000</v>
      </c>
      <c r="I101" s="20">
        <v>4</v>
      </c>
      <c r="J101" s="402">
        <f t="shared" si="3"/>
        <v>32.651735040000005</v>
      </c>
      <c r="K101" s="67">
        <f t="shared" si="1"/>
        <v>0.59208027737018987</v>
      </c>
      <c r="L101" s="43">
        <f t="shared" si="2"/>
        <v>19.332448339101152</v>
      </c>
      <c r="M101" s="20"/>
      <c r="N101" s="20"/>
      <c r="O101" s="142" t="s">
        <v>614</v>
      </c>
      <c r="Q101" s="23">
        <f>SUM(L98:L102)</f>
        <v>102.33088095427529</v>
      </c>
    </row>
    <row r="102" spans="4:17" x14ac:dyDescent="0.3">
      <c r="E102" s="400"/>
      <c r="I102" s="20">
        <v>5</v>
      </c>
      <c r="J102" s="402">
        <f t="shared" si="3"/>
        <v>35.26387384320001</v>
      </c>
      <c r="K102" s="67">
        <f t="shared" si="1"/>
        <v>0.51936866435981566</v>
      </c>
      <c r="L102" s="43">
        <f t="shared" si="2"/>
        <v>18.314951058095829</v>
      </c>
      <c r="M102" s="20"/>
      <c r="N102" s="20"/>
      <c r="O102" s="142" t="s">
        <v>615</v>
      </c>
      <c r="Q102" s="404">
        <f>Q115</f>
        <v>190.47549100419667</v>
      </c>
    </row>
    <row r="103" spans="4:17" ht="16.2" x14ac:dyDescent="0.45">
      <c r="D103" t="s">
        <v>514</v>
      </c>
      <c r="E103" s="399">
        <f>E101*25%</f>
        <v>1500</v>
      </c>
      <c r="I103" s="20"/>
      <c r="J103" s="20"/>
      <c r="K103" s="20"/>
      <c r="L103" s="20"/>
      <c r="M103" s="20"/>
      <c r="N103" s="20"/>
      <c r="O103" s="20"/>
      <c r="Q103" s="23"/>
    </row>
    <row r="104" spans="4:17" x14ac:dyDescent="0.3">
      <c r="E104" s="400"/>
      <c r="I104" s="20"/>
      <c r="J104" s="20"/>
      <c r="K104" s="20"/>
      <c r="L104" s="20"/>
      <c r="M104" s="20"/>
      <c r="N104" s="20"/>
      <c r="O104" s="383" t="s">
        <v>616</v>
      </c>
      <c r="P104" s="381"/>
      <c r="Q104" s="405">
        <f>Q101+Q102</f>
        <v>292.80637195847197</v>
      </c>
    </row>
    <row r="105" spans="4:17" ht="15" thickBot="1" x14ac:dyDescent="0.35">
      <c r="D105" t="s">
        <v>515</v>
      </c>
      <c r="E105" s="400">
        <f>E101-E103</f>
        <v>4500</v>
      </c>
    </row>
    <row r="106" spans="4:17" ht="15" thickBot="1" x14ac:dyDescent="0.35">
      <c r="E106" s="400"/>
      <c r="G106" s="437" t="s">
        <v>610</v>
      </c>
      <c r="H106" s="438"/>
      <c r="I106" s="438"/>
      <c r="J106" s="438"/>
      <c r="K106" s="438"/>
      <c r="L106" s="439"/>
    </row>
    <row r="107" spans="4:17" ht="16.8" thickBot="1" x14ac:dyDescent="0.5">
      <c r="D107" t="s">
        <v>86</v>
      </c>
      <c r="E107" s="399">
        <f>E105/5</f>
        <v>900</v>
      </c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</row>
    <row r="108" spans="4:17" ht="15.6" x14ac:dyDescent="0.35">
      <c r="E108" s="400"/>
      <c r="G108" s="20" t="s">
        <v>22</v>
      </c>
      <c r="H108" s="20" t="s">
        <v>604</v>
      </c>
      <c r="I108" s="20" t="s">
        <v>605</v>
      </c>
      <c r="J108" s="20" t="s">
        <v>606</v>
      </c>
      <c r="K108" s="20" t="s">
        <v>607</v>
      </c>
      <c r="L108" s="383" t="s">
        <v>608</v>
      </c>
      <c r="M108" s="20" t="s">
        <v>609</v>
      </c>
      <c r="N108" s="20"/>
      <c r="O108" s="20"/>
      <c r="P108" s="20"/>
      <c r="Q108" s="20"/>
    </row>
    <row r="109" spans="4:17" x14ac:dyDescent="0.3">
      <c r="D109" t="s">
        <v>516</v>
      </c>
      <c r="E109" s="400">
        <f>E105-E107</f>
        <v>3600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</row>
    <row r="110" spans="4:17" x14ac:dyDescent="0.3">
      <c r="E110" s="400"/>
    </row>
    <row r="111" spans="4:17" ht="16.8" thickBot="1" x14ac:dyDescent="0.5">
      <c r="D111" t="s">
        <v>517</v>
      </c>
      <c r="E111" s="399">
        <f>E109*40%</f>
        <v>1440</v>
      </c>
    </row>
    <row r="112" spans="4:17" ht="16.8" x14ac:dyDescent="0.45">
      <c r="E112" s="400"/>
      <c r="I112" s="32" t="s">
        <v>600</v>
      </c>
      <c r="J112" s="59" t="s">
        <v>601</v>
      </c>
      <c r="M112" t="s">
        <v>612</v>
      </c>
      <c r="N112" t="s">
        <v>8</v>
      </c>
      <c r="O112" s="403">
        <f>J102*(1+4%)</f>
        <v>36.674428796928012</v>
      </c>
      <c r="P112" t="s">
        <v>8</v>
      </c>
      <c r="Q112" s="401">
        <f>O112/O113</f>
        <v>366.74428796928021</v>
      </c>
    </row>
    <row r="113" spans="3:17" ht="16.2" thickBot="1" x14ac:dyDescent="0.4">
      <c r="D113" t="s">
        <v>518</v>
      </c>
      <c r="E113" s="400">
        <f>E109-E111</f>
        <v>2160</v>
      </c>
      <c r="I113" s="60"/>
      <c r="J113" s="40" t="s">
        <v>603</v>
      </c>
      <c r="O113" s="50">
        <f>K95-4%</f>
        <v>9.9999999999999978E-2</v>
      </c>
    </row>
    <row r="115" spans="3:17" ht="15.6" x14ac:dyDescent="0.35">
      <c r="D115" t="s">
        <v>519</v>
      </c>
      <c r="E115">
        <v>36</v>
      </c>
      <c r="I115" s="19" t="s">
        <v>602</v>
      </c>
      <c r="P115" t="s">
        <v>613</v>
      </c>
      <c r="Q115">
        <f>Q112*K102</f>
        <v>190.47549100419667</v>
      </c>
    </row>
    <row r="116" spans="3:17" ht="15" thickBot="1" x14ac:dyDescent="0.35"/>
    <row r="117" spans="3:17" ht="15" thickBot="1" x14ac:dyDescent="0.35">
      <c r="D117" t="s">
        <v>520</v>
      </c>
      <c r="E117" s="24">
        <f>E113/E115</f>
        <v>60</v>
      </c>
      <c r="L117" s="437" t="s">
        <v>611</v>
      </c>
      <c r="M117" s="438"/>
      <c r="N117" s="438"/>
      <c r="O117" s="438"/>
      <c r="P117" s="438"/>
      <c r="Q117" s="439"/>
    </row>
    <row r="119" spans="3:17" ht="16.2" x14ac:dyDescent="0.45">
      <c r="C119" t="s">
        <v>511</v>
      </c>
      <c r="D119" t="s">
        <v>593</v>
      </c>
      <c r="E119" s="362">
        <f>E117*60%</f>
        <v>36</v>
      </c>
    </row>
    <row r="121" spans="3:17" ht="15.6" x14ac:dyDescent="0.35">
      <c r="D121" t="s">
        <v>596</v>
      </c>
      <c r="E121" s="24">
        <f>E117-E119</f>
        <v>24</v>
      </c>
    </row>
  </sheetData>
  <mergeCells count="2">
    <mergeCell ref="G106:L106"/>
    <mergeCell ref="L117:Q117"/>
  </mergeCells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5644-6005-468B-8A8D-00C4D85968B4}">
  <dimension ref="B3:M33"/>
  <sheetViews>
    <sheetView topLeftCell="A9" zoomScale="137" zoomScaleNormal="137" workbookViewId="0">
      <selection activeCell="I4" sqref="I4"/>
    </sheetView>
  </sheetViews>
  <sheetFormatPr defaultRowHeight="14.4" x14ac:dyDescent="0.3"/>
  <cols>
    <col min="2" max="2" width="3.33203125" bestFit="1" customWidth="1"/>
  </cols>
  <sheetData>
    <row r="3" spans="2:13" x14ac:dyDescent="0.3">
      <c r="B3" s="42" t="s">
        <v>191</v>
      </c>
      <c r="C3" t="s">
        <v>617</v>
      </c>
    </row>
    <row r="4" spans="2:13" x14ac:dyDescent="0.3">
      <c r="B4" s="42"/>
      <c r="J4" t="s">
        <v>395</v>
      </c>
      <c r="K4">
        <v>1100</v>
      </c>
      <c r="M4" t="s">
        <v>624</v>
      </c>
    </row>
    <row r="5" spans="2:13" x14ac:dyDescent="0.3">
      <c r="B5" s="42"/>
      <c r="C5" t="s">
        <v>43</v>
      </c>
      <c r="D5">
        <v>1000</v>
      </c>
      <c r="E5" t="s">
        <v>618</v>
      </c>
    </row>
    <row r="6" spans="2:13" x14ac:dyDescent="0.3">
      <c r="B6" s="42"/>
      <c r="C6" t="s">
        <v>455</v>
      </c>
      <c r="D6" s="44">
        <v>0.06</v>
      </c>
      <c r="E6" t="s">
        <v>619</v>
      </c>
      <c r="J6" t="s">
        <v>43</v>
      </c>
      <c r="K6">
        <v>1000</v>
      </c>
    </row>
    <row r="7" spans="2:13" x14ac:dyDescent="0.3">
      <c r="B7" s="42"/>
      <c r="C7" t="s">
        <v>620</v>
      </c>
      <c r="D7">
        <v>5</v>
      </c>
      <c r="E7" t="s">
        <v>594</v>
      </c>
      <c r="M7" t="s">
        <v>623</v>
      </c>
    </row>
    <row r="8" spans="2:13" x14ac:dyDescent="0.3">
      <c r="B8" s="42"/>
      <c r="C8" t="s">
        <v>621</v>
      </c>
      <c r="D8" s="420">
        <f>L18/100</f>
        <v>0.08</v>
      </c>
      <c r="E8" t="s">
        <v>619</v>
      </c>
      <c r="J8" t="s">
        <v>395</v>
      </c>
      <c r="K8">
        <v>900</v>
      </c>
    </row>
    <row r="9" spans="2:13" x14ac:dyDescent="0.3">
      <c r="B9" s="42"/>
    </row>
    <row r="10" spans="2:13" x14ac:dyDescent="0.3">
      <c r="B10" s="42"/>
      <c r="C10" t="s">
        <v>622</v>
      </c>
      <c r="I10" s="19" t="s">
        <v>625</v>
      </c>
    </row>
    <row r="11" spans="2:13" ht="15" thickBot="1" x14ac:dyDescent="0.35">
      <c r="B11" s="42"/>
    </row>
    <row r="12" spans="2:13" x14ac:dyDescent="0.3">
      <c r="D12" s="406"/>
      <c r="E12" s="407"/>
      <c r="F12" s="407"/>
      <c r="G12" s="407"/>
      <c r="H12" s="407"/>
      <c r="I12" s="407"/>
      <c r="J12" s="408"/>
    </row>
    <row r="13" spans="2:13" s="25" customFormat="1" x14ac:dyDescent="0.3">
      <c r="D13" s="409"/>
      <c r="E13" s="308" t="s">
        <v>594</v>
      </c>
      <c r="F13" s="308" t="s">
        <v>595</v>
      </c>
      <c r="G13" s="308" t="s">
        <v>598</v>
      </c>
      <c r="H13" s="308" t="s">
        <v>599</v>
      </c>
      <c r="I13" s="308"/>
      <c r="J13" s="410"/>
    </row>
    <row r="14" spans="2:13" s="20" customFormat="1" x14ac:dyDescent="0.3">
      <c r="D14" s="411"/>
      <c r="E14" s="358">
        <v>1</v>
      </c>
      <c r="F14" s="358">
        <f>$D$5*$D$6</f>
        <v>60</v>
      </c>
      <c r="G14" s="412">
        <f>1/(1+$D$8)^E14</f>
        <v>0.92592592592592582</v>
      </c>
      <c r="H14" s="413">
        <f>F14*G14</f>
        <v>55.55555555555555</v>
      </c>
      <c r="I14" s="358"/>
      <c r="J14" s="414"/>
    </row>
    <row r="15" spans="2:13" s="20" customFormat="1" x14ac:dyDescent="0.3">
      <c r="D15" s="411"/>
      <c r="E15" s="358">
        <v>2</v>
      </c>
      <c r="F15" s="358">
        <f t="shared" ref="F15:F17" si="0">$D$5*$D$6</f>
        <v>60</v>
      </c>
      <c r="G15" s="412">
        <f t="shared" ref="G15:G18" si="1">1/(1+$D$8)^E15</f>
        <v>0.85733882030178321</v>
      </c>
      <c r="H15" s="413">
        <f t="shared" ref="H15:H18" si="2">F15*G15</f>
        <v>51.440329218106996</v>
      </c>
      <c r="I15" s="358"/>
      <c r="J15" s="414"/>
    </row>
    <row r="16" spans="2:13" s="20" customFormat="1" x14ac:dyDescent="0.3">
      <c r="D16" s="411"/>
      <c r="E16" s="358">
        <v>3</v>
      </c>
      <c r="F16" s="358">
        <f t="shared" si="0"/>
        <v>60</v>
      </c>
      <c r="G16" s="412">
        <f t="shared" si="1"/>
        <v>0.79383224102016958</v>
      </c>
      <c r="H16" s="413">
        <f t="shared" si="2"/>
        <v>47.629934461210176</v>
      </c>
      <c r="I16" s="358"/>
      <c r="J16" s="414"/>
    </row>
    <row r="17" spans="4:12" s="20" customFormat="1" x14ac:dyDescent="0.3">
      <c r="D17" s="411"/>
      <c r="E17" s="358">
        <v>4</v>
      </c>
      <c r="F17" s="358">
        <f t="shared" si="0"/>
        <v>60</v>
      </c>
      <c r="G17" s="412">
        <f t="shared" si="1"/>
        <v>0.73502985279645328</v>
      </c>
      <c r="H17" s="413">
        <f t="shared" si="2"/>
        <v>44.101791167787198</v>
      </c>
      <c r="I17" s="358"/>
      <c r="J17" s="414"/>
    </row>
    <row r="18" spans="4:12" s="20" customFormat="1" ht="16.2" x14ac:dyDescent="0.45">
      <c r="D18" s="411"/>
      <c r="E18" s="358">
        <v>5</v>
      </c>
      <c r="F18" s="358">
        <f>$D$5*$D$6+D5</f>
        <v>1060</v>
      </c>
      <c r="G18" s="412">
        <f t="shared" si="1"/>
        <v>0.68058319703375303</v>
      </c>
      <c r="H18" s="415">
        <f t="shared" si="2"/>
        <v>721.41818885577823</v>
      </c>
      <c r="I18" s="358"/>
      <c r="J18" s="414"/>
      <c r="L18" s="421">
        <v>8</v>
      </c>
    </row>
    <row r="19" spans="4:12" s="20" customFormat="1" x14ac:dyDescent="0.3">
      <c r="D19" s="411"/>
      <c r="E19" s="358"/>
      <c r="F19" s="358"/>
      <c r="G19" s="358"/>
      <c r="H19" s="358"/>
      <c r="I19" s="358"/>
      <c r="J19" s="414"/>
    </row>
    <row r="20" spans="4:12" s="20" customFormat="1" x14ac:dyDescent="0.3">
      <c r="D20" s="411"/>
      <c r="E20" s="358"/>
      <c r="F20" s="358"/>
      <c r="G20" s="308" t="s">
        <v>626</v>
      </c>
      <c r="H20" s="419">
        <f>SUM(H14:H18)</f>
        <v>920.14579925843816</v>
      </c>
      <c r="I20" s="358"/>
      <c r="J20" s="414"/>
    </row>
    <row r="21" spans="4:12" s="20" customFormat="1" ht="15" thickBot="1" x14ac:dyDescent="0.35">
      <c r="D21" s="416"/>
      <c r="E21" s="417"/>
      <c r="F21" s="417"/>
      <c r="G21" s="417"/>
      <c r="H21" s="417"/>
      <c r="I21" s="417"/>
      <c r="J21" s="418"/>
    </row>
    <row r="24" spans="4:12" x14ac:dyDescent="0.3">
      <c r="E24" s="19" t="s">
        <v>627</v>
      </c>
    </row>
    <row r="26" spans="4:12" x14ac:dyDescent="0.3">
      <c r="E26" s="19" t="s">
        <v>628</v>
      </c>
    </row>
    <row r="28" spans="4:12" ht="15" thickBot="1" x14ac:dyDescent="0.35"/>
    <row r="29" spans="4:12" x14ac:dyDescent="0.3">
      <c r="F29" s="422" t="s">
        <v>629</v>
      </c>
      <c r="G29" s="423"/>
      <c r="H29" s="424" t="s">
        <v>630</v>
      </c>
    </row>
    <row r="30" spans="4:12" x14ac:dyDescent="0.3">
      <c r="F30" s="425"/>
      <c r="G30" s="426"/>
      <c r="H30" s="427"/>
    </row>
    <row r="31" spans="4:12" x14ac:dyDescent="0.3">
      <c r="F31" s="425" t="s">
        <v>632</v>
      </c>
      <c r="G31" s="426"/>
      <c r="H31" s="427" t="s">
        <v>633</v>
      </c>
    </row>
    <row r="32" spans="4:12" x14ac:dyDescent="0.3">
      <c r="F32" s="425"/>
      <c r="G32" s="426"/>
      <c r="H32" s="427"/>
    </row>
    <row r="33" spans="6:8" ht="15" thickBot="1" x14ac:dyDescent="0.35">
      <c r="F33" s="428" t="s">
        <v>624</v>
      </c>
      <c r="G33" s="429"/>
      <c r="H33" s="430" t="s">
        <v>631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02" r:id="rId3" name="Spinner 2">
              <controlPr defaultSize="0" autoPict="0">
                <anchor moveWithCells="1" sizeWithCells="1">
                  <from>
                    <xdr:col>13</xdr:col>
                    <xdr:colOff>68580</xdr:colOff>
                    <xdr:row>11</xdr:row>
                    <xdr:rowOff>152400</xdr:rowOff>
                  </from>
                  <to>
                    <xdr:col>15</xdr:col>
                    <xdr:colOff>205740</xdr:colOff>
                    <xdr:row>19</xdr:row>
                    <xdr:rowOff>91440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76F6-5153-490B-8DB9-538A481967FF}">
  <dimension ref="B2:P27"/>
  <sheetViews>
    <sheetView zoomScale="137" zoomScaleNormal="137" workbookViewId="0">
      <selection activeCell="L6" sqref="L6"/>
    </sheetView>
  </sheetViews>
  <sheetFormatPr defaultRowHeight="14.4" x14ac:dyDescent="0.3"/>
  <cols>
    <col min="2" max="2" width="3.33203125" bestFit="1" customWidth="1"/>
  </cols>
  <sheetData>
    <row r="2" spans="2:16" ht="15.6" x14ac:dyDescent="0.3">
      <c r="B2" s="42" t="s">
        <v>191</v>
      </c>
      <c r="C2" s="357" t="s">
        <v>634</v>
      </c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</row>
    <row r="3" spans="2:16" ht="18" x14ac:dyDescent="0.35">
      <c r="B3" s="337"/>
      <c r="C3" s="357" t="s">
        <v>635</v>
      </c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</row>
    <row r="4" spans="2:16" ht="18" x14ac:dyDescent="0.35">
      <c r="B4" s="337"/>
      <c r="C4" s="357" t="s">
        <v>636</v>
      </c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</row>
    <row r="6" spans="2:16" x14ac:dyDescent="0.3">
      <c r="B6" s="42" t="s">
        <v>211</v>
      </c>
      <c r="C6" t="s">
        <v>583</v>
      </c>
      <c r="E6">
        <v>25000</v>
      </c>
      <c r="F6" t="s">
        <v>592</v>
      </c>
    </row>
    <row r="8" spans="2:16" x14ac:dyDescent="0.3">
      <c r="C8" t="s">
        <v>584</v>
      </c>
      <c r="E8" s="44">
        <v>0.4</v>
      </c>
    </row>
    <row r="10" spans="2:16" x14ac:dyDescent="0.3">
      <c r="C10" t="s">
        <v>514</v>
      </c>
      <c r="E10" s="44">
        <v>0.3</v>
      </c>
      <c r="F10" t="s">
        <v>585</v>
      </c>
    </row>
    <row r="11" spans="2:16" x14ac:dyDescent="0.3">
      <c r="H11" t="s">
        <v>637</v>
      </c>
    </row>
    <row r="12" spans="2:16" x14ac:dyDescent="0.3">
      <c r="C12" t="s">
        <v>586</v>
      </c>
      <c r="E12">
        <v>7</v>
      </c>
    </row>
    <row r="13" spans="2:16" x14ac:dyDescent="0.3">
      <c r="H13" t="s">
        <v>638</v>
      </c>
    </row>
    <row r="14" spans="2:16" x14ac:dyDescent="0.3">
      <c r="C14" t="s">
        <v>517</v>
      </c>
      <c r="E14" s="44">
        <v>0.4</v>
      </c>
    </row>
    <row r="15" spans="2:16" x14ac:dyDescent="0.3">
      <c r="H15" t="s">
        <v>591</v>
      </c>
    </row>
    <row r="16" spans="2:16" x14ac:dyDescent="0.3">
      <c r="C16" t="s">
        <v>519</v>
      </c>
      <c r="E16">
        <v>80</v>
      </c>
      <c r="F16" t="s">
        <v>587</v>
      </c>
    </row>
    <row r="18" spans="2:5" x14ac:dyDescent="0.3">
      <c r="C18" t="s">
        <v>588</v>
      </c>
      <c r="E18" s="44">
        <v>0.4</v>
      </c>
    </row>
    <row r="20" spans="2:5" x14ac:dyDescent="0.3">
      <c r="B20" s="42" t="s">
        <v>230</v>
      </c>
      <c r="C20" t="s">
        <v>617</v>
      </c>
    </row>
    <row r="21" spans="2:5" x14ac:dyDescent="0.3">
      <c r="B21" s="42"/>
    </row>
    <row r="22" spans="2:5" x14ac:dyDescent="0.3">
      <c r="B22" s="42"/>
      <c r="C22" t="s">
        <v>43</v>
      </c>
      <c r="D22">
        <v>1000</v>
      </c>
      <c r="E22" t="s">
        <v>618</v>
      </c>
    </row>
    <row r="23" spans="2:5" x14ac:dyDescent="0.3">
      <c r="B23" s="42"/>
      <c r="C23" t="s">
        <v>455</v>
      </c>
      <c r="D23" s="44">
        <v>7.0000000000000007E-2</v>
      </c>
      <c r="E23" t="s">
        <v>619</v>
      </c>
    </row>
    <row r="24" spans="2:5" x14ac:dyDescent="0.3">
      <c r="B24" s="42"/>
      <c r="C24" t="s">
        <v>620</v>
      </c>
      <c r="D24">
        <v>8</v>
      </c>
      <c r="E24" t="s">
        <v>594</v>
      </c>
    </row>
    <row r="25" spans="2:5" x14ac:dyDescent="0.3">
      <c r="B25" s="42"/>
      <c r="C25" t="s">
        <v>621</v>
      </c>
      <c r="D25" s="420">
        <v>0.05</v>
      </c>
      <c r="E25" t="s">
        <v>619</v>
      </c>
    </row>
    <row r="26" spans="2:5" x14ac:dyDescent="0.3">
      <c r="B26" s="42"/>
    </row>
    <row r="27" spans="2:5" x14ac:dyDescent="0.3">
      <c r="B27" s="42"/>
      <c r="C27" t="s">
        <v>622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A170-6056-4A70-8F12-1843712E4D23}">
  <dimension ref="B4:P71"/>
  <sheetViews>
    <sheetView zoomScale="137" zoomScaleNormal="137" workbookViewId="0">
      <selection activeCell="J59" sqref="J59"/>
    </sheetView>
  </sheetViews>
  <sheetFormatPr defaultRowHeight="14.4" x14ac:dyDescent="0.3"/>
  <cols>
    <col min="6" max="6" width="11.77734375" bestFit="1" customWidth="1"/>
    <col min="8" max="8" width="10.21875" bestFit="1" customWidth="1"/>
    <col min="9" max="9" width="7.33203125" bestFit="1" customWidth="1"/>
  </cols>
  <sheetData>
    <row r="4" spans="2:11" x14ac:dyDescent="0.3">
      <c r="B4" s="42" t="s">
        <v>644</v>
      </c>
      <c r="E4" t="s">
        <v>510</v>
      </c>
      <c r="F4" s="24">
        <f>F12/0.25</f>
        <v>24000000</v>
      </c>
      <c r="H4" t="s">
        <v>123</v>
      </c>
    </row>
    <row r="6" spans="2:11" ht="16.2" x14ac:dyDescent="0.45">
      <c r="D6" t="s">
        <v>511</v>
      </c>
      <c r="E6" t="s">
        <v>512</v>
      </c>
      <c r="F6" s="373">
        <f>F4*(1-70%)</f>
        <v>7200000.0000000009</v>
      </c>
    </row>
    <row r="7" spans="2:11" x14ac:dyDescent="0.3">
      <c r="F7" s="23"/>
    </row>
    <row r="8" spans="2:11" x14ac:dyDescent="0.3">
      <c r="E8" t="s">
        <v>513</v>
      </c>
      <c r="F8" s="23">
        <f>F4-F6</f>
        <v>16800000</v>
      </c>
      <c r="H8" t="s">
        <v>640</v>
      </c>
      <c r="I8" s="431"/>
    </row>
    <row r="9" spans="2:11" x14ac:dyDescent="0.3">
      <c r="F9" s="23"/>
    </row>
    <row r="10" spans="2:11" ht="16.2" x14ac:dyDescent="0.45">
      <c r="D10" t="s">
        <v>511</v>
      </c>
      <c r="E10" t="s">
        <v>514</v>
      </c>
      <c r="F10" s="373">
        <f>F4*45%</f>
        <v>10800000</v>
      </c>
      <c r="H10" t="s">
        <v>641</v>
      </c>
    </row>
    <row r="11" spans="2:11" x14ac:dyDescent="0.3">
      <c r="F11" s="23"/>
    </row>
    <row r="12" spans="2:11" x14ac:dyDescent="0.3">
      <c r="E12" t="s">
        <v>515</v>
      </c>
      <c r="F12" s="376">
        <f>F14+F16</f>
        <v>6000000</v>
      </c>
      <c r="G12" t="s">
        <v>639</v>
      </c>
      <c r="H12" t="s">
        <v>642</v>
      </c>
      <c r="I12" s="24"/>
    </row>
    <row r="13" spans="2:11" x14ac:dyDescent="0.3">
      <c r="F13" s="23"/>
    </row>
    <row r="14" spans="2:11" ht="16.2" x14ac:dyDescent="0.45">
      <c r="D14" t="s">
        <v>511</v>
      </c>
      <c r="E14" t="s">
        <v>86</v>
      </c>
      <c r="F14" s="373">
        <f>F16/5</f>
        <v>1000000</v>
      </c>
      <c r="G14" t="s">
        <v>73</v>
      </c>
      <c r="H14" s="368">
        <f>F12-F14</f>
        <v>5000000</v>
      </c>
    </row>
    <row r="15" spans="2:11" x14ac:dyDescent="0.3">
      <c r="F15" s="23"/>
      <c r="J15" s="432" t="s">
        <v>643</v>
      </c>
      <c r="K15" s="433">
        <f>F12/(F14+1000000)</f>
        <v>3</v>
      </c>
    </row>
    <row r="16" spans="2:11" x14ac:dyDescent="0.3">
      <c r="C16" s="44">
        <v>1</v>
      </c>
      <c r="E16" t="s">
        <v>516</v>
      </c>
      <c r="F16" s="375">
        <f>F20/C20</f>
        <v>5000000</v>
      </c>
      <c r="G16" t="s">
        <v>521</v>
      </c>
    </row>
    <row r="17" spans="2:11" x14ac:dyDescent="0.3">
      <c r="F17" s="23"/>
    </row>
    <row r="18" spans="2:11" ht="16.2" x14ac:dyDescent="0.45">
      <c r="C18" s="44">
        <v>0.4</v>
      </c>
      <c r="D18" t="s">
        <v>511</v>
      </c>
      <c r="E18" t="s">
        <v>517</v>
      </c>
      <c r="F18" s="373">
        <f>F16*C18</f>
        <v>2000000</v>
      </c>
      <c r="H18" s="374">
        <f>F16-F18</f>
        <v>3000000</v>
      </c>
    </row>
    <row r="19" spans="2:11" x14ac:dyDescent="0.3">
      <c r="F19" s="23"/>
    </row>
    <row r="20" spans="2:11" x14ac:dyDescent="0.3">
      <c r="C20" s="44">
        <f>C16-C18</f>
        <v>0.6</v>
      </c>
      <c r="E20" t="s">
        <v>518</v>
      </c>
      <c r="F20" s="63">
        <f>F22*F24</f>
        <v>3000000</v>
      </c>
    </row>
    <row r="22" spans="2:11" x14ac:dyDescent="0.3">
      <c r="E22" t="s">
        <v>519</v>
      </c>
      <c r="F22">
        <v>300000</v>
      </c>
    </row>
    <row r="24" spans="2:11" x14ac:dyDescent="0.3">
      <c r="E24" t="s">
        <v>520</v>
      </c>
      <c r="F24">
        <v>10</v>
      </c>
    </row>
    <row r="28" spans="2:11" x14ac:dyDescent="0.3">
      <c r="B28" s="42" t="s">
        <v>645</v>
      </c>
    </row>
    <row r="30" spans="2:11" ht="15.6" x14ac:dyDescent="0.35">
      <c r="J30" s="20" t="s">
        <v>533</v>
      </c>
    </row>
    <row r="31" spans="2:11" ht="15.6" x14ac:dyDescent="0.35">
      <c r="H31" s="20" t="s">
        <v>597</v>
      </c>
      <c r="I31" s="21">
        <v>0.06</v>
      </c>
      <c r="J31" s="393">
        <f>4%+0.75*(12%-4%)</f>
        <v>9.9999999999999992E-2</v>
      </c>
    </row>
    <row r="32" spans="2:11" x14ac:dyDescent="0.3">
      <c r="H32" s="25" t="s">
        <v>594</v>
      </c>
      <c r="I32" s="25" t="s">
        <v>595</v>
      </c>
      <c r="J32" s="25" t="s">
        <v>598</v>
      </c>
      <c r="K32" s="25" t="s">
        <v>599</v>
      </c>
    </row>
    <row r="33" spans="3:16" x14ac:dyDescent="0.3">
      <c r="C33" t="s">
        <v>510</v>
      </c>
      <c r="D33" s="24">
        <v>25000</v>
      </c>
      <c r="H33" s="20">
        <v>1</v>
      </c>
      <c r="I33" s="402">
        <f>D57*(1+I31)</f>
        <v>28.62</v>
      </c>
      <c r="J33" s="67">
        <f>1/(1+$J$31)^H33</f>
        <v>0.90909090909090906</v>
      </c>
      <c r="K33" s="43">
        <f>I33*J33</f>
        <v>26.018181818181819</v>
      </c>
      <c r="L33" s="20"/>
      <c r="M33" s="20"/>
      <c r="N33" s="20"/>
    </row>
    <row r="34" spans="3:16" x14ac:dyDescent="0.3">
      <c r="H34" s="20">
        <v>2</v>
      </c>
      <c r="I34" s="402">
        <f>I33*(1+$I$31)</f>
        <v>30.337200000000003</v>
      </c>
      <c r="J34" s="67">
        <f t="shared" ref="J34:J38" si="0">1/(1+$J$31)^H34</f>
        <v>0.82644628099173545</v>
      </c>
      <c r="K34" s="43">
        <f t="shared" ref="K34:K37" si="1">I34*J34</f>
        <v>25.07206611570248</v>
      </c>
      <c r="L34" s="20"/>
      <c r="M34" s="20"/>
      <c r="N34" s="20"/>
    </row>
    <row r="35" spans="3:16" ht="16.2" x14ac:dyDescent="0.45">
      <c r="C35" t="s">
        <v>512</v>
      </c>
      <c r="D35" s="399">
        <f>D33*(1-40%)</f>
        <v>15000</v>
      </c>
      <c r="H35" s="20">
        <v>3</v>
      </c>
      <c r="I35" s="402">
        <f t="shared" ref="I35:I38" si="2">I34*(1+$I$31)</f>
        <v>32.157432000000007</v>
      </c>
      <c r="J35" s="67">
        <f t="shared" si="0"/>
        <v>0.75131480090157754</v>
      </c>
      <c r="K35" s="43">
        <f t="shared" si="1"/>
        <v>24.160354620586023</v>
      </c>
      <c r="L35" s="20"/>
      <c r="M35" s="20"/>
      <c r="N35" s="20"/>
    </row>
    <row r="36" spans="3:16" x14ac:dyDescent="0.3">
      <c r="D36" s="400"/>
      <c r="H36" s="20">
        <v>4</v>
      </c>
      <c r="I36" s="402">
        <f t="shared" si="2"/>
        <v>34.086877920000006</v>
      </c>
      <c r="J36" s="67">
        <f t="shared" si="0"/>
        <v>0.68301345536507052</v>
      </c>
      <c r="K36" s="43">
        <f t="shared" si="1"/>
        <v>23.281796270746533</v>
      </c>
      <c r="L36" s="20"/>
      <c r="M36" s="20"/>
      <c r="N36" s="20"/>
    </row>
    <row r="37" spans="3:16" x14ac:dyDescent="0.3">
      <c r="C37" t="s">
        <v>513</v>
      </c>
      <c r="D37" s="400">
        <f>D33-D35</f>
        <v>10000</v>
      </c>
      <c r="H37" s="20">
        <v>5</v>
      </c>
      <c r="I37" s="402">
        <f t="shared" si="2"/>
        <v>36.132090595200012</v>
      </c>
      <c r="J37" s="67">
        <f t="shared" si="0"/>
        <v>0.62092132305915493</v>
      </c>
      <c r="K37" s="43">
        <f t="shared" si="1"/>
        <v>22.43518549726484</v>
      </c>
      <c r="L37" s="20"/>
      <c r="M37" s="20"/>
      <c r="N37" s="142" t="s">
        <v>614</v>
      </c>
      <c r="P37" s="23">
        <f>SUM(K33:K38)</f>
        <v>142.58694489257329</v>
      </c>
    </row>
    <row r="38" spans="3:16" x14ac:dyDescent="0.3">
      <c r="D38" s="400"/>
      <c r="H38" s="20">
        <v>6</v>
      </c>
      <c r="I38" s="402">
        <f t="shared" si="2"/>
        <v>38.300016030912012</v>
      </c>
      <c r="J38" s="67">
        <f t="shared" si="0"/>
        <v>0.56447393005377722</v>
      </c>
      <c r="K38" s="43">
        <f>I38*J38</f>
        <v>21.619360570091573</v>
      </c>
      <c r="L38" s="20"/>
      <c r="M38" s="20"/>
      <c r="N38" s="142" t="s">
        <v>615</v>
      </c>
      <c r="P38" s="404">
        <f>P51</f>
        <v>318.11344838849033</v>
      </c>
    </row>
    <row r="39" spans="3:16" ht="16.2" x14ac:dyDescent="0.45">
      <c r="C39" t="s">
        <v>514</v>
      </c>
      <c r="D39" s="399">
        <f>D37*30%</f>
        <v>3000</v>
      </c>
      <c r="H39" s="20"/>
      <c r="I39" s="20"/>
      <c r="J39" s="20"/>
      <c r="K39" s="20"/>
      <c r="L39" s="20"/>
      <c r="M39" s="20"/>
      <c r="N39" s="20"/>
      <c r="P39" s="23"/>
    </row>
    <row r="40" spans="3:16" x14ac:dyDescent="0.3">
      <c r="D40" s="400"/>
      <c r="H40" s="20"/>
      <c r="I40" s="20"/>
      <c r="J40" s="20"/>
      <c r="K40" s="20"/>
      <c r="L40" s="20"/>
      <c r="M40" s="20"/>
      <c r="N40" s="383" t="s">
        <v>616</v>
      </c>
      <c r="O40" s="381"/>
      <c r="P40" s="405">
        <f>P37+P38</f>
        <v>460.70039328106361</v>
      </c>
    </row>
    <row r="41" spans="3:16" ht="15" thickBot="1" x14ac:dyDescent="0.35">
      <c r="C41" t="s">
        <v>515</v>
      </c>
      <c r="D41" s="400">
        <f>D37-D39</f>
        <v>7000</v>
      </c>
    </row>
    <row r="42" spans="3:16" ht="15" thickBot="1" x14ac:dyDescent="0.35">
      <c r="D42" s="400"/>
      <c r="F42" s="437" t="s">
        <v>610</v>
      </c>
      <c r="G42" s="438"/>
      <c r="H42" s="438"/>
      <c r="I42" s="438"/>
      <c r="J42" s="438"/>
      <c r="K42" s="439"/>
    </row>
    <row r="43" spans="3:16" ht="16.8" thickBot="1" x14ac:dyDescent="0.5">
      <c r="C43" t="s">
        <v>86</v>
      </c>
      <c r="D43" s="399">
        <f>D41/7</f>
        <v>1000</v>
      </c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3:16" ht="15.6" x14ac:dyDescent="0.35">
      <c r="D44" s="400"/>
      <c r="F44" s="20" t="s">
        <v>22</v>
      </c>
      <c r="G44" s="20" t="s">
        <v>604</v>
      </c>
      <c r="H44" s="20" t="s">
        <v>605</v>
      </c>
      <c r="I44" s="20" t="s">
        <v>606</v>
      </c>
      <c r="J44" s="20" t="s">
        <v>607</v>
      </c>
      <c r="K44" s="20" t="s">
        <v>608</v>
      </c>
      <c r="L44" s="383" t="s">
        <v>609</v>
      </c>
      <c r="M44" s="20"/>
      <c r="N44" s="20"/>
      <c r="O44" s="20"/>
      <c r="P44" s="20"/>
    </row>
    <row r="45" spans="3:16" x14ac:dyDescent="0.3">
      <c r="C45" t="s">
        <v>516</v>
      </c>
      <c r="D45" s="400">
        <f>D41-D43</f>
        <v>6000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spans="3:16" x14ac:dyDescent="0.3">
      <c r="D46" s="400"/>
    </row>
    <row r="47" spans="3:16" ht="16.8" thickBot="1" x14ac:dyDescent="0.5">
      <c r="C47" t="s">
        <v>517</v>
      </c>
      <c r="D47" s="399">
        <f>D45*40%</f>
        <v>2400</v>
      </c>
    </row>
    <row r="48" spans="3:16" ht="16.8" x14ac:dyDescent="0.45">
      <c r="D48" s="400"/>
      <c r="H48" s="32" t="s">
        <v>600</v>
      </c>
      <c r="I48" s="59" t="s">
        <v>601</v>
      </c>
      <c r="L48" t="s">
        <v>646</v>
      </c>
      <c r="M48" t="s">
        <v>8</v>
      </c>
      <c r="N48" s="403">
        <f>I38*(1+3%)</f>
        <v>39.449016511839375</v>
      </c>
      <c r="O48" t="s">
        <v>8</v>
      </c>
      <c r="P48" s="401">
        <f>N48/N49</f>
        <v>563.55737874056251</v>
      </c>
    </row>
    <row r="49" spans="2:16" ht="16.2" thickBot="1" x14ac:dyDescent="0.4">
      <c r="C49" t="s">
        <v>518</v>
      </c>
      <c r="D49" s="400">
        <f>D45-D47</f>
        <v>3600</v>
      </c>
      <c r="H49" s="60"/>
      <c r="I49" s="40" t="s">
        <v>603</v>
      </c>
      <c r="N49" s="50">
        <f>J31-3%</f>
        <v>6.9999999999999993E-2</v>
      </c>
    </row>
    <row r="51" spans="2:16" ht="15.6" x14ac:dyDescent="0.35">
      <c r="C51" t="s">
        <v>519</v>
      </c>
      <c r="D51">
        <v>80</v>
      </c>
      <c r="H51" s="19" t="s">
        <v>602</v>
      </c>
      <c r="O51" t="s">
        <v>613</v>
      </c>
      <c r="P51">
        <f>P48*J38</f>
        <v>318.11344838849033</v>
      </c>
    </row>
    <row r="52" spans="2:16" ht="15" thickBot="1" x14ac:dyDescent="0.35"/>
    <row r="53" spans="2:16" ht="15" thickBot="1" x14ac:dyDescent="0.35">
      <c r="C53" t="s">
        <v>520</v>
      </c>
      <c r="D53" s="24">
        <f>D49/D51</f>
        <v>45</v>
      </c>
      <c r="K53" s="437" t="s">
        <v>611</v>
      </c>
      <c r="L53" s="438"/>
      <c r="M53" s="438"/>
      <c r="N53" s="438"/>
      <c r="O53" s="438"/>
      <c r="P53" s="439"/>
    </row>
    <row r="55" spans="2:16" ht="16.2" x14ac:dyDescent="0.45">
      <c r="C55" t="s">
        <v>593</v>
      </c>
      <c r="D55" s="362">
        <f>D53*40%</f>
        <v>18</v>
      </c>
    </row>
    <row r="57" spans="2:16" ht="15.6" x14ac:dyDescent="0.35">
      <c r="C57" t="s">
        <v>596</v>
      </c>
      <c r="D57" s="24">
        <f>D53-D55</f>
        <v>27</v>
      </c>
    </row>
    <row r="58" spans="2:16" x14ac:dyDescent="0.3">
      <c r="D58" s="24"/>
    </row>
    <row r="59" spans="2:16" x14ac:dyDescent="0.3">
      <c r="D59" s="24"/>
    </row>
    <row r="60" spans="2:16" s="20" customFormat="1" x14ac:dyDescent="0.3">
      <c r="C60" s="25"/>
      <c r="D60" s="25"/>
      <c r="E60" s="434">
        <f>J66/100</f>
        <v>0.05</v>
      </c>
      <c r="F60" s="25"/>
    </row>
    <row r="61" spans="2:16" s="20" customFormat="1" x14ac:dyDescent="0.3">
      <c r="B61" s="25" t="s">
        <v>647</v>
      </c>
      <c r="C61" s="25" t="s">
        <v>84</v>
      </c>
      <c r="D61" s="25" t="s">
        <v>595</v>
      </c>
      <c r="E61" s="25" t="s">
        <v>598</v>
      </c>
      <c r="F61" s="25" t="s">
        <v>3</v>
      </c>
    </row>
    <row r="62" spans="2:16" s="20" customFormat="1" x14ac:dyDescent="0.3">
      <c r="C62" s="20">
        <v>1</v>
      </c>
      <c r="D62" s="20">
        <f>1000*7%</f>
        <v>70</v>
      </c>
      <c r="E62" s="43">
        <f>1/(1+$E$60)^C62</f>
        <v>0.95238095238095233</v>
      </c>
      <c r="F62" s="43">
        <f>D62*E62</f>
        <v>66.666666666666657</v>
      </c>
    </row>
    <row r="63" spans="2:16" s="20" customFormat="1" x14ac:dyDescent="0.3">
      <c r="C63" s="20">
        <v>2</v>
      </c>
      <c r="D63" s="20">
        <f t="shared" ref="D63:D68" si="3">1000*7%</f>
        <v>70</v>
      </c>
      <c r="E63" s="43">
        <f t="shared" ref="E63:E69" si="4">1/(1+$E$60)^C63</f>
        <v>0.90702947845804982</v>
      </c>
      <c r="F63" s="43">
        <f t="shared" ref="F63:F69" si="5">D63*E63</f>
        <v>63.492063492063487</v>
      </c>
    </row>
    <row r="64" spans="2:16" s="20" customFormat="1" x14ac:dyDescent="0.3">
      <c r="C64" s="20">
        <v>3</v>
      </c>
      <c r="D64" s="20">
        <f t="shared" si="3"/>
        <v>70</v>
      </c>
      <c r="E64" s="43">
        <f t="shared" si="4"/>
        <v>0.86383759853147601</v>
      </c>
      <c r="F64" s="43">
        <f t="shared" si="5"/>
        <v>60.468631897203323</v>
      </c>
    </row>
    <row r="65" spans="3:10" s="20" customFormat="1" x14ac:dyDescent="0.3">
      <c r="C65" s="20">
        <v>4</v>
      </c>
      <c r="D65" s="20">
        <f t="shared" si="3"/>
        <v>70</v>
      </c>
      <c r="E65" s="43">
        <f t="shared" si="4"/>
        <v>0.82270247479188197</v>
      </c>
      <c r="F65" s="43">
        <f t="shared" si="5"/>
        <v>57.589173235431737</v>
      </c>
    </row>
    <row r="66" spans="3:10" s="20" customFormat="1" x14ac:dyDescent="0.3">
      <c r="C66" s="20">
        <v>5</v>
      </c>
      <c r="D66" s="20">
        <f t="shared" si="3"/>
        <v>70</v>
      </c>
      <c r="E66" s="43">
        <f t="shared" si="4"/>
        <v>0.78352616646845896</v>
      </c>
      <c r="F66" s="43">
        <f t="shared" si="5"/>
        <v>54.846831652792126</v>
      </c>
      <c r="J66" s="210">
        <v>5</v>
      </c>
    </row>
    <row r="67" spans="3:10" s="20" customFormat="1" x14ac:dyDescent="0.3">
      <c r="C67" s="20">
        <v>6</v>
      </c>
      <c r="D67" s="20">
        <f t="shared" si="3"/>
        <v>70</v>
      </c>
      <c r="E67" s="43">
        <f t="shared" si="4"/>
        <v>0.74621539663662761</v>
      </c>
      <c r="F67" s="43">
        <f t="shared" si="5"/>
        <v>52.235077764563933</v>
      </c>
    </row>
    <row r="68" spans="3:10" s="20" customFormat="1" x14ac:dyDescent="0.3">
      <c r="C68" s="20">
        <v>7</v>
      </c>
      <c r="D68" s="20">
        <f t="shared" si="3"/>
        <v>70</v>
      </c>
      <c r="E68" s="43">
        <f t="shared" si="4"/>
        <v>0.71068133013012147</v>
      </c>
      <c r="F68" s="43">
        <f t="shared" si="5"/>
        <v>49.747693109108504</v>
      </c>
    </row>
    <row r="69" spans="3:10" s="20" customFormat="1" ht="16.2" x14ac:dyDescent="0.45">
      <c r="C69" s="20">
        <v>8</v>
      </c>
      <c r="D69" s="20">
        <f>1000*7%+1000</f>
        <v>1070</v>
      </c>
      <c r="E69" s="43">
        <f t="shared" si="4"/>
        <v>0.67683936202868722</v>
      </c>
      <c r="F69" s="435">
        <f t="shared" si="5"/>
        <v>724.21811737069538</v>
      </c>
    </row>
    <row r="70" spans="3:10" s="20" customFormat="1" x14ac:dyDescent="0.3"/>
    <row r="71" spans="3:10" s="20" customFormat="1" x14ac:dyDescent="0.3">
      <c r="E71" s="25" t="s">
        <v>227</v>
      </c>
      <c r="F71" s="436">
        <f>SUM(F62:F69)</f>
        <v>1129.2642551885251</v>
      </c>
    </row>
  </sheetData>
  <mergeCells count="2">
    <mergeCell ref="F42:K42"/>
    <mergeCell ref="K53:P5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227" r:id="rId3" name="Spinner 3">
              <controlPr defaultSize="0" autoPict="0">
                <anchor moveWithCells="1" sizeWithCells="1">
                  <from>
                    <xdr:col>10</xdr:col>
                    <xdr:colOff>266700</xdr:colOff>
                    <xdr:row>61</xdr:row>
                    <xdr:rowOff>68580</xdr:rowOff>
                  </from>
                  <to>
                    <xdr:col>12</xdr:col>
                    <xdr:colOff>556260</xdr:colOff>
                    <xdr:row>68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70AC6-8597-4F46-BD3F-F9861BCCF8D1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FV</vt:lpstr>
      <vt:lpstr>PV </vt:lpstr>
      <vt:lpstr>ANNUITIES</vt:lpstr>
      <vt:lpstr>Practice Case1_TVM</vt:lpstr>
      <vt:lpstr>Practice Case2_TVM</vt:lpstr>
      <vt:lpstr>Practice Case3_TVM</vt:lpstr>
      <vt:lpstr>AM GM</vt:lpstr>
      <vt:lpstr>Risk</vt:lpstr>
      <vt:lpstr>M1 Prep</vt:lpstr>
      <vt:lpstr>M1</vt:lpstr>
      <vt:lpstr>Utility</vt:lpstr>
      <vt:lpstr>Risk Minimisation</vt:lpstr>
      <vt:lpstr>Portfolio Optimisation</vt:lpstr>
      <vt:lpstr>3-stk Portfolio</vt:lpstr>
      <vt:lpstr>Multi Asset Portfolio</vt:lpstr>
      <vt:lpstr>M2</vt:lpstr>
      <vt:lpstr>Multi Asset Case</vt:lpstr>
      <vt:lpstr>Black Scholes Model</vt:lpstr>
      <vt:lpstr>BSM_Practice</vt:lpstr>
      <vt:lpstr>VaR</vt:lpstr>
      <vt:lpstr>VaR_Practice</vt:lpstr>
      <vt:lpstr>Credit Risk</vt:lpstr>
      <vt:lpstr>Solvency</vt:lpstr>
      <vt:lpstr>Equity</vt:lpstr>
      <vt:lpstr>Bonds</vt:lpstr>
      <vt:lpstr>Practice Problems_Latest Topics</vt:lpstr>
      <vt:lpstr>Solns_Practice Problems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Kehair</dc:creator>
  <cp:lastModifiedBy>Vansh Gandhi</cp:lastModifiedBy>
  <dcterms:created xsi:type="dcterms:W3CDTF">2023-01-03T03:04:04Z</dcterms:created>
  <dcterms:modified xsi:type="dcterms:W3CDTF">2023-04-27T21:58:09Z</dcterms:modified>
</cp:coreProperties>
</file>